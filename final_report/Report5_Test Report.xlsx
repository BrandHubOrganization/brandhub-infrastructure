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ProjectCode\BrandHub\brandhub-infrastructure\final_report\"/>
    </mc:Choice>
  </mc:AlternateContent>
  <xr:revisionPtr revIDLastSave="0" documentId="11_C3D13522C10C90BC3D7047D41D1E68410092EAA1" xr6:coauthVersionLast="47" xr6:coauthVersionMax="47" xr10:uidLastSave="{00000000-0000-0000-0000-000000000000}"/>
  <bookViews>
    <workbookView xWindow="-108" yWindow="-108" windowWidth="23256" windowHeight="12720" tabRatio="821" xr2:uid="{00000000-000D-0000-FFFF-FFFF00000000}"/>
  </bookViews>
  <sheets>
    <sheet name="Cover" sheetId="1" r:id="rId1"/>
    <sheet name="Test Cases" sheetId="2" r:id="rId2"/>
    <sheet name="Test Statistics" sheetId="3" r:id="rId3"/>
    <sheet name="Authentication" sheetId="4" r:id="rId4"/>
    <sheet name="Profile" sheetId="5" r:id="rId5"/>
    <sheet name="Agency &amp; Workspace" sheetId="6" r:id="rId6"/>
    <sheet name="Media Package" sheetId="7" r:id="rId7"/>
    <sheet name="Content &amp; Task" sheetId="8" r:id="rId8"/>
    <sheet name="AI Features" sheetId="9" r:id="rId9"/>
    <sheet name="Publishing" sheetId="10" r:id="rId10"/>
    <sheet name="Billing" sheetId="11" r:id="rId11"/>
    <sheet name="Admin" sheetId="12" r:id="rId12"/>
  </sheets>
  <definedNames>
    <definedName name="ACTION" localSheetId="0">#REF!</definedName>
    <definedName name="ACTI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2" l="1"/>
  <c r="D8" i="12"/>
  <c r="C8" i="12"/>
  <c r="B8" i="12"/>
  <c r="E7" i="12"/>
  <c r="D7" i="12"/>
  <c r="C7" i="12"/>
  <c r="B7" i="12"/>
  <c r="E6" i="12"/>
  <c r="G19" i="3" s="1"/>
  <c r="D6" i="12"/>
  <c r="F19" i="3" s="1"/>
  <c r="C6" i="12"/>
  <c r="E19" i="3" s="1"/>
  <c r="B6" i="12"/>
  <c r="D19" i="3" s="1"/>
  <c r="B4" i="12"/>
  <c r="H19" i="3" s="1"/>
  <c r="E8" i="11"/>
  <c r="D8" i="11"/>
  <c r="C8" i="11"/>
  <c r="B8" i="11"/>
  <c r="E7" i="11"/>
  <c r="D7" i="11"/>
  <c r="C7" i="11"/>
  <c r="B7" i="11"/>
  <c r="E6" i="11"/>
  <c r="G18" i="3" s="1"/>
  <c r="D6" i="11"/>
  <c r="F18" i="3" s="1"/>
  <c r="C6" i="11"/>
  <c r="E18" i="3" s="1"/>
  <c r="B6" i="11"/>
  <c r="D18" i="3" s="1"/>
  <c r="B4" i="11"/>
  <c r="H18" i="3" s="1"/>
  <c r="E8" i="10"/>
  <c r="D8" i="10"/>
  <c r="C8" i="10"/>
  <c r="B8" i="10"/>
  <c r="E7" i="10"/>
  <c r="D7" i="10"/>
  <c r="C7" i="10"/>
  <c r="B7" i="10"/>
  <c r="E6" i="10"/>
  <c r="G17" i="3" s="1"/>
  <c r="D6" i="10"/>
  <c r="F17" i="3" s="1"/>
  <c r="C6" i="10"/>
  <c r="E17" i="3" s="1"/>
  <c r="B6" i="10"/>
  <c r="D17" i="3" s="1"/>
  <c r="B4" i="10"/>
  <c r="H17" i="3" s="1"/>
  <c r="E8" i="9"/>
  <c r="D8" i="9"/>
  <c r="C8" i="9"/>
  <c r="B8" i="9"/>
  <c r="E7" i="9"/>
  <c r="D7" i="9"/>
  <c r="C7" i="9"/>
  <c r="B7" i="9"/>
  <c r="E6" i="9"/>
  <c r="G16" i="3" s="1"/>
  <c r="D6" i="9"/>
  <c r="F16" i="3" s="1"/>
  <c r="C6" i="9"/>
  <c r="E16" i="3" s="1"/>
  <c r="B6" i="9"/>
  <c r="D16" i="3" s="1"/>
  <c r="B4" i="9"/>
  <c r="H16" i="3" s="1"/>
  <c r="E8" i="8"/>
  <c r="D8" i="8"/>
  <c r="C8" i="8"/>
  <c r="B8" i="8"/>
  <c r="E7" i="8"/>
  <c r="D7" i="8"/>
  <c r="C7" i="8"/>
  <c r="B7" i="8"/>
  <c r="E6" i="8"/>
  <c r="G15" i="3" s="1"/>
  <c r="D6" i="8"/>
  <c r="F15" i="3" s="1"/>
  <c r="C6" i="8"/>
  <c r="E15" i="3" s="1"/>
  <c r="B6" i="8"/>
  <c r="D15" i="3" s="1"/>
  <c r="B4" i="8"/>
  <c r="H15" i="3" s="1"/>
  <c r="E8" i="7"/>
  <c r="D8" i="7"/>
  <c r="C8" i="7"/>
  <c r="B8" i="7"/>
  <c r="E7" i="7"/>
  <c r="D7" i="7"/>
  <c r="C7" i="7"/>
  <c r="B7" i="7"/>
  <c r="E6" i="7"/>
  <c r="G14" i="3" s="1"/>
  <c r="D6" i="7"/>
  <c r="F14" i="3" s="1"/>
  <c r="C6" i="7"/>
  <c r="E14" i="3" s="1"/>
  <c r="B6" i="7"/>
  <c r="D14" i="3" s="1"/>
  <c r="B4" i="7"/>
  <c r="H14" i="3" s="1"/>
  <c r="E8" i="6"/>
  <c r="D8" i="6"/>
  <c r="C8" i="6"/>
  <c r="B8" i="6"/>
  <c r="E7" i="6"/>
  <c r="D7" i="6"/>
  <c r="C7" i="6"/>
  <c r="B7" i="6"/>
  <c r="E6" i="6"/>
  <c r="G13" i="3" s="1"/>
  <c r="D6" i="6"/>
  <c r="F13" i="3" s="1"/>
  <c r="C6" i="6"/>
  <c r="E13" i="3" s="1"/>
  <c r="B6" i="6"/>
  <c r="D13" i="3" s="1"/>
  <c r="B4" i="6"/>
  <c r="H13" i="3" s="1"/>
  <c r="E8" i="5"/>
  <c r="D8" i="5"/>
  <c r="C8" i="5"/>
  <c r="B8" i="5"/>
  <c r="E7" i="5"/>
  <c r="D7" i="5"/>
  <c r="C7" i="5"/>
  <c r="B7" i="5"/>
  <c r="E6" i="5"/>
  <c r="G12" i="3" s="1"/>
  <c r="D6" i="5"/>
  <c r="F12" i="3" s="1"/>
  <c r="C6" i="5"/>
  <c r="E12" i="3" s="1"/>
  <c r="B6" i="5"/>
  <c r="D12" i="3" s="1"/>
  <c r="B4" i="5"/>
  <c r="H12" i="3" s="1"/>
  <c r="E8" i="4"/>
  <c r="D8" i="4"/>
  <c r="C8" i="4"/>
  <c r="B8" i="4"/>
  <c r="E7" i="4"/>
  <c r="D7" i="4"/>
  <c r="C7" i="4"/>
  <c r="B7" i="4"/>
  <c r="E6" i="4"/>
  <c r="G11" i="3" s="1"/>
  <c r="G21" i="3" s="1"/>
  <c r="D6" i="4"/>
  <c r="F11" i="3" s="1"/>
  <c r="F21" i="3" s="1"/>
  <c r="C6" i="4"/>
  <c r="E11" i="3" s="1"/>
  <c r="E21" i="3" s="1"/>
  <c r="B6" i="4"/>
  <c r="D11" i="3" s="1"/>
  <c r="D21" i="3" s="1"/>
  <c r="B4" i="4"/>
  <c r="H11" i="3" s="1"/>
  <c r="H21" i="3" s="1"/>
  <c r="C19" i="3"/>
  <c r="C18" i="3"/>
  <c r="C17" i="3"/>
  <c r="C16" i="3"/>
  <c r="C15" i="3"/>
  <c r="C14" i="3"/>
  <c r="C13" i="3"/>
  <c r="C12" i="3"/>
  <c r="C11" i="3"/>
  <c r="C5" i="3"/>
  <c r="B6" i="1"/>
  <c r="E23" i="3" l="1"/>
  <c r="E2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D10" authorId="0" shapeId="0" xr:uid="{00000000-0006-0000-0000-000001000000}">
      <text>
        <r>
          <rPr>
            <sz val="11"/>
            <rFont val="ＭＳ Ｐゴシック"/>
            <charset val="128"/>
          </rPr>
          <t xml:space="preserve">*A: Add
  M: Modify
  D: Delete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00000000-0006-0000-0300-000001000000}">
      <text>
        <r>
          <rPr>
            <sz val="11"/>
            <rFont val="ＭＳ Ｐゴシック"/>
            <charset val="128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00000000-0006-0000-0400-000001000000}">
      <text>
        <r>
          <rPr>
            <sz val="11"/>
            <rFont val="ＭＳ Ｐゴシック"/>
            <charset val="128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00000000-0006-0000-0500-000001000000}">
      <text>
        <r>
          <rPr>
            <sz val="11"/>
            <rFont val="ＭＳ Ｐゴシック"/>
            <charset val="128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00000000-0006-0000-0600-000001000000}">
      <text>
        <r>
          <rPr>
            <sz val="11"/>
            <rFont val="ＭＳ Ｐゴシック"/>
            <charset val="128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00000000-0006-0000-0700-000001000000}">
      <text>
        <r>
          <rPr>
            <sz val="11"/>
            <rFont val="ＭＳ Ｐゴシック"/>
            <charset val="128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00000000-0006-0000-0800-000001000000}">
      <text>
        <r>
          <rPr>
            <sz val="11"/>
            <rFont val="ＭＳ Ｐゴシック"/>
            <charset val="128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00000000-0006-0000-0900-000001000000}">
      <text>
        <r>
          <rPr>
            <sz val="11"/>
            <rFont val="ＭＳ Ｐゴシック"/>
            <charset val="128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00000000-0006-0000-0A00-000001000000}">
      <text>
        <r>
          <rPr>
            <sz val="11"/>
            <rFont val="ＭＳ Ｐゴシック"/>
            <charset val="128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00000000-0006-0000-0B00-000001000000}">
      <text>
        <r>
          <rPr>
            <sz val="11"/>
            <rFont val="ＭＳ Ｐゴシック"/>
            <charset val="128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sharedStrings.xml><?xml version="1.0" encoding="utf-8"?>
<sst xmlns="http://schemas.openxmlformats.org/spreadsheetml/2006/main" count="21778" uniqueCount="8383">
  <si>
    <t>TEST REPORT DOCUMENT</t>
  </si>
  <si>
    <t>Project Name</t>
  </si>
  <si>
    <t>BrandHub - AI-Powered Multi-Channel Content Platform</t>
  </si>
  <si>
    <t>Creator</t>
  </si>
  <si>
    <t>Trung</t>
  </si>
  <si>
    <t>Project Code</t>
  </si>
  <si>
    <t>BRANDHUB</t>
  </si>
  <si>
    <t>Issue Date</t>
  </si>
  <si>
    <t>Document Code</t>
  </si>
  <si>
    <t>Version</t>
  </si>
  <si>
    <t>v1.0</t>
  </si>
  <si>
    <t>Record of change</t>
  </si>
  <si>
    <t>Effective Date</t>
  </si>
  <si>
    <t>Change Item</t>
  </si>
  <si>
    <t>*A,D,M</t>
  </si>
  <si>
    <t>Change description</t>
  </si>
  <si>
    <t>Reference</t>
  </si>
  <si>
    <t>All Document</t>
  </si>
  <si>
    <t>A</t>
  </si>
  <si>
    <t>Create document - test report for all FRs</t>
  </si>
  <si>
    <t>Report5_Unit Test.xls</t>
  </si>
  <si>
    <t>TEST CASE LIST</t>
  </si>
  <si>
    <t>Test Environment Setup Description</t>
  </si>
  <si>
    <t>1. Server: Spring Boot 3 business-service (8081), api-gateway (8080), publisher-service (8083), FastAPI ai-service (8082)
2. Database: PostgreSQL 17, MongoDB Atlas, Redis, ChromaDB, Neo4j
3. Message broker: RabbitMQ
4. Web browser: Chrome (latest)</t>
  </si>
  <si>
    <t>No</t>
  </si>
  <si>
    <t>Function Name</t>
  </si>
  <si>
    <t>Sheet Name</t>
  </si>
  <si>
    <t>Description</t>
  </si>
  <si>
    <t>Pre-Condition</t>
  </si>
  <si>
    <t>3.2.1 Sign Up (Email + OTP)</t>
  </si>
  <si>
    <t>Authentication</t>
  </si>
  <si>
    <t>Register a new account with email/password/fullName, store hashed password, assign USER role, email a 6-digit OTP</t>
  </si>
  <si>
    <t>Can connect with server; Email not registered</t>
  </si>
  <si>
    <t>3.2.2 Sign In with Email</t>
  </si>
  <si>
    <t>Authenticate by email/phone identifier + password, check account status, issue JWT access + refresh tokens or 2FA challenge</t>
  </si>
  <si>
    <t>Can connect with server; Account ACTIVE and email verified</t>
  </si>
  <si>
    <t>3.2.3 Sign In with Google OAuth</t>
  </si>
  <si>
    <t>Handle Google callback: verify state, exchange code, login/create/link user and issue JWT or 2FA token</t>
  </si>
  <si>
    <t>Can connect with server; OAuth state valid in Redis for GOOGLE</t>
  </si>
  <si>
    <t>3.2.4 Reset Password</t>
  </si>
  <si>
    <t>Consume a one-time reset token and set a new bcrypt password, invalidating older sessions via lastPasswordChange</t>
  </si>
  <si>
    <t>Can connect with server; Reset token valid in Redis</t>
  </si>
  <si>
    <t>3.2.5 Change Password</t>
  </si>
  <si>
    <t>Change password for the logged-in user after verifying current password and rejecting a same-as-current password</t>
  </si>
  <si>
    <t>Can connect with server; User has password hash</t>
  </si>
  <si>
    <t>3.2.6 OTP Verification</t>
  </si>
  <si>
    <t>Verify the 6-digit email OTP with expiry check, attempt counter (max lockout) and idempotent already-verified handling</t>
  </si>
  <si>
    <t>Can connect with server; User registered, email not verified, OTP valid</t>
  </si>
  <si>
    <t>3.2.7 Two-Factor Authentication (TOTP)</t>
  </si>
  <si>
    <t>Verify the 2FA challenge token and TOTP code after password login, with 5-attempt lockout, then issue JWT tokens</t>
  </si>
  <si>
    <t>Can connect with server; User has 2FA enabled with TOTP secret</t>
  </si>
  <si>
    <t>3.2.8 Sign Out</t>
  </si>
  <si>
    <t>Blacklist access and refresh tokens, write LOGOUT audit log; idempotent for invalid/expired tokens</t>
  </si>
  <si>
    <t>Can connect with server; User logged in with valid tokens</t>
  </si>
  <si>
    <t>3.2.9 Deactivate Account</t>
  </si>
  <si>
    <t>Deactivate own account after password (or OTP for OAuth-only) re-auth, block if owning active agency, revoke tokens</t>
  </si>
  <si>
    <t>Can connect with server; User has password, owns no active agency</t>
  </si>
  <si>
    <t>3.3.1 View User Profile</t>
  </si>
  <si>
    <t>Profile</t>
  </si>
  <si>
    <t>Return the authenticated user's profile (identity, extended fields, preferences) for the current user</t>
  </si>
  <si>
    <t>Can connect with server; User exists</t>
  </si>
  <si>
    <t>3.3.2 Update Profile</t>
  </si>
  <si>
    <t>Update own profile fields (fullName required, optional fields partial), merging preferences without overwriting other keys</t>
  </si>
  <si>
    <t>3.3.3 View Client Profile</t>
  </si>
  <si>
    <t>List all client profiles owned by the current user (and fetch one by id with ownership check)</t>
  </si>
  <si>
    <t>Can connect with server; User owns 1 client profile</t>
  </si>
  <si>
    <t>3.3.4 Update Client Profile</t>
  </si>
  <si>
    <t>Update an owned client profile (displayName required, brand fields), plus create/delete ownership and in-use rules</t>
  </si>
  <si>
    <t>Can connect with server; User owns the client profile</t>
  </si>
  <si>
    <t>3.4.1 List Agency</t>
  </si>
  <si>
    <t>Agency &amp; Workspace</t>
  </si>
  <si>
    <t>List agencies the user owns or belongs to, excluding soft-deleted, with caller role.</t>
  </si>
  <si>
    <t>Can connect with server; User owns 1 active agency</t>
  </si>
  <si>
    <t>3.4.2 View Agency Dashboard</t>
  </si>
  <si>
    <t>Return agency member/workspace/content statistics, optionally filtered by from/to date, for owner or members.</t>
  </si>
  <si>
    <t>Can connect with server; User is OWNER of agency</t>
  </si>
  <si>
    <t>3.4.3 Create Agency</t>
  </si>
  <si>
    <t>Create an agency owned by the caller and register the caller as OWNER member.</t>
  </si>
  <si>
    <t>Can connect with server; User authenticated</t>
  </si>
  <si>
    <t>3.4.4 View Agency Profile</t>
  </si>
  <si>
    <t>Return agency profile for owner, member, or a CLIENT of one of the agency workspaces.</t>
  </si>
  <si>
    <t>3.4.5 Update Agency Profile</t>
  </si>
  <si>
    <t>Owner updates agency profile fields; non-owners are rejected.</t>
  </si>
  <si>
    <t>3.4.6 Remove Agency</t>
  </si>
  <si>
    <t>Owner soft-deletes the agency and cascades soft-delete to its workspaces.</t>
  </si>
  <si>
    <t>3.4.7 Invite Agency Member</t>
  </si>
  <si>
    <t>Owner invites a person by email with token link, optional workspace/role/expiry; enforces membership, duplicate and 20-pending limits.</t>
  </si>
  <si>
    <t>3.4.8 View Agency Invitation Status</t>
  </si>
  <si>
    <t>Owner lists agency invitations with effective status (lazy EXPIRED) and workspace name.</t>
  </si>
  <si>
    <t>3.4.9 Remove Member</t>
  </si>
  <si>
    <t>Owner removes a non-owner member from the agency.</t>
  </si>
  <si>
    <t>3.4.10 List Workspace</t>
  </si>
  <si>
    <t>List non-deleted workspaces the user owns via agency, is an active member of, or is a CLIENT of, with role.</t>
  </si>
  <si>
    <t>Can connect with server; User owns agency with 2 workspaces</t>
  </si>
  <si>
    <t>3.4.11 View Workspace Dashboard</t>
  </si>
  <si>
    <t>Return workspace dashboard (members by role, campaigns by status, package status, agency AI credits) to workspace members and clients.</t>
  </si>
  <si>
    <t>Can connect with server; User is active member of workspace</t>
  </si>
  <si>
    <t>3.4.12 Create Workspace</t>
  </si>
  <si>
    <t>Agency OWNER creates a workspace; creator becomes MANAGER, optional members assigned</t>
  </si>
  <si>
    <t>3.4.13 View Workspace Profile</t>
  </si>
  <si>
    <t>Active workspace member reads the workspace profile (settings, industry, branding)</t>
  </si>
  <si>
    <t>3.4.14 Update Workspace Profile</t>
  </si>
  <si>
    <t>MANAGER partially updates workspace name, settings and profile fields</t>
  </si>
  <si>
    <t>Can connect with server; Caller is MANAGER of workspace</t>
  </si>
  <si>
    <t>3.4.15 Delete Workspace</t>
  </si>
  <si>
    <t>Agency OWNER soft-deletes a workspace (status=SOFT_DELETED, deletedAt=now); restore within 30 days</t>
  </si>
  <si>
    <t>Can connect with server; Caller is agency OWNER of workspace agency</t>
  </si>
  <si>
    <t>3.4.16 Leave Workspace</t>
  </si>
  <si>
    <t>Active member leaves a workspace (soft delete of own membership) unless last MANAGER</t>
  </si>
  <si>
    <t>3.4.17 Save Workspace Template</t>
  </si>
  <si>
    <t>Agency owner saves a workspace config snapshot as a reusable agency-scoped template</t>
  </si>
  <si>
    <t>Can connect with server; Caller owns an agency</t>
  </si>
  <si>
    <t>3.4.18 View Workspace Members</t>
  </si>
  <si>
    <t>Active workspace member lists active members (MANAGER/CREATOR/CLIENT) with user/client details</t>
  </si>
  <si>
    <t>3.4.19 Add Workspace Member</t>
  </si>
  <si>
    <t>MANAGER invites a member by email (pending invitation) or assigns agency members directly (assignMembers)</t>
  </si>
  <si>
    <t>3.4.20 Update Workspace Member Role</t>
  </si>
  <si>
    <t>MANAGER changes an active member role with single-MANAGER and last-MANAGER guards</t>
  </si>
  <si>
    <t>3.4.21 Remove Workspace Member</t>
  </si>
  <si>
    <t>MANAGER soft-removes an active member (isActive=false); last MANAGER cannot be removed</t>
  </si>
  <si>
    <t>3.5.1 Create Media Package</t>
  </si>
  <si>
    <t>Media Package</t>
  </si>
  <si>
    <t>Owner (or workspace Manager of the same agency) creates an agency-scoped custom package, optionally from a system template.</t>
  </si>
  <si>
    <t>Can connect with server; Agency exists</t>
  </si>
  <si>
    <t>3.5.2 View the Template Media Package</t>
  </si>
  <si>
    <t>Return the workspace's selected package with effective terms and negotiation status, or null when none is selected.</t>
  </si>
  <si>
    <t>Can connect with server; Workspace exists</t>
  </si>
  <si>
    <t>3.5.3 Request Media Package (Negotiate Terms)</t>
  </si>
  <si>
    <t>Client requests change or Agency counters terms; terms version increments and prior approvals are reset.</t>
  </si>
  <si>
    <t>3.5.4 Approve Media Package</t>
  </si>
  <si>
    <t>Agency and Client each approve the current terms version; package becomes APPROVED when both timestamps exist.</t>
  </si>
  <si>
    <t>3.5.5 Create Media Campaign</t>
  </si>
  <si>
    <t>Planned: create a DRAFT campaign with work items for a workspace whose media package is APPROVED (stub throws UnsupportedOperationException today).</t>
  </si>
  <si>
    <t>Can connect with server; Package is APPROVED</t>
  </si>
  <si>
    <t>3.5.6 Approve Media Campaign</t>
  </si>
  <si>
    <t>Planned: Agency and Client approve campaign content version, then deploy creates one backlog task per work item exactly once (stub today).</t>
  </si>
  <si>
    <t>Can connect with server; Campaign exists in DRAFT</t>
  </si>
  <si>
    <t>3.5.7 Create Content Request</t>
  </si>
  <si>
    <t>Planned: workspace Client creates a PENDING content request (title, description, type, dueDate); no task generated. No code yet.</t>
  </si>
  <si>
    <t>Can connect with server; Workspace has Client member</t>
  </si>
  <si>
    <t>3.5.8 Track Content Request Status</t>
  </si>
  <si>
    <t>Planned: Manager moves request PENDING/IN_PROGRESS/ACCEPTED/DENIED; first acceptance creates exactly one backlog task (campaignId=null). No code yet.</t>
  </si>
  <si>
    <t>Can connect with server; Content request exists</t>
  </si>
  <si>
    <t>3.5.9 Update Request</t>
  </si>
  <si>
    <t>Planned: creator Client edits title/description of a PENDING request only; conditional write prevents stale edits. No code yet.</t>
  </si>
  <si>
    <t>3.5.10 Cancel Request</t>
  </si>
  <si>
    <t>Planned: creator Client cancels own PENDING request into terminal CANCELLED (soft, retained for audit); never creates a task. No code yet.</t>
  </si>
  <si>
    <t>3.6.1 Identify Task Detail</t>
  </si>
  <si>
    <t>Content &amp; Task</t>
  </si>
  <si>
    <t>Manager fills detail of a BACKLOG task and moves it to DETAIL_IDENTIFIED</t>
  </si>
  <si>
    <t>Can connect with server; User is MANAGER of workspace</t>
  </si>
  <si>
    <t>3.6.2 Assign Task To Creator</t>
  </si>
  <si>
    <t>Manager assigns a DETAIL_IDENTIFIED task to a Creator with optional QC and client approval flag</t>
  </si>
  <si>
    <t>3.6.3 Add Comments On Task</t>
  </si>
  <si>
    <t>Workspace member posts a comment on a task and comments are listed in time order</t>
  </si>
  <si>
    <t>3.6.4 List Task View</t>
  </si>
  <si>
    <t>Member lists workspace tasks as a sorted, paged table</t>
  </si>
  <si>
    <t>3.6.5 Calendar Task View</t>
  </si>
  <si>
    <t>Member views tasks by month on a calendar; Manager/Creator reschedule dueDate</t>
  </si>
  <si>
    <t>3.6.6 Gantt Timeline Task View</t>
  </si>
  <si>
    <t>Member views tasks as timeline bars with progress percent, optionally by campaign</t>
  </si>
  <si>
    <t>3.6.7 Kanban Board Task View</t>
  </si>
  <si>
    <t>Member views kanban columns by groupBy; dragging a card maps to approval transitions</t>
  </si>
  <si>
    <t>3.6.8 View Task Filter</t>
  </si>
  <si>
    <t>Member filters/searches tasks with AND logic over shared query params</t>
  </si>
  <si>
    <t>3.6.9 Approval Sequence (Creator -&gt; Manager -&gt; Client)</t>
  </si>
  <si>
    <t>Task moves through submit/QC/Manager/Client review; reject always returns to ASSIGNED keeping prior approvals</t>
  </si>
  <si>
    <t>Can connect with server; User is CREATOR of workspace</t>
  </si>
  <si>
    <t>3.6.10 Content Writing View</t>
  </si>
  <si>
    <t>Restore a content snapshot by appending a new snapshot with old state, history kept</t>
  </si>
  <si>
    <t>3.6.11 View Material Repository</t>
  </si>
  <si>
    <t>Creator/Client lists workspace materials by raw/retouched and views client Brand Collection</t>
  </si>
  <si>
    <t>3.6.12 Add Material Repository</t>
  </si>
  <si>
    <t>Creator/Client uploads image/video with raw/retouched type; same-name files are kept as separate records</t>
  </si>
  <si>
    <t>3.6.13 Update Material Repository</t>
  </si>
  <si>
    <t>Update type/note metadata of a Material without changing the original file</t>
  </si>
  <si>
    <t>Can connect with server; User is the uploader of the material</t>
  </si>
  <si>
    <t>3.6.14 Remove Material Repository</t>
  </si>
  <si>
    <t>Soft delete a Material from the Repository while keeping Task references</t>
  </si>
  <si>
    <t>Can connect with server; Material exists in workspace</t>
  </si>
  <si>
    <t>3.6.15 Apply Watermark</t>
  </si>
  <si>
    <t>Composite a Client logo onto a retouched image and save as a new file</t>
  </si>
  <si>
    <t>Can connect with server; User is CREATOR in workspace</t>
  </si>
  <si>
    <t>3.6.16 Download Material</t>
  </si>
  <si>
    <t>Stream the original (or chosen watermarked) material file to any workspace role</t>
  </si>
  <si>
    <t>Can connect with server; User is CREATOR</t>
  </si>
  <si>
    <t>3.6.17 Apply Hashtag</t>
  </si>
  <si>
    <t>Attach one or more hashtags to a Post Task, auto-creating new ones in the Collection</t>
  </si>
  <si>
    <t>Can connect with server; User is CREATOR or CLIENT of workspace</t>
  </si>
  <si>
    <t>3.6.18 View Hashtag Collection</t>
  </si>
  <si>
    <t>List active hashtags of a Workspace with purpose and required flag</t>
  </si>
  <si>
    <t>3.6.19 Add Hashtag Collection</t>
  </si>
  <si>
    <t>Add a new hashtag with purpose to the Workspace Collection</t>
  </si>
  <si>
    <t>3.6.20 Update Hashtag Collection</t>
  </si>
  <si>
    <t>Update tag, purpose and isRequired of a hashtag; old Task values stay unchanged</t>
  </si>
  <si>
    <t>Can connect with server; User is the creator of the hashtag</t>
  </si>
  <si>
    <t>3.6.21 Remove Hashtag Collection</t>
  </si>
  <si>
    <t>Soft delete a hashtag (status=removed) without affecting old Tasks</t>
  </si>
  <si>
    <t>3.6.22 Write Livestream Idea</t>
  </si>
  <si>
    <t>Save idea and goal for a Task of type livestream</t>
  </si>
  <si>
    <t>Can connect with server; User is MANAGER or CREATOR of workspace</t>
  </si>
  <si>
    <t>3.6.23 Write Livestream Script</t>
  </si>
  <si>
    <t>Save a timeline-segment script for a Task of type livestream</t>
  </si>
  <si>
    <t>3.6.24 Track Livestream Status</t>
  </si>
  <si>
    <t>Move livestream state PRE_LIVE&gt;LIVE&gt;POST_LIVE&gt;DONE, cancel only from PRE_LIVE or LIVE</t>
  </si>
  <si>
    <t>3.6.25 Create Survey</t>
  </si>
  <si>
    <t>Creator creates a survey with questions for a survey-type task and receives a public link.</t>
  </si>
  <si>
    <t>3.6.26 View Survey Analysis</t>
  </si>
  <si>
    <t>Manager/Creator views response count and per-question breakdown of a survey.</t>
  </si>
  <si>
    <t>3.6.27 Generate Meeting Link</t>
  </si>
  <si>
    <t>Creator generates a Google Meet link and attaches it to the task.</t>
  </si>
  <si>
    <t>3.6.28 View Mail Template</t>
  </si>
  <si>
    <t>Member lists mail templates of the workspace (name, subject, created date).</t>
  </si>
  <si>
    <t>3.6.29 Create Mail Template</t>
  </si>
  <si>
    <t>Member creates a mail template with name, subject, body; optionally cloned from a sample.</t>
  </si>
  <si>
    <t>3.6.30 Update Mail Template</t>
  </si>
  <si>
    <t>Member edits name, subject, body of an existing mail template (PATCH, partial).</t>
  </si>
  <si>
    <t>3.6.31 Delete Mail Template</t>
  </si>
  <si>
    <t>Member soft-deletes a mail template of the workspace.</t>
  </si>
  <si>
    <t>3.6.32 Send Email via Template</t>
  </si>
  <si>
    <t>Member sends an email built from a mail template with variables filled in.</t>
  </si>
  <si>
    <t>3.6.33 Check Compliance Content</t>
  </si>
  <si>
    <t>Creator/Client runs a third-party moderation check on post text and images and gets violations.</t>
  </si>
  <si>
    <t>3.6.34 Check Copyright Infringement</t>
  </si>
  <si>
    <t>Creator/Client runs reverse-image-search to find copyrighted matches for task images.</t>
  </si>
  <si>
    <t>3.6.35 View Content History</t>
  </si>
  <si>
    <t>Creator/Client/Manager lists workspace content history and reuses content without extra AI credit charge.</t>
  </si>
  <si>
    <t>3.6.36 Realtime Workspace Chat</t>
  </si>
  <si>
    <t>Active workspace member sends a chat message: validates content, context, idempotency, rate limit, then persists.</t>
  </si>
  <si>
    <t>Can connect with server; User is active workspace member</t>
  </si>
  <si>
    <t>3.7.1 View Trending Topics Suggestions</t>
  </si>
  <si>
    <t>AI Features</t>
  </si>
  <si>
    <t>Return ranked trend keywords from Redis ZSET by period/category/limit (via get_top_trends endpoint)</t>
  </si>
  <si>
    <t>Can connect with server; Redis trend cache populated</t>
  </si>
  <si>
    <t>3.7.2 Generate Caption</t>
  </si>
  <si>
    <t>Generate 3 structured caption variants (HOOK_DRIVEN, STORYTELLING, DIRECT_CTA) for topic/tone/platform/length</t>
  </si>
  <si>
    <t>Can connect with server; Creator has enough AI credit</t>
  </si>
  <si>
    <t>3.7.3 Generate Ambassador</t>
  </si>
  <si>
    <t>Generate one virtual ambassador image from description via FLUX worker and store it in S3</t>
  </si>
  <si>
    <t>3.7.4 View Image Style Template</t>
  </si>
  <si>
    <t>List prompt/style templates with optional category filter (GET /ai/image/templates; spec path /ai/image-style-templates)</t>
  </si>
  <si>
    <t>Can connect with server; Image style templates exist</t>
  </si>
  <si>
    <t>3.7.5 Generate Image</t>
  </si>
  <si>
    <t>Generate commercial image via SDXL/FLUX from prompt or form_data with style preset and optional logo</t>
  </si>
  <si>
    <t>3.7.6 View Video Style Template</t>
  </si>
  <si>
    <t>List video style templates (id, name, previewUrl) via GET /api/v1/ai/video-style-templates (no code yet)</t>
  </si>
  <si>
    <t>Can connect with server; Video style templates exist</t>
  </si>
  <si>
    <t>3.7.7 Generate Video</t>
  </si>
  <si>
    <t>Create async Veo video job tracked in Redis and return jobId; poll status via get_job_status</t>
  </si>
  <si>
    <t>3.7.8 Export File</t>
  </si>
  <si>
    <t>Export generated image/video asset in requested format (PNG/JPG, mp4/webM) via GET /ai/assets/{assetId}/export (no code yet)</t>
  </si>
  <si>
    <t>Can connect with server; Asset is image owned by workspace</t>
  </si>
  <si>
    <t>3.7.9 Crawl Schedule Config</t>
  </si>
  <si>
    <t>ADMIN-only get/patch crawl config (schedule, sourcePages, postsPerRun); no admin crawl-config endpoint in code yet</t>
  </si>
  <si>
    <t>Can connect with server; User is ADMIN</t>
  </si>
  <si>
    <t>3.7.10 Suggest Hashtag Trend</t>
  </si>
  <si>
    <t>Suggest platform-optimized hashtags enriched with live trend keywords from Redis cache (no LLM)</t>
  </si>
  <si>
    <t>3.7.11 Generate Livestream Script</t>
  </si>
  <si>
    <t>Generate timeline-segment livestream script from idea/goal via POST /ai/generate-livestream-script (no code yet)</t>
  </si>
  <si>
    <t>3.7.12 Recommend Collaborator</t>
  </si>
  <si>
    <t>Recommend tiered media partners (press, banner, TV) from industry/audience/budget; add to agency directory or link to campaign (no code yet)</t>
  </si>
  <si>
    <t>Can connect with server; User is CREATOR or MANAGER of workspace</t>
  </si>
  <si>
    <t>3.8.1 Connect Social Account</t>
  </si>
  <si>
    <t>Publishing</t>
  </si>
  <si>
    <t>Client connects a social account via OAuth and the token is stored encrypted</t>
  </si>
  <si>
    <t>Can connect with server; User is CLIENT of workspace</t>
  </si>
  <si>
    <t>3.8.2 Disconnect Account</t>
  </si>
  <si>
    <t>Client disconnects a social account, revokes token and fails pending posts using it</t>
  </si>
  <si>
    <t>Can connect with server; User is CLIENT owner of account</t>
  </si>
  <si>
    <t>3.8.3 View Dashboard Post</t>
  </si>
  <si>
    <t>Member views publish totals, platform breakdown and success rate of a workspace</t>
  </si>
  <si>
    <t>Can connect with server; User is MEMBER of workspace</t>
  </si>
  <si>
    <t>3.8.4 View Post Track Detail</t>
  </si>
  <si>
    <t>Member views a published post with reaction, comment, share counts and original link</t>
  </si>
  <si>
    <t>3.8.5 View Comment Detail List</t>
  </si>
  <si>
    <t>Member lists comments of a published post fetched from the platform</t>
  </si>
  <si>
    <t>3.8.6 Preview Post</t>
  </si>
  <si>
    <t>Member previews a task post in the layout of a chosen platform with limit warnings</t>
  </si>
  <si>
    <t>3.8.7 Schedule Platform Post</t>
  </si>
  <si>
    <t>Member views the publish calendar of a month in workspace timezone</t>
  </si>
  <si>
    <t>3.8.8 View Status Tracking</t>
  </si>
  <si>
    <t>Member reads the publish status of a post: PENDING, IN_PROGRESS, DONE or FAIL</t>
  </si>
  <si>
    <t>3.8.9 Publish Facebook Post</t>
  </si>
  <si>
    <t>Publish a post (text, photo or video) to Facebook Graph API and return the PublishResult</t>
  </si>
  <si>
    <t>Can connect with server; Job message delivered by RabbitMQ</t>
  </si>
  <si>
    <t>3.8.10 Publish Facebook Story</t>
  </si>
  <si>
    <t>Publish a Facebook story via Graph API (no dedicated story flow in publisher-service yet)</t>
  </si>
  <si>
    <t>3.8.11 Publish Facebook Reels</t>
  </si>
  <si>
    <t>Publish a Facebook reel via Graph API (no dedicated reel flow in publisher-service yet)</t>
  </si>
  <si>
    <t>3.8.12 Publish Instagram Post</t>
  </si>
  <si>
    <t>Publish an image or carousel post to Instagram via container create, poll and media_publish</t>
  </si>
  <si>
    <t>3.8.13 Publish Instagram Reels</t>
  </si>
  <si>
    <t>Publish an Instagram REELS (service comment says Reels/Story out of scope; only image/carousel exist)</t>
  </si>
  <si>
    <t>3.8.14 Publish Instagram Story</t>
  </si>
  <si>
    <t>Publish an Instagram STORIES (service comment says Reels/Story out of scope; only image/carousel exist)</t>
  </si>
  <si>
    <t>3.8.15 Publish TikTok Video</t>
  </si>
  <si>
    <t>Publish a video to TikTok; direct post for &lt;=60s videos, Creator Upload otherwise</t>
  </si>
  <si>
    <t>3.8.16 Publish Threads Post</t>
  </si>
  <si>
    <t>Publish a text or single-image post to Threads via container create, poll and threads_publish</t>
  </si>
  <si>
    <t>3.9.1 Upgrade Plan</t>
  </si>
  <si>
    <t>Billing</t>
  </si>
  <si>
    <t>Upgrade user to selected active plan; listPlans is still a stub</t>
  </si>
  <si>
    <t>Can connect with server; User is authenticated</t>
  </si>
  <si>
    <t>3.9.2 Downgrade Plan</t>
  </si>
  <si>
    <t>Cancel/downgrade the user's subscription (Owner only per spec; workspace limit check not in code)</t>
  </si>
  <si>
    <t>3.9.3 Make Payment (PayOS)</t>
  </si>
  <si>
    <t>Create PENDING transaction, handle PayOS webhook idempotently with ACID (stub throws UnsupportedOperationException)</t>
  </si>
  <si>
    <t>3.9.4 View Invoice History</t>
  </si>
  <si>
    <t>List caller's transactions (stub throws UnsupportedOperationException)</t>
  </si>
  <si>
    <t>3.9.5 View AI Credit Tracking</t>
  </si>
  <si>
    <t>Return AI credit usage by month/feature (stub throws UnsupportedOperationException)</t>
  </si>
  <si>
    <t>3.9.6 Buy Credit</t>
  </si>
  <si>
    <t>Owner creates PENDING transaction to buy credit (stub throws UnsupportedOperationException)</t>
  </si>
  <si>
    <t>3.9.7 Set Credit</t>
  </si>
  <si>
    <t>Owner sets monthly credit limit for a creator (stub throws UnsupportedOperationException)</t>
  </si>
  <si>
    <t>3.10.1 Push Notification</t>
  </si>
  <si>
    <t>Admin</t>
  </si>
  <si>
    <t>Admin creates a system notification for an audience, sent now or scheduled</t>
  </si>
  <si>
    <t>Can connect with server; Caller has ADMIN system role</t>
  </si>
  <si>
    <t>3.10.2 Platform Statistics Overview</t>
  </si>
  <si>
    <t>Admin retrieves platform-wide user, revenue and active agency statistics</t>
  </si>
  <si>
    <t>3.10.3 System Health Monitoring</t>
  </si>
  <si>
    <t>Admin lists microservice health: status UP/DOWN, CPU %, RAM %, uptime</t>
  </si>
  <si>
    <t>3.10.4 Content Moderation Queue</t>
  </si>
  <si>
    <t>Admin lists flagged content and overrides system decision with approve or block</t>
  </si>
  <si>
    <t>3.10.5 User Management (Verify/Disable/Delete)</t>
  </si>
  <si>
    <t>Admin changes a user's status through one PATCH endpoint with action verify, disable or delete (soft)</t>
  </si>
  <si>
    <t>3.10.6 View User</t>
  </si>
  <si>
    <t>Admin lists users with paging and search by email or full name</t>
  </si>
  <si>
    <t>3.10.7 Create User</t>
  </si>
  <si>
    <t>Admin creates a user with a temporary password and the user gets an email to set a password</t>
  </si>
  <si>
    <t>3.10.8 Update User</t>
  </si>
  <si>
    <t>Admin updates a user's fullName, email or plan; email must stay unique</t>
  </si>
  <si>
    <t>3.10.9 Deactive User</t>
  </si>
  <si>
    <t>Admin deactivates a normal user account (banUser exists but sets SUSPENDED; spec wants DEACTIVATED via POST /deactivate); admins protected</t>
  </si>
  <si>
    <t>3.10.11 View Revenue Dashboard</t>
  </si>
  <si>
    <t>Admin views total revenue broken down by plan subscription and credit purchase for a date range</t>
  </si>
  <si>
    <t>3.10.12 Export Report File PDF</t>
  </si>
  <si>
    <t>Admin exports a user or revenue report to PDF for a date range; empty data still yields a PDF</t>
  </si>
  <si>
    <t>TEST STATISTICS</t>
  </si>
  <si>
    <t>Reviewer/Approver</t>
  </si>
  <si>
    <t>Notes</t>
  </si>
  <si>
    <t>Release 1 includes 9 modules: Authentication, Profile, Agency &amp; Workspace, Media Package, Content &amp; Task, AI Features, Publishing, Billing, Admin</t>
  </si>
  <si>
    <t>Module code</t>
  </si>
  <si>
    <t>Passed</t>
  </si>
  <si>
    <t>Failed</t>
  </si>
  <si>
    <t>Pending</t>
  </si>
  <si>
    <t>N/A</t>
  </si>
  <si>
    <t>Number of  test cases</t>
  </si>
  <si>
    <t>Sub total</t>
  </si>
  <si>
    <t>Test coverage</t>
  </si>
  <si>
    <t>%</t>
  </si>
  <si>
    <t>Test successful coverage</t>
  </si>
  <si>
    <t>Feature</t>
  </si>
  <si>
    <t>Test requirement</t>
  </si>
  <si>
    <t>Functional test of 3.2.1 Sign Up (Email + OTP); 3.2.2 Sign In with Email; 3.2.3 Sign In with Google OAuth; 3.2.4 Reset Password and 5 more</t>
  </si>
  <si>
    <t>Number of TCs</t>
  </si>
  <si>
    <t>Testing Round</t>
  </si>
  <si>
    <t>Round 1</t>
  </si>
  <si>
    <t>Round 2</t>
  </si>
  <si>
    <t>Round 3</t>
  </si>
  <si>
    <t>Test Case ID</t>
  </si>
  <si>
    <t>Test Case Description</t>
  </si>
  <si>
    <t>Test Case Procedure</t>
  </si>
  <si>
    <t>Expected Results</t>
  </si>
  <si>
    <t>Pre-conditions</t>
  </si>
  <si>
    <t>Test date</t>
  </si>
  <si>
    <t>Tester</t>
  </si>
  <si>
    <t>Note</t>
  </si>
  <si>
    <t>FR3.2.1-01</t>
  </si>
  <si>
    <t>[Normal] Sign Up (Email + OTP) with email = new@brandhub.vn, password = Abc@12345, fullName = Nguyen Van A</t>
  </si>
  <si>
    <t>1. Prepare the state listed in Pre-conditions.
2. Call AuthServiceImpl.register with: email = new@brandhub.vn; password = Abc@12345; fullName = Nguyen Van A.
3. Check the response / error and the log.</t>
  </si>
  <si>
    <t>201 Created - RegisterResponse(userId)
Log: OTP email sent to new@brandhub.vn</t>
  </si>
  <si>
    <t>- Can connect with server
- Email not registered</t>
  </si>
  <si>
    <t>FR3.2.1-02</t>
  </si>
  <si>
    <t>[Normal] Sign Up (Email + OTP) with email =   Mixed@BrandHub.VN , password = Abc@12345, fullName = Nguyen Van A</t>
  </si>
  <si>
    <t>1. Prepare the state listed in Pre-conditions.
2. Call AuthServiceImpl.register with: email =   Mixed@BrandHub.VN ; password = Abc@12345; fullName = Nguyen Van A.
3. Check the response / error and the log.</t>
  </si>
  <si>
    <t>201 Created - email stored lowercase and trimmed
Log: OTP email sent</t>
  </si>
  <si>
    <t>FR3.2.1-03</t>
  </si>
  <si>
    <t xml:space="preserve">[Normal] Sign Up (Email + OTP) with email = new@brandhub.vn, password = Abc@12345, fullName =   Tran B  </t>
  </si>
  <si>
    <t>1. Prepare the state listed in Pre-conditions.
2. Call AuthServiceImpl.register with: email = new@brandhub.vn; password = Abc@12345; fullName =   Tran B  .
3. Check the response / error and the log.</t>
  </si>
  <si>
    <t>201 Created - fullName stored trimmed
Log: OTP email sent</t>
  </si>
  <si>
    <t>FR3.2.1-04</t>
  </si>
  <si>
    <t>201 Created - password saved as bcrypt hash, not plaintext</t>
  </si>
  <si>
    <t>FR3.2.1-05</t>
  </si>
  <si>
    <t>201 Created - UserSystemRole USER saved, emailVerifiedAt null</t>
  </si>
  <si>
    <t>FR3.2.1-06</t>
  </si>
  <si>
    <t>201 Created - OTP expiry set to now + 10 minutes</t>
  </si>
  <si>
    <t>FR3.2.1-07</t>
  </si>
  <si>
    <t>201 Created - unverified user cannot login until OTP verified
Log: OTP email sent</t>
  </si>
  <si>
    <t>FR3.2.1-08</t>
  </si>
  <si>
    <t>[Boundary] Sign Up (Email + OTP) with email = new@brandhub.vn, password = Abcdef12, fullName = Nguyen Van A</t>
  </si>
  <si>
    <t>1. Prepare the state listed in Pre-conditions.
2. Call AuthServiceImpl.register with: email = new@brandhub.vn; password = Abcdef12; fullName = Nguyen Van A.
3. Check the response / error and the log.</t>
  </si>
  <si>
    <t>201 Created - password exactly 8 chars with 1 digit accepted
Log: OTP email sent</t>
  </si>
  <si>
    <t>FR3.2.1-09</t>
  </si>
  <si>
    <t>[Boundary] Sign Up (Email + OTP) with email = new@brandhub.vn, password = Abcdefg1, fullName = N</t>
  </si>
  <si>
    <t>1. Prepare the state listed in Pre-conditions.
2. Call AuthServiceImpl.register with: email = new@brandhub.vn; password = Abcdefg1; fullName = N.
3. Check the response / error and the log.</t>
  </si>
  <si>
    <t>201 Created - fullName 1 char accepted
Log: OTP email sent</t>
  </si>
  <si>
    <t>FR3.2.1-10</t>
  </si>
  <si>
    <t>[Boundary] Sign Up (Email + OTP) with email = new@brandhub.vn, password = Abcdef1, fullName = Nguyen Van A</t>
  </si>
  <si>
    <t>1. Prepare the state listed in Pre-conditions.
2. Call AuthServiceImpl.register with: email = new@brandhub.vn; password = Abcdef1; fullName = Nguyen Van A.
3. Check the response / error and the log.</t>
  </si>
  <si>
    <t>Error: VALIDATION_ERROR - Password must be at least 8 characters (7 chars)</t>
  </si>
  <si>
    <t>FR3.2.1-11</t>
  </si>
  <si>
    <t>[Abnormal] Sign Up (Email + OTP) with email = new@brandhub.vn, password = Abc@12345, fullName = Nguyen Van A</t>
  </si>
  <si>
    <t>Error: EMAIL_ALREADY_EXISTS - 409 This email is already associated with another account</t>
  </si>
  <si>
    <t>- Can connect with server
- Email already registered</t>
  </si>
  <si>
    <t>FR3.2.1-12</t>
  </si>
  <si>
    <t>[Abnormal] Sign Up (Email + OTP) with email = NEW@BrandHub.vn, password = Abc@12345, fullName = Nguyen Van A</t>
  </si>
  <si>
    <t>1. Prepare the state listed in Pre-conditions.
2. Call AuthServiceImpl.register with: email = NEW@BrandHub.vn; password = Abc@12345; fullName = Nguyen Van A.
3. Check the response / error and the log.</t>
  </si>
  <si>
    <t>Error: EMAIL_ALREADY_EXISTS - case-insensitive duplicate, no new account, no OTP resend</t>
  </si>
  <si>
    <t>FR3.2.1-13</t>
  </si>
  <si>
    <t>Error: EMAIL_ALREADY_EXISTS - unverified account not re-registered</t>
  </si>
  <si>
    <t>- Can connect with server
- Email already registered but unverified</t>
  </si>
  <si>
    <t>FR3.2.1-14</t>
  </si>
  <si>
    <t>[Abnormal] Sign Up (Email + OTP) with email = new@brandhub.vn, password = Abcdefgh, fullName = Nguyen Van A</t>
  </si>
  <si>
    <t>1. Prepare the state listed in Pre-conditions.
2. Call AuthServiceImpl.register with: email = new@brandhub.vn; password = Abcdefgh; fullName = Nguyen Van A.
3. Check the response / error and the log.</t>
  </si>
  <si>
    <t>Error: VALIDATION_ERROR - Password must contain at least one number</t>
  </si>
  <si>
    <t>- Can connect with server</t>
  </si>
  <si>
    <t>FR3.2.1-15</t>
  </si>
  <si>
    <t>[Abnormal] Sign Up (Email + OTP) with email = not-an-email, password = Abc@12345, fullName = Nguyen Van A</t>
  </si>
  <si>
    <t>1. Prepare the state listed in Pre-conditions.
2. Call AuthServiceImpl.register with: email = not-an-email; password = Abc@12345; fullName = Nguyen Van A.
3. Check the response / error and the log.</t>
  </si>
  <si>
    <t>Error: VALIDATION_ERROR - email invalid format</t>
  </si>
  <si>
    <t>FR3.2.1-16</t>
  </si>
  <si>
    <t>[Abnormal] Sign Up (Email + OTP) with email = null, password = Abc@12345, fullName = Nguyen Van A</t>
  </si>
  <si>
    <t>1. Prepare the state listed in Pre-conditions.
2. Call AuthServiceImpl.register with: email = null; password = Abc@12345; fullName = Nguyen Van A.
3. Check the response / error and the log.</t>
  </si>
  <si>
    <t>Error: VALIDATION_ERROR - email must not be blank</t>
  </si>
  <si>
    <t>FR3.2.1-17</t>
  </si>
  <si>
    <t>[Abnormal] Sign Up (Email + OTP) with email = new@brandhub.vn, password = null, fullName = Nguyen Van A</t>
  </si>
  <si>
    <t>1. Prepare the state listed in Pre-conditions.
2. Call AuthServiceImpl.register with: email = new@brandhub.vn; password = null; fullName = Nguyen Van A.
3. Check the response / error and the log.</t>
  </si>
  <si>
    <t>Error: VALIDATION_ERROR - password must not be blank</t>
  </si>
  <si>
    <t>FR3.2.1-18</t>
  </si>
  <si>
    <t>[Abnormal] Sign Up (Email + OTP) with email = new@brandhub.vn, password = Abc@12345, fullName = empty</t>
  </si>
  <si>
    <t>1. Prepare the state listed in Pre-conditions.
2. Call AuthServiceImpl.register with: email = new@brandhub.vn; password = Abc@12345; fullName = empty.
3. Check the response / error and the log.</t>
  </si>
  <si>
    <t>Error: VALIDATION_ERROR - fullName must not be blank</t>
  </si>
  <si>
    <t>FR3.2.2-01</t>
  </si>
  <si>
    <t>[Normal] Sign In with Email with identifier = user@brandhub.vn, password = Abc@12345</t>
  </si>
  <si>
    <t>1. Prepare the state listed in Pre-conditions.
2. Call AuthServiceImpl.login with: identifier = user@brandhub.vn; password = Abc@12345.
3. Check the response / error and the log.</t>
  </si>
  <si>
    <t>200 OK - LoginResponse(accessToken, expiresIn) + refresh token
Log: Audit LOGIN saved</t>
  </si>
  <si>
    <t>- Can connect with server
- Account ACTIVE and email verified</t>
  </si>
  <si>
    <t>FR3.2.2-02</t>
  </si>
  <si>
    <t>[Normal] Sign In with Email with identifier = USER@BrandHub.VN, password = Abc@12345</t>
  </si>
  <si>
    <t>1. Prepare the state listed in Pre-conditions.
2. Call AuthServiceImpl.login with: identifier = USER@BrandHub.VN; password = Abc@12345.
3. Check the response / error and the log.</t>
  </si>
  <si>
    <t>200 OK - identifier matched case-insensitively
Log: Audit LOGIN saved</t>
  </si>
  <si>
    <t>FR3.2.2-03</t>
  </si>
  <si>
    <t>[Normal] Sign In with Email with identifier = +84901234567, password = Abc@12345</t>
  </si>
  <si>
    <t>1. Prepare the state listed in Pre-conditions.
2. Call AuthServiceImpl.login with: identifier = +84901234567; password = Abc@12345.
3. Check the response / error and the log.</t>
  </si>
  <si>
    <t>200 OK - login by phone identifier
Log: Audit LOGIN saved</t>
  </si>
  <si>
    <t>- Can connect with server
- Account ACTIVE and email verified
- Identifier is a linked phone number</t>
  </si>
  <si>
    <t>FR3.2.2-04</t>
  </si>
  <si>
    <t>200 OK - lastLoginAt updated</t>
  </si>
  <si>
    <t>FR3.2.2-05</t>
  </si>
  <si>
    <t>200 OK - access token contains workspaceId claim</t>
  </si>
  <si>
    <t>- Can connect with server
- Account ACTIVE and email verified
- User has active workspace</t>
  </si>
  <si>
    <t>FR3.2.2-06</t>
  </si>
  <si>
    <t>[Normal] Sign In with Email with identifier = admin@brandhub.vn, password = Abc@12345</t>
  </si>
  <si>
    <t>1. Prepare the state listed in Pre-conditions.
2. Call AuthServiceImpl.login with: identifier = admin@brandhub.vn; password = Abc@12345.
3. Check the response / error and the log.</t>
  </si>
  <si>
    <t>200 OK - access token role=ADMIN</t>
  </si>
  <si>
    <t>- Can connect with server
- Account ACTIVE and email verified
- User has role ADMIN</t>
  </si>
  <si>
    <t>FR3.2.2-07</t>
  </si>
  <si>
    <t>200 OK - workspaceId claim null</t>
  </si>
  <si>
    <t>- Can connect with server
- Account ACTIVE and email verified
- User has no workspace</t>
  </si>
  <si>
    <t>FR3.2.2-08</t>
  </si>
  <si>
    <t>200 OK - LoginResponse.twoFactorChallenge(twoFactorToken), no access token</t>
  </si>
  <si>
    <t>- Can connect with server
- Account ACTIVE and email verified
- 2FA enabled for user</t>
  </si>
  <si>
    <t>FR3.2.2-09</t>
  </si>
  <si>
    <t>200 OK - refresh token returned with refreshExpirationMs</t>
  </si>
  <si>
    <t>FR3.2.2-10</t>
  </si>
  <si>
    <t>[Boundary] Sign In with Email with identifier = user@brandhub.vn, password = A1234567</t>
  </si>
  <si>
    <t>1. Prepare the state listed in Pre-conditions.
2. Call AuthServiceImpl.login with: identifier = user@brandhub.vn; password = A1234567.
3. Check the response / error and the log.</t>
  </si>
  <si>
    <t>200 OK - 8-char password matches</t>
  </si>
  <si>
    <t>FR3.2.2-11</t>
  </si>
  <si>
    <t>[Abnormal] Sign In with Email with identifier = ghost@brandhub.vn, password = Abc@12345</t>
  </si>
  <si>
    <t>1. Prepare the state listed in Pre-conditions.
2. Call AuthServiceImpl.login with: identifier = ghost@brandhub.vn; password = Abc@12345.
3. Check the response / error and the log.</t>
  </si>
  <si>
    <t>Error: INVALID_CREDENTIALS - 401 Invalid email or password</t>
  </si>
  <si>
    <t>FR3.2.2-12</t>
  </si>
  <si>
    <t>[Abnormal] Sign In with Email with identifier = user@brandhub.vn, password = WrongPass1</t>
  </si>
  <si>
    <t>1. Prepare the state listed in Pre-conditions.
2. Call AuthServiceImpl.login with: identifier = user@brandhub.vn; password = WrongPass1.
3. Check the response / error and the log.</t>
  </si>
  <si>
    <t>FR3.2.2-13</t>
  </si>
  <si>
    <t>[Abnormal] Sign In with Email with identifier = oauth@brandhub.vn, password = Abc@12345</t>
  </si>
  <si>
    <t>1. Prepare the state listed in Pre-conditions.
2. Call AuthServiceImpl.login with: identifier = oauth@brandhub.vn; password = Abc@12345.
3. Check the response / error and the log.</t>
  </si>
  <si>
    <t>- Can connect with server
- OAuth-only account (passwordHash null)</t>
  </si>
  <si>
    <t>FR3.2.2-14</t>
  </si>
  <si>
    <t>[Abnormal] Sign In with Email with identifier = user@brandhub.vn, password = Abc@12345</t>
  </si>
  <si>
    <t>Error: ACCOUNT_SUSPENDED - 403 Account has been suspended</t>
  </si>
  <si>
    <t>- Can connect with server
- User isActive=false</t>
  </si>
  <si>
    <t>FR3.2.2-15</t>
  </si>
  <si>
    <t>Error: ACCOUNT_DEACTIVATED - 403 Account has been deactivated</t>
  </si>
  <si>
    <t>- Can connect with server
- User status DEACTIVATED</t>
  </si>
  <si>
    <t>FR3.2.2-16</t>
  </si>
  <si>
    <t>- Can connect with server
- User status not ACTIVE (pending/banned)</t>
  </si>
  <si>
    <t>FR3.2.2-17</t>
  </si>
  <si>
    <t>[Abnormal] Sign In with Email with identifier = empty, password = Abc@12345</t>
  </si>
  <si>
    <t>1. Prepare the state listed in Pre-conditions.
2. Call AuthServiceImpl.login with: identifier = empty; password = Abc@12345.
3. Check the response / error and the log.</t>
  </si>
  <si>
    <t>Error: VALIDATION_ERROR - identifier must not be blank</t>
  </si>
  <si>
    <t>FR3.2.2-18</t>
  </si>
  <si>
    <t>[Abnormal] Sign In with Email with identifier = user@brandhub.vn, password = null</t>
  </si>
  <si>
    <t>1. Prepare the state listed in Pre-conditions.
2. Call AuthServiceImpl.login with: identifier = user@brandhub.vn; password = null.
3. Check the response / error and the log.</t>
  </si>
  <si>
    <t>FR3.2.3-01</t>
  </si>
  <si>
    <t>[Normal] Sign In with Google OAuth with code = valid code, state = valid state</t>
  </si>
  <si>
    <t>1. Prepare the state listed in Pre-conditions.
2. Call OAuthService (GoogleOAuthService).handleCallback with: code = valid code; state = valid state.
3. Check the response / error and the log.</t>
  </si>
  <si>
    <t>200 OK - CallbackResult(loginResult), access + refresh token issued
Log: Audit LOGIN saved</t>
  </si>
  <si>
    <t>- Can connect with server
- OAuth state valid in Redis for GOOGLE
- Google account already linked to a user</t>
  </si>
  <si>
    <t>FR3.2.3-02</t>
  </si>
  <si>
    <t>200 OK - new OAuth-only user created (emailVerifiedAt set, role USER) and logged in
Log: Audit LOGIN saved</t>
  </si>
  <si>
    <t>- Can connect with server
- OAuth state valid in Redis for GOOGLE
- No user with Google email</t>
  </si>
  <si>
    <t>FR3.2.3-03</t>
  </si>
  <si>
    <t>200 OK - Google provider linked to existing account, logged in
Log: Audit LOGIN saved</t>
  </si>
  <si>
    <t>- Can connect with server
- OAuth state valid in Redis for GOOGLE
- Existing password user with same email</t>
  </si>
  <si>
    <t>FR3.2.3-04</t>
  </si>
  <si>
    <t>200 OK - CallbackResult(twoFactorToken), no access token</t>
  </si>
  <si>
    <t>- Can connect with server
- OAuth state valid in Redis for GOOGLE
- Google account already linked to a user
- 2FA enabled for user</t>
  </si>
  <si>
    <t>FR3.2.3-05</t>
  </si>
  <si>
    <t>[Normal] Sign In with Google OAuth with code = valid code, state = valid link state</t>
  </si>
  <si>
    <t>1. Prepare the state listed in Pre-conditions.
2. Call OAuthService (GoogleOAuthService).handleCallback with: code = valid code; state = valid link state.
3. Check the response / error and the log.</t>
  </si>
  <si>
    <t>200 OK - CallbackResult(isLinkMode=true, linkedProvider=GOOGLE)</t>
  </si>
  <si>
    <t>- Can connect with server
- OAuth state valid in Redis for GOOGLE with linkingUserId
- Link email equals current user email</t>
  </si>
  <si>
    <t>FR3.2.3-06</t>
  </si>
  <si>
    <t>200 OK - state key consumed (getAndDelete), lastLoginAt updated</t>
  </si>
  <si>
    <t>FR3.2.3-07</t>
  </si>
  <si>
    <t>200 OK - new user avatarUrl taken from Google profile</t>
  </si>
  <si>
    <t>- Can connect with server
- OAuth state valid in Redis for GOOGLE
- No user with Google email
- Google profile has avatar</t>
  </si>
  <si>
    <t>FR3.2.3-08</t>
  </si>
  <si>
    <t>200 OK - access token has workspaceId claim</t>
  </si>
  <si>
    <t>- Can connect with server
- OAuth state valid in Redis for GOOGLE
- Existing user has active workspace</t>
  </si>
  <si>
    <t>FR3.2.3-09</t>
  </si>
  <si>
    <t>[Boundary] Sign In with Google OAuth with code = valid code, state = valid state</t>
  </si>
  <si>
    <t>200 OK - email lowercased and trimmed before lookup/create</t>
  </si>
  <si>
    <t>- Can connect with server
- OAuth state valid in Redis for GOOGLE
- Google email has mixed case/spaces</t>
  </si>
  <si>
    <t>FR3.2.3-10</t>
  </si>
  <si>
    <t>[Boundary] Sign In with Google OAuth with code = valid code, state = valid link state</t>
  </si>
  <si>
    <t>200 OK - equalsIgnoreCase match, provider linked</t>
  </si>
  <si>
    <t>- Can connect with server
- OAuth state valid in Redis for GOOGLE with linkingUserId
- Link email differs only by case</t>
  </si>
  <si>
    <t>FR3.2.3-11</t>
  </si>
  <si>
    <t>[Abnormal] Sign In with Google OAuth with code = valid code, state = expired state</t>
  </si>
  <si>
    <t>1. Prepare the state listed in Pre-conditions.
2. Call OAuthService (GoogleOAuthService).handleCallback with: code = valid code; state = expired state.
3. Check the response / error and the log.</t>
  </si>
  <si>
    <t>Error: OAUTH_STATE_INVALID - 400 OAuth state is invalid or has expired</t>
  </si>
  <si>
    <t>- Can connect with server
- State not in Redis (expired or reused)</t>
  </si>
  <si>
    <t>FR3.2.3-12</t>
  </si>
  <si>
    <t>[Abnormal] Sign In with Google OAuth with code = valid code, state = foreign state</t>
  </si>
  <si>
    <t>1. Prepare the state listed in Pre-conditions.
2. Call OAuthService (GoogleOAuthService).handleCallback with: code = valid code; state = foreign state.
3. Check the response / error and the log.</t>
  </si>
  <si>
    <t>- Can connect with server
- State stored for a different provider</t>
  </si>
  <si>
    <t>FR3.2.3-13</t>
  </si>
  <si>
    <t>[Abnormal] Sign In with Google OAuth with code = null, state = valid state</t>
  </si>
  <si>
    <t>1. Prepare the state listed in Pre-conditions.
2. Call OAuthService (GoogleOAuthService).handleCallback with: code = null; state = valid state.
3. Check the response / error and the log.</t>
  </si>
  <si>
    <t>Error: OAUTH_CODE_INVALID - 400 OAuth authorization code exchange failed</t>
  </si>
  <si>
    <t>- Can connect with server
- OAuth state valid in Redis for GOOGLE</t>
  </si>
  <si>
    <t>FR3.2.3-14</t>
  </si>
  <si>
    <t>[Abnormal] Sign In with Google OAuth with code = invalid code, state = valid state</t>
  </si>
  <si>
    <t>1. Prepare the state listed in Pre-conditions.
2. Call OAuthService (GoogleOAuthService).handleCallback with: code = invalid code; state = valid state.
3. Check the response / error and the log.</t>
  </si>
  <si>
    <t>FR3.2.3-15</t>
  </si>
  <si>
    <t>[Abnormal] Sign In with Google OAuth with code = valid code, state = valid state</t>
  </si>
  <si>
    <t>- Can connect with server
- OAuth state valid in Redis for GOOGLE
- Google account linked to user isActive=false</t>
  </si>
  <si>
    <t>FR3.2.3-16</t>
  </si>
  <si>
    <t>- Can connect with server
- OAuth state valid in Redis for GOOGLE
- Google account linked to user status DEACTIVATED</t>
  </si>
  <si>
    <t>FR3.2.3-17</t>
  </si>
  <si>
    <t>[Abnormal] Sign In with Google OAuth with code = valid code, state = valid link state</t>
  </si>
  <si>
    <t>Error: OAUTH_EMAIL_MISMATCH - 409 OAuth account email does not match your current account</t>
  </si>
  <si>
    <t>- Can connect with server
- OAuth state valid in Redis for GOOGLE with linkingUserId
- Link email differs from Google email</t>
  </si>
  <si>
    <t>FR3.2.3-18</t>
  </si>
  <si>
    <t>Error: OAUTH_ALREADY_LINKED - 409 linked to a different account</t>
  </si>
  <si>
    <t>- Can connect with server
- OAuth state valid in Redis for GOOGLE with linkingUserId
- Google account linked to another user</t>
  </si>
  <si>
    <t>FR3.2.3-19</t>
  </si>
  <si>
    <t>Error: USER_NOT_FOUND - 404 User not found</t>
  </si>
  <si>
    <t>- Can connect with server
- OAuth state valid in Redis for GOOGLE with linkingUserId
- Linking user deleted</t>
  </si>
  <si>
    <t>FR3.2.4-01</t>
  </si>
  <si>
    <t>[Normal] Reset Password with token = valid 64-hex token, newPassword = NewPass123</t>
  </si>
  <si>
    <t>1. Prepare the state listed in Pre-conditions.
2. Call AuthServiceImpl.resetPassword with: token = valid 64-hex token; newPassword = NewPass123.
3. Check the response / error and the log.</t>
  </si>
  <si>
    <t>200 OK - password hash updated</t>
  </si>
  <si>
    <t>- Can connect with server
- Reset token valid in Redis</t>
  </si>
  <si>
    <t>FR3.2.4-02</t>
  </si>
  <si>
    <t>200 OK - lastPasswordChange set (old refresh tokens rejected)</t>
  </si>
  <si>
    <t>FR3.2.4-03</t>
  </si>
  <si>
    <t>200 OK - reset token key deleted from Redis</t>
  </si>
  <si>
    <t>FR3.2.4-04</t>
  </si>
  <si>
    <t>200 OK - per-user reset pointer key deleted</t>
  </si>
  <si>
    <t>FR3.2.4-05</t>
  </si>
  <si>
    <t>200 OK - password reset, 2FA setting unchanged</t>
  </si>
  <si>
    <t>- Can connect with server
- Reset token valid in Redis
- User has 2FA enabled</t>
  </si>
  <si>
    <t>FR3.2.4-06</t>
  </si>
  <si>
    <t>200 OK - password set for the first time</t>
  </si>
  <si>
    <t>- Can connect with server
- Reset token valid in Redis
- OAuth-only user (no password)</t>
  </si>
  <si>
    <t>FR3.2.4-07</t>
  </si>
  <si>
    <t>[Normal] Reset Password with token = valid 64-hex token, newPassword = P@ss w0rd!long-pass</t>
  </si>
  <si>
    <t>1. Prepare the state listed in Pre-conditions.
2. Call AuthServiceImpl.resetPassword with: token = valid 64-hex token; newPassword = P@ss w0rd!long-pass.
3. Check the response / error and the log.</t>
  </si>
  <si>
    <t>200 OK - long password with symbols accepted</t>
  </si>
  <si>
    <t>FR3.2.4-08</t>
  </si>
  <si>
    <t>[Normal] Reset Password with token = second token, newPassword = NewPass123</t>
  </si>
  <si>
    <t>1. Prepare the state listed in Pre-conditions.
2. Call AuthServiceImpl.resetPassword with: token = second token; newPassword = NewPass123.
3. Check the response / error and the log.</t>
  </si>
  <si>
    <t>200 OK - latest token works</t>
  </si>
  <si>
    <t>- Can connect with server
- Reset requested twice (second token valid)</t>
  </si>
  <si>
    <t>FR3.2.4-09</t>
  </si>
  <si>
    <t>[Boundary] Reset Password with token = valid 64-hex token, newPassword = Abcdef12</t>
  </si>
  <si>
    <t>1. Prepare the state listed in Pre-conditions.
2. Call AuthServiceImpl.resetPassword with: token = valid 64-hex token; newPassword = Abcdef12.
3. Check the response / error and the log.</t>
  </si>
  <si>
    <t>200 OK - password exactly 8 chars with digit accepted</t>
  </si>
  <si>
    <t>FR3.2.4-10</t>
  </si>
  <si>
    <t>[Boundary] Reset Password with token = valid 64-hex token, newPassword = Abcdef1</t>
  </si>
  <si>
    <t>1. Prepare the state listed in Pre-conditions.
2. Call AuthServiceImpl.resetPassword with: token = valid 64-hex token; newPassword = Abcdef1.
3. Check the response / error and the log.</t>
  </si>
  <si>
    <t>FR3.2.4-11</t>
  </si>
  <si>
    <t>[Abnormal] Reset Password with token = unknown token, newPassword = NewPass123</t>
  </si>
  <si>
    <t>1. Prepare the state listed in Pre-conditions.
2. Call AuthServiceImpl.resetPassword with: token = unknown token; newPassword = NewPass123.
3. Check the response / error and the log.</t>
  </si>
  <si>
    <t>Error: RESET_TOKEN_INVALID - 400 Password reset token is invalid or has expired</t>
  </si>
  <si>
    <t>- Can connect with server
- Token not in Redis</t>
  </si>
  <si>
    <t>FR3.2.4-12</t>
  </si>
  <si>
    <t>[Abnormal] Reset Password with token = expired token, newPassword = NewPass123</t>
  </si>
  <si>
    <t>1. Prepare the state listed in Pre-conditions.
2. Call AuthServiceImpl.resetPassword with: token = expired token; newPassword = NewPass123.
3. Check the response / error and the log.</t>
  </si>
  <si>
    <t>- Can connect with server
- Token TTL expired</t>
  </si>
  <si>
    <t>FR3.2.4-13</t>
  </si>
  <si>
    <t>[Abnormal] Reset Password with token = old token, newPassword = NewPass123</t>
  </si>
  <si>
    <t>1. Prepare the state listed in Pre-conditions.
2. Call AuthServiceImpl.resetPassword with: token = old token; newPassword = NewPass123.
3. Check the response / error and the log.</t>
  </si>
  <si>
    <t>- Can connect with server
- Token replaced by newer reset request</t>
  </si>
  <si>
    <t>FR3.2.4-14</t>
  </si>
  <si>
    <t>[Abnormal] Reset Password with token = racing token, newPassword = NewPass123</t>
  </si>
  <si>
    <t>1. Prepare the state listed in Pre-conditions.
2. Call AuthServiceImpl.resetPassword with: token = racing token; newPassword = NewPass123.
3. Check the response / error and the log.</t>
  </si>
  <si>
    <t>Error: RESET_TOKEN_USED - 400 Password reset token has already been used</t>
  </si>
  <si>
    <t>- Can connect with server
- Token deleted concurrently after read</t>
  </si>
  <si>
    <t>FR3.2.4-15</t>
  </si>
  <si>
    <t>[Abnormal] Reset Password with token = valid 64-hex token, newPassword = NewPass123</t>
  </si>
  <si>
    <t>- Can connect with server
- Token maps to deleted user</t>
  </si>
  <si>
    <t>FR3.2.4-16</t>
  </si>
  <si>
    <t>[Abnormal] Reset Password with token = valid 64-hex token, newPassword = Abcdefgh</t>
  </si>
  <si>
    <t>1. Prepare the state listed in Pre-conditions.
2. Call AuthServiceImpl.resetPassword with: token = valid 64-hex token; newPassword = Abcdefgh.
3. Check the response / error and the log.</t>
  </si>
  <si>
    <t>FR3.2.4-17</t>
  </si>
  <si>
    <t>[Abnormal] Reset Password with token = valid 64-hex token, newPassword = empty</t>
  </si>
  <si>
    <t>1. Prepare the state listed in Pre-conditions.
2. Call AuthServiceImpl.resetPassword with: token = valid 64-hex token; newPassword = empty.
3. Check the response / error and the log.</t>
  </si>
  <si>
    <t>Error: VALIDATION_ERROR - newPassword must not be blank</t>
  </si>
  <si>
    <t>FR3.2.4-18</t>
  </si>
  <si>
    <t>[Abnormal] Reset Password with token = empty, newPassword = NewPass123</t>
  </si>
  <si>
    <t>1. Prepare the state listed in Pre-conditions.
2. Call AuthServiceImpl.resetPassword with: token = empty; newPassword = NewPass123.
3. Check the response / error and the log.</t>
  </si>
  <si>
    <t>Error: VALIDATION_ERROR - token must not be blank</t>
  </si>
  <si>
    <t>FR3.2.5-01</t>
  </si>
  <si>
    <t>[Normal] Change Password with accessToken = valid JWT, currentPassword = OldPass123, newPassword = NewPass456</t>
  </si>
  <si>
    <t>1. Prepare the state listed in Pre-conditions.
2. Call AuthServiceImpl.changePassword with: accessToken = valid JWT; currentPassword = OldPass123; newPassword = NewPass456.
3. Check the response / error and the log.</t>
  </si>
  <si>
    <t>- Can connect with server
- User has password hash</t>
  </si>
  <si>
    <t>FR3.2.5-02</t>
  </si>
  <si>
    <t>200 OK - lastPasswordChange set, older refresh tokens invalid</t>
  </si>
  <si>
    <t>FR3.2.5-03</t>
  </si>
  <si>
    <t>200 OK - new hash is bcrypt, differs from old hash</t>
  </si>
  <si>
    <t>FR3.2.5-04</t>
  </si>
  <si>
    <t>200 OK - password changed, 2FA unchanged</t>
  </si>
  <si>
    <t>- Can connect with server
- User has password hash
- User has 2FA enabled</t>
  </si>
  <si>
    <t>FR3.2.5-05</t>
  </si>
  <si>
    <t>[Normal] Change Password with accessToken = valid JWT, currentPassword = OldPass123, newPassword = Brand#Hub2026long</t>
  </si>
  <si>
    <t>1. Prepare the state listed in Pre-conditions.
2. Call AuthServiceImpl.changePassword with: accessToken = valid JWT; currentPassword = OldPass123; newPassword = Brand#Hub2026long.
3. Check the response / error and the log.</t>
  </si>
  <si>
    <t>FR3.2.5-06</t>
  </si>
  <si>
    <t>[Normal] Change Password with accessToken = valid JWT, currentPassword = OldPass123, newPassword = oldpass123</t>
  </si>
  <si>
    <t>1. Prepare the state listed in Pre-conditions.
2. Call AuthServiceImpl.changePassword with: accessToken = valid JWT; currentPassword = OldPass123; newPassword = oldpass123.
3. Check the response / error and the log.</t>
  </si>
  <si>
    <t>200 OK - differs by case so treated as different</t>
  </si>
  <si>
    <t>FR3.2.5-07</t>
  </si>
  <si>
    <t>[Normal] Change Password with accessToken = valid JWT, currentPassword = OldPass123, newPassword = OldPass124</t>
  </si>
  <si>
    <t>1. Prepare the state listed in Pre-conditions.
2. Call AuthServiceImpl.changePassword with: accessToken = valid JWT; currentPassword = OldPass123; newPassword = OldPass124.
3. Check the response / error and the log.</t>
  </si>
  <si>
    <t>200 OK - differs by one char accepted</t>
  </si>
  <si>
    <t>FR3.2.5-08</t>
  </si>
  <si>
    <t>200 OK - password saved via applyPassword with new timestamp</t>
  </si>
  <si>
    <t>FR3.2.5-09</t>
  </si>
  <si>
    <t>[Boundary] Change Password with accessToken = valid JWT, currentPassword = OldPass123, newPassword = Abcdef12</t>
  </si>
  <si>
    <t>1. Prepare the state listed in Pre-conditions.
2. Call AuthServiceImpl.changePassword with: accessToken = valid JWT; currentPassword = OldPass123; newPassword = Abcdef12.
3. Check the response / error and the log.</t>
  </si>
  <si>
    <t>200 OK - new password exactly 8 chars accepted</t>
  </si>
  <si>
    <t>FR3.2.5-10</t>
  </si>
  <si>
    <t>[Boundary] Change Password with accessToken = valid JWT, currentPassword = OldPass123, newPassword = Abcdef1</t>
  </si>
  <si>
    <t>1. Prepare the state listed in Pre-conditions.
2. Call AuthServiceImpl.changePassword with: accessToken = valid JWT; currentPassword = OldPass123; newPassword = Abcdef1.
3. Check the response / error and the log.</t>
  </si>
  <si>
    <t>FR3.2.5-11</t>
  </si>
  <si>
    <t>[Abnormal] Change Password with accessToken = valid JWT, currentPassword = WrongPass9, newPassword = NewPass456</t>
  </si>
  <si>
    <t>1. Prepare the state listed in Pre-conditions.
2. Call AuthServiceImpl.changePassword with: accessToken = valid JWT; currentPassword = WrongPass9; newPassword = NewPass456.
3. Check the response / error and the log.</t>
  </si>
  <si>
    <t>Error: WRONG_CURRENT_PASSWORD - 400 Current password is incorrect</t>
  </si>
  <si>
    <t>FR3.2.5-12</t>
  </si>
  <si>
    <t>[Abnormal] Change Password with accessToken = valid JWT, currentPassword = OldPass123, newPassword = OldPass123</t>
  </si>
  <si>
    <t>1. Prepare the state listed in Pre-conditions.
2. Call AuthServiceImpl.changePassword with: accessToken = valid JWT; currentPassword = OldPass123; newPassword = OldPass123.
3. Check the response / error and the log.</t>
  </si>
  <si>
    <t>Error: SAME_AS_CURRENT_PASSWORD - 400 New password must be different from current password</t>
  </si>
  <si>
    <t>FR3.2.5-13</t>
  </si>
  <si>
    <t>[Abnormal] Change Password with accessToken = valid JWT, currentPassword = OldPass123, newPassword = Abcdefgh</t>
  </si>
  <si>
    <t>1. Prepare the state listed in Pre-conditions.
2. Call AuthServiceImpl.changePassword with: accessToken = valid JWT; currentPassword = OldPass123; newPassword = Abcdefgh.
3. Check the response / error and the log.</t>
  </si>
  <si>
    <t>FR3.2.5-14</t>
  </si>
  <si>
    <t>[Abnormal] Change Password with accessToken = valid JWT, currentPassword = empty, newPassword = NewPass456</t>
  </si>
  <si>
    <t>1. Prepare the state listed in Pre-conditions.
2. Call AuthServiceImpl.changePassword with: accessToken = valid JWT; currentPassword = empty; newPassword = NewPass456.
3. Check the response / error and the log.</t>
  </si>
  <si>
    <t>Error: VALIDATION_ERROR - currentPassword must not be blank</t>
  </si>
  <si>
    <t>FR3.2.5-15</t>
  </si>
  <si>
    <t>[Abnormal] Change Password with accessToken = valid JWT, currentPassword = OldPass123, newPassword = empty</t>
  </si>
  <si>
    <t>1. Prepare the state listed in Pre-conditions.
2. Call AuthServiceImpl.changePassword with: accessToken = valid JWT; currentPassword = OldPass123; newPassword = empty.
3. Check the response / error and the log.</t>
  </si>
  <si>
    <t>FR3.2.5-16</t>
  </si>
  <si>
    <t>[Abnormal] Change Password with accessToken = valid JWT, currentPassword = OldPass123, newPassword = NewPass456</t>
  </si>
  <si>
    <t>- Can connect with server
- User deleted after token issued</t>
  </si>
  <si>
    <t>FR3.2.5-17</t>
  </si>
  <si>
    <t>[Abnormal] Change Password with accessToken = expired/invalid JWT, currentPassword = OldPass123, newPassword = NewPass456</t>
  </si>
  <si>
    <t>1. Prepare the state listed in Pre-conditions.
2. Call AuthServiceImpl.changePassword with: accessToken = expired/invalid JWT; currentPassword = OldPass123; newPassword = NewPass456.
3. Check the response / error and the log.</t>
  </si>
  <si>
    <t>Error: JwtException - token parse fails, 401 TOKEN_INVALID</t>
  </si>
  <si>
    <t>FR3.2.6-01</t>
  </si>
  <si>
    <t>[Normal] OTP Verification with email = user@brandhub.vn, otpCode = 123456</t>
  </si>
  <si>
    <t>1. Prepare the state listed in Pre-conditions.
2. Call AuthServiceImpl.verifyOtp with: email = user@brandhub.vn; otpCode = 123456.
3. Check the response / error and the log.</t>
  </si>
  <si>
    <t>200 OK - emailVerifiedAt set, otpCode/otpExpiry cleared</t>
  </si>
  <si>
    <t>- Can connect with server
- User registered, email not verified, OTP valid</t>
  </si>
  <si>
    <t>FR3.2.6-02</t>
  </si>
  <si>
    <t>[Normal] OTP Verification with email = USER@BrandHub.VN , otpCode = 123456</t>
  </si>
  <si>
    <t>1. Prepare the state listed in Pre-conditions.
2. Call AuthServiceImpl.verifyOtp with: email = USER@BrandHub.VN ; otpCode = 123456.
3. Check the response / error and the log.</t>
  </si>
  <si>
    <t>200 OK - email normalized then verified</t>
  </si>
  <si>
    <t>FR3.2.6-03</t>
  </si>
  <si>
    <t>200 OK - attempt counter deleted from Redis</t>
  </si>
  <si>
    <t>FR3.2.6-04</t>
  </si>
  <si>
    <t>200 OK - user NOT auto logged in (no tokens)</t>
  </si>
  <si>
    <t>FR3.2.6-05</t>
  </si>
  <si>
    <t>[Normal] OTP Verification with email = user@brandhub.vn, otpCode = 000000</t>
  </si>
  <si>
    <t>1. Prepare the state listed in Pre-conditions.
2. Call AuthServiceImpl.verifyOtp with: email = user@brandhub.vn; otpCode = 000000.
3. Check the response / error and the log.</t>
  </si>
  <si>
    <t>200 OK - idempotent no-op, no error</t>
  </si>
  <si>
    <t>- Can connect with server
- Email already verified</t>
  </si>
  <si>
    <t>FR3.2.6-06</t>
  </si>
  <si>
    <t>200 OK - correct code after a failure still verifies</t>
  </si>
  <si>
    <t>- Can connect with server
- User registered, email not verified, OTP valid
- 1 wrong attempt already</t>
  </si>
  <si>
    <t>FR3.2.6-07</t>
  </si>
  <si>
    <t>[Normal] OTP Verification with email = user@brandhub.vn</t>
  </si>
  <si>
    <t>1. Prepare the state listed in Pre-conditions.
2. Call AuthServiceImpl.verifyOtp with: email = user@brandhub.vn.
3. Check the response / error and the log.</t>
  </si>
  <si>
    <t>200 OK - resendOtp issues new OTP (10 min) and 60s cooldown
Log: OTP email sent</t>
  </si>
  <si>
    <t>- Can connect with server
- Email not verified, no cooldown in Redis</t>
  </si>
  <si>
    <t>FR3.2.6-08</t>
  </si>
  <si>
    <t>200 OK - resendOtp no-op, no email sent</t>
  </si>
  <si>
    <t>FR3.2.6-09</t>
  </si>
  <si>
    <t>[Boundary] OTP Verification with email = user@brandhub.vn, otpCode = 123456</t>
  </si>
  <si>
    <t>200 OK - verified just before expiry</t>
  </si>
  <si>
    <t>- Can connect with server
- User registered, email not verified, OTP valid
- OTP expires in 1 second</t>
  </si>
  <si>
    <t>FR3.2.6-10</t>
  </si>
  <si>
    <t>Error: OTP_INVALID - 400 Verification code is invalid or has expired</t>
  </si>
  <si>
    <t>- Can connect with server
- User registered, email not verified, OTP valid
- OTP expired 1 second ago</t>
  </si>
  <si>
    <t>FR3.2.6-11</t>
  </si>
  <si>
    <t>[Boundary] OTP Verification with email = user@brandhub.vn, otpCode = 111111</t>
  </si>
  <si>
    <t>1. Prepare the state listed in Pre-conditions.
2. Call AuthServiceImpl.verifyOtp with: email = user@brandhub.vn; otpCode = 111111.
3. Check the response / error and the log.</t>
  </si>
  <si>
    <t>Error: OTP_TOO_MANY_ATTEMPTS - 5th wrong attempt clears OTP, 400</t>
  </si>
  <si>
    <t>- Can connect with server
- User registered, email not verified, OTP valid
- 4 failed attempts already</t>
  </si>
  <si>
    <t>FR3.2.6-12</t>
  </si>
  <si>
    <t>Error: OTP_INVALID - first wrong attempt, counter=1 with 10 min TTL</t>
  </si>
  <si>
    <t>- Can connect with server
- User registered, email not verified, OTP valid
- 0 failed attempts</t>
  </si>
  <si>
    <t>FR3.2.6-13</t>
  </si>
  <si>
    <t>[Abnormal] OTP Verification with email = ghost@brandhub.vn, otpCode = 123456</t>
  </si>
  <si>
    <t>1. Prepare the state listed in Pre-conditions.
2. Call AuthServiceImpl.verifyOtp with: email = ghost@brandhub.vn; otpCode = 123456.
3. Check the response / error and the log.</t>
  </si>
  <si>
    <t>FR3.2.6-14</t>
  </si>
  <si>
    <t>[Abnormal] OTP Verification with email = user@brandhub.vn, otpCode = 999999</t>
  </si>
  <si>
    <t>1. Prepare the state listed in Pre-conditions.
2. Call AuthServiceImpl.verifyOtp with: email = user@brandhub.vn; otpCode = 999999.
3. Check the response / error and the log.</t>
  </si>
  <si>
    <t>FR3.2.6-15</t>
  </si>
  <si>
    <t>[Abnormal] OTP Verification with email = user@brandhub.vn, otpCode = 123456</t>
  </si>
  <si>
    <t>- Can connect with server
- OTP already cleared (otpCode null)</t>
  </si>
  <si>
    <t>FR3.2.6-16</t>
  </si>
  <si>
    <t>- Can connect with server
- otpExpiry null</t>
  </si>
  <si>
    <t>FR3.2.6-17</t>
  </si>
  <si>
    <t>[Abnormal] OTP Verification with email = user@brandhub.vn</t>
  </si>
  <si>
    <t>Error: RATE_LIMIT_EXCEEDED - 429 Rate limit exceeded. Please try again later</t>
  </si>
  <si>
    <t>- Can connect with server
- Resend cooldown active (&lt;60s)</t>
  </si>
  <si>
    <t>FR3.2.6-18</t>
  </si>
  <si>
    <t>[Abnormal] OTP Verification with email = ghost@brandhub.vn</t>
  </si>
  <si>
    <t>1. Prepare the state listed in Pre-conditions.
2. Call AuthServiceImpl.verifyOtp with: email = ghost@brandhub.vn.
3. Check the response / error and the log.</t>
  </si>
  <si>
    <t>Error: USER_NOT_FOUND - 404 resendOtp for unknown email</t>
  </si>
  <si>
    <t>FR3.2.7-01</t>
  </si>
  <si>
    <t>[Normal] Two-Factor Authentication (TOTP) with twoFactorToken = valid 2fa token, code = valid TOTP</t>
  </si>
  <si>
    <t>1. Prepare the state listed in Pre-conditions.
2. Call AuthServiceImpl.verifyTwoFactor with: twoFactorToken = valid 2fa token; code = valid TOTP.
3. Check the response / error and the log.</t>
  </si>
  <si>
    <t>200 OK - LoginResult with access + refresh token
Log: Audit LOGIN saved</t>
  </si>
  <si>
    <t>- Can connect with server
- User has 2FA enabled with TOTP secret</t>
  </si>
  <si>
    <t>FR3.2.7-02</t>
  </si>
  <si>
    <t>200 OK - lastLoginAt updated, attempt counter cleared</t>
  </si>
  <si>
    <t>FR3.2.7-03</t>
  </si>
  <si>
    <t>- Can connect with server
- User has 2FA enabled with TOTP secret
- User role ADMIN</t>
  </si>
  <si>
    <t>FR3.2.7-04</t>
  </si>
  <si>
    <t>200 OK - access token has workspaceId</t>
  </si>
  <si>
    <t>- Can connect with server
- User has 2FA enabled with TOTP secret
- User has active workspace</t>
  </si>
  <si>
    <t>FR3.2.7-05</t>
  </si>
  <si>
    <t>[Normal] Two-Factor Authentication (TOTP) with userId = authenticated, code = valid TOTP</t>
  </si>
  <si>
    <t>1. Prepare the state listed in Pre-conditions.
2. Call AuthServiceImpl.verifyTwoFactor with: userId = authenticated; code = valid TOTP.
3. Check the response / error and the log.</t>
  </si>
  <si>
    <t>200 OK - confirmTwoFactor enables 2FA, secret saved, setup key deleted</t>
  </si>
  <si>
    <t>- Can connect with server
- 2FA not enabled, setup secret in Redis</t>
  </si>
  <si>
    <t>FR3.2.7-06</t>
  </si>
  <si>
    <t>[Normal] Two-Factor Authentication (TOTP) with userId = authenticated</t>
  </si>
  <si>
    <t>1. Prepare the state listed in Pre-conditions.
2. Call AuthServiceImpl.verifyTwoFactor with: userId = authenticated.
3. Check the response / error and the log.</t>
  </si>
  <si>
    <t>200 OK - setupTwoFactor returns otpauth URL, secret cached 10 min</t>
  </si>
  <si>
    <t>- Can connect with server
- 2FA not enabled</t>
  </si>
  <si>
    <t>FR3.2.7-07</t>
  </si>
  <si>
    <t>200 OK - disableTwoFactor clears totpSecret and flag</t>
  </si>
  <si>
    <t>FR3.2.7-08</t>
  </si>
  <si>
    <t>[Boundary] Two-Factor Authentication (TOTP) with twoFactorToken = valid 2fa token, code = wrong TOTP</t>
  </si>
  <si>
    <t>1. Prepare the state listed in Pre-conditions.
2. Call AuthServiceImpl.verifyTwoFactor with: twoFactorToken = valid 2fa token; code = wrong TOTP.
3. Check the response / error and the log.</t>
  </si>
  <si>
    <t>Error: TWO_FA_TOO_MANY_ATTEMPTS - 429 5th wrong code locks out</t>
  </si>
  <si>
    <t>- Can connect with server
- User has 2FA enabled with TOTP secret
- 4 failed attempts already</t>
  </si>
  <si>
    <t>FR3.2.7-09</t>
  </si>
  <si>
    <t>Error: TWO_FA_CODE_INVALID - 400 Invalid two-factor authentication code</t>
  </si>
  <si>
    <t>- Can connect with server
- User has 2FA enabled with TOTP secret
- 0 failed attempts</t>
  </si>
  <si>
    <t>FR3.2.7-10</t>
  </si>
  <si>
    <t>[Abnormal] Two-Factor Authentication (TOTP) with twoFactorToken = malformed/expired token, code = valid TOTP</t>
  </si>
  <si>
    <t>1. Prepare the state listed in Pre-conditions.
2. Call AuthServiceImpl.verifyTwoFactor with: twoFactorToken = malformed/expired token; code = valid TOTP.
3. Check the response / error and the log.</t>
  </si>
  <si>
    <t>Error: TWO_FA_TOKEN_INVALID - 401 challenge is invalid or expired</t>
  </si>
  <si>
    <t>FR3.2.7-11</t>
  </si>
  <si>
    <t>[Abnormal] Two-Factor Authentication (TOTP) with twoFactorToken = access token (type != 2fa), code = valid TOTP</t>
  </si>
  <si>
    <t>1. Prepare the state listed in Pre-conditions.
2. Call AuthServiceImpl.verifyTwoFactor with: twoFactorToken = access token (type != 2fa); code = valid TOTP.
3. Check the response / error and the log.</t>
  </si>
  <si>
    <t>FR3.2.7-12</t>
  </si>
  <si>
    <t>[Abnormal] Two-Factor Authentication (TOTP) with twoFactorToken = valid 2fa token, code = valid TOTP</t>
  </si>
  <si>
    <t>- Can connect with server
- 2FA token subject user deleted</t>
  </si>
  <si>
    <t>FR3.2.7-13</t>
  </si>
  <si>
    <t>FR3.2.7-14</t>
  </si>
  <si>
    <t>Error: TWO_FA_NOT_ENABLED - 400 Two-factor authentication is not enabled</t>
  </si>
  <si>
    <t>- Can connect with server
- User 2FA disabled after challenge</t>
  </si>
  <si>
    <t>FR3.2.7-15</t>
  </si>
  <si>
    <t>[Abnormal] Two-Factor Authentication (TOTP) with userId = authenticated</t>
  </si>
  <si>
    <t>Error: TWO_FA_ALREADY_ENABLED - 400 setupTwoFactor when already enabled</t>
  </si>
  <si>
    <t>- Can connect with server
- 2FA already enabled</t>
  </si>
  <si>
    <t>FR3.2.7-16</t>
  </si>
  <si>
    <t>[Abnormal] Two-Factor Authentication (TOTP) with userId = authenticated, code = valid TOTP</t>
  </si>
  <si>
    <t>Error: TWO_FA_NOT_ENABLED - 400 confirm without setup</t>
  </si>
  <si>
    <t>- Can connect with server
- No setup secret in Redis (expired)</t>
  </si>
  <si>
    <t>FR3.2.7-17</t>
  </si>
  <si>
    <t>Error: TWO_FA_NOT_ENABLED - 400 disable when not enabled</t>
  </si>
  <si>
    <t>FR3.2.7-18</t>
  </si>
  <si>
    <t>[Abnormal] Two-Factor Authentication (TOTP) with userId = authenticated, code = wrong TOTP</t>
  </si>
  <si>
    <t>1. Prepare the state listed in Pre-conditions.
2. Call AuthServiceImpl.verifyTwoFactor with: userId = authenticated; code = wrong TOTP.
3. Check the response / error and the log.</t>
  </si>
  <si>
    <t>Error: TWO_FA_CODE_INVALID - 400 confirm with wrong code</t>
  </si>
  <si>
    <t>- Can connect with server
- 2FA setup in progress</t>
  </si>
  <si>
    <t>FR3.2.8-01</t>
  </si>
  <si>
    <t>[Normal] Sign Out with accessToken = valid access JWT, refreshToken = valid refresh JWT</t>
  </si>
  <si>
    <t>1. Prepare the state listed in Pre-conditions.
2. Call AuthServiceImpl.logout with: accessToken = valid access JWT; refreshToken = valid refresh JWT.
3. Check the response / error and the log.</t>
  </si>
  <si>
    <t>204 No Content - both tokens blacklisted
Log: Audit LOGOUT saved with ip and userAgent</t>
  </si>
  <si>
    <t>- Can connect with server
- User logged in with valid tokens</t>
  </si>
  <si>
    <t>FR3.2.8-02</t>
  </si>
  <si>
    <t>204 No Content - blacklisted access token rejected afterwards</t>
  </si>
  <si>
    <t>FR3.2.8-03</t>
  </si>
  <si>
    <t>204 No Content - blacklisted refresh token rejected on /refresh</t>
  </si>
  <si>
    <t>FR3.2.8-04</t>
  </si>
  <si>
    <t>[Normal] Sign Out with accessToken = valid access JWT, refreshToken = null</t>
  </si>
  <si>
    <t>1. Prepare the state listed in Pre-conditions.
2. Call AuthServiceImpl.logout with: accessToken = valid access JWT; refreshToken = null.
3. Check the response / error and the log.</t>
  </si>
  <si>
    <t>204 No Content - only access token blacklisted
Log: Audit LOGOUT saved</t>
  </si>
  <si>
    <t>FR3.2.8-05</t>
  </si>
  <si>
    <t>[Normal] Sign Out with accessToken = valid access JWT, refreshToken = empty</t>
  </si>
  <si>
    <t>1. Prepare the state listed in Pre-conditions.
2. Call AuthServiceImpl.logout with: accessToken = valid access JWT; refreshToken = empty.
3. Check the response / error and the log.</t>
  </si>
  <si>
    <t>204 No Content - blank refresh token ignored
Log: Audit LOGOUT saved</t>
  </si>
  <si>
    <t>FR3.2.8-06</t>
  </si>
  <si>
    <t>[Normal] Sign Out with accessToken = valid access JWT, refreshToken = blank spaces</t>
  </si>
  <si>
    <t>1. Prepare the state listed in Pre-conditions.
2. Call AuthServiceImpl.logout with: accessToken = valid access JWT; refreshToken = blank spaces.
3. Check the response / error and the log.</t>
  </si>
  <si>
    <t>204 No Content - whitespace refresh token ignored
Log: Audit LOGOUT saved</t>
  </si>
  <si>
    <t>FR3.2.8-07</t>
  </si>
  <si>
    <t>[Normal] Sign Out with accessToken = expired access JWT, refreshToken = valid refresh JWT</t>
  </si>
  <si>
    <t>1. Prepare the state listed in Pre-conditions.
2. Call AuthServiceImpl.logout with: accessToken = expired access JWT; refreshToken = valid refresh JWT.
3. Check the response / error and the log.</t>
  </si>
  <si>
    <t>204 No Content - refresh token still blacklisted, no audit log</t>
  </si>
  <si>
    <t>- Can connect with server
- Access token expired, refresh token valid</t>
  </si>
  <si>
    <t>FR3.2.8-08</t>
  </si>
  <si>
    <t>204 No Content - audit row has resourceType USER, resourceId=userId</t>
  </si>
  <si>
    <t>FR3.2.8-09</t>
  </si>
  <si>
    <t>204 No Content - idempotent second call</t>
  </si>
  <si>
    <t>- Can connect with server
- Logout called twice</t>
  </si>
  <si>
    <t>FR3.2.8-10</t>
  </si>
  <si>
    <t>[Boundary] Sign Out with accessToken = valid access JWT, refreshToken = valid refresh JWT</t>
  </si>
  <si>
    <t>204 No Content - ipAddress/userAgent null accepted
Log: Audit LOGOUT saved</t>
  </si>
  <si>
    <t>FR3.2.8-11</t>
  </si>
  <si>
    <t>204 No Content - blacklisted with minimal TTL</t>
  </si>
  <si>
    <t>- Can connect with server
- Access token expires in 1 second</t>
  </si>
  <si>
    <t>FR3.2.8-12</t>
  </si>
  <si>
    <t>[Abnormal] Sign Out with accessToken = malformed access JWT, refreshToken = valid refresh JWT</t>
  </si>
  <si>
    <t>1. Prepare the state listed in Pre-conditions.
2. Call AuthServiceImpl.logout with: accessToken = malformed access JWT; refreshToken = valid refresh JWT.
3. Check the response / error and the log.</t>
  </si>
  <si>
    <t>204 No Content - JwtException swallowed, refresh still blacklisted, no audit</t>
  </si>
  <si>
    <t>FR3.2.8-13</t>
  </si>
  <si>
    <t>[Abnormal] Sign Out with accessToken = expired access JWT, refreshToken = null</t>
  </si>
  <si>
    <t>1. Prepare the state listed in Pre-conditions.
2. Call AuthServiceImpl.logout with: accessToken = expired access JWT; refreshToken = null.
3. Check the response / error and the log.</t>
  </si>
  <si>
    <t>204 No Content - nothing revoked, no audit (idempotent)</t>
  </si>
  <si>
    <t>FR3.2.8-14</t>
  </si>
  <si>
    <t>[Abnormal] Sign Out with accessToken = valid access JWT, refreshToken = malformed refresh JWT</t>
  </si>
  <si>
    <t>1. Prepare the state listed in Pre-conditions.
2. Call AuthServiceImpl.logout with: accessToken = valid access JWT; refreshToken = malformed refresh JWT.
3. Check the response / error and the log.</t>
  </si>
  <si>
    <t>204 No Content - JwtException on refresh ignored, access blacklisted
Log: Audit LOGOUT saved</t>
  </si>
  <si>
    <t>FR3.2.8-15</t>
  </si>
  <si>
    <t>[Abnormal] Sign Out with accessToken = null, refreshToken = null</t>
  </si>
  <si>
    <t>1. Prepare the state listed in Pre-conditions.
2. Call AuthServiceImpl.logout with: accessToken = null; refreshToken = null.
3. Check the response / error and the log.</t>
  </si>
  <si>
    <t>Error: UNAUTHORIZED - 401 no access token supplied, rejected at filter</t>
  </si>
  <si>
    <t>FR3.2.8-16</t>
  </si>
  <si>
    <t>[Abnormal] Sign Out with accessToken = forged access JWT, refreshToken = valid refresh JWT</t>
  </si>
  <si>
    <t>1. Prepare the state listed in Pre-conditions.
2. Call AuthServiceImpl.logout with: accessToken = forged access JWT; refreshToken = valid refresh JWT.
3. Check the response / error and the log.</t>
  </si>
  <si>
    <t>204 No Content - treated as invalid, no audit</t>
  </si>
  <si>
    <t>- Can connect with server
- Access token signed with wrong key</t>
  </si>
  <si>
    <t>FR3.2.9-01</t>
  </si>
  <si>
    <t>[Normal] Deactivate Account with userId = authenticated, password = Abc@12345, otpCode = null</t>
  </si>
  <si>
    <t>1. Prepare the state listed in Pre-conditions.
2. Call AuthServiceImpl.deactivate with: userId = authenticated; password = Abc@12345; otpCode = null; accessToken = valid JWT; refreshToken = valid refresh JWT.
3. Check the response / error and the log.</t>
  </si>
  <si>
    <t>204 No Content - status DEACTIVATED</t>
  </si>
  <si>
    <t>- Can connect with server
- User has password, owns no active agency</t>
  </si>
  <si>
    <t>FR3.2.9-02</t>
  </si>
  <si>
    <t>204 No Content - access and refresh tokens blacklisted</t>
  </si>
  <si>
    <t>FR3.2.9-03</t>
  </si>
  <si>
    <t>[Normal] Deactivate Account with userId = authenticated, password = null, otpCode = 123456</t>
  </si>
  <si>
    <t>1. Prepare the state listed in Pre-conditions.
2. Call AuthServiceImpl.deactivate with: userId = authenticated; password = null; otpCode = 123456; accessToken = valid JWT; refreshToken = valid refresh JWT.
3. Check the response / error and the log.</t>
  </si>
  <si>
    <t>204 No Content - status DEACTIVATED, OTP key deleted</t>
  </si>
  <si>
    <t>- Can connect with server
- OAuth-only user (no password)
- Deactivate OTP valid in Redis</t>
  </si>
  <si>
    <t>FR3.2.9-04</t>
  </si>
  <si>
    <t>204 No Content - not blocked by inactive agency</t>
  </si>
  <si>
    <t>- Can connect with server
- User has password, owns no active agency
- User owns only DELETED/inactive agency</t>
  </si>
  <si>
    <t>FR3.2.9-05</t>
  </si>
  <si>
    <t>204 No Content - non-owner member can deactivate</t>
  </si>
  <si>
    <t>- Can connect with server
- User has password, owns no active agency
- User is only member of agencies</t>
  </si>
  <si>
    <t>FR3.2.9-06</t>
  </si>
  <si>
    <t>1. Prepare the state listed in Pre-conditions.
2. Call AuthServiceImpl.deactivate with: userId = authenticated; password = Abc@12345; otpCode = null; accessToken = valid JWT; refreshToken = null.
3. Check the response / error and the log.</t>
  </si>
  <si>
    <t>204 No Content - absent refresh token skipped without error</t>
  </si>
  <si>
    <t>FR3.2.9-07</t>
  </si>
  <si>
    <t>[Normal] Deactivate Account with userId = authenticated</t>
  </si>
  <si>
    <t>1. Prepare the state listed in Pre-conditions.
2. Call AuthServiceImpl.deactivate with: userId = authenticated.
3. Check the response / error and the log.</t>
  </si>
  <si>
    <t>200 OK - sendDeactivateOtp stores 10-min OTP and emails it
Log: OTP email sent</t>
  </si>
  <si>
    <t>- Can connect with server
- OAuth-only user (no password)</t>
  </si>
  <si>
    <t>FR3.2.9-08</t>
  </si>
  <si>
    <t>1. Prepare the state listed in Pre-conditions.
2. Call AuthServiceImpl.deactivate with: userId = authenticated; password = Abc@12345; otpCode = null; accessToken = malformed JWT; refreshToken = valid refresh JWT.
3. Check the response / error and the log.</t>
  </si>
  <si>
    <t>204 No Content - JwtException on blacklist ignored, account deactivated</t>
  </si>
  <si>
    <t>FR3.2.9-09</t>
  </si>
  <si>
    <t>[Boundary] Deactivate Account with userId = authenticated, password = null, otpCode = 000000</t>
  </si>
  <si>
    <t>1. Prepare the state listed in Pre-conditions.
2. Call AuthServiceImpl.deactivate with: userId = authenticated; password = null; otpCode = 000000; accessToken = valid JWT; refreshToken = valid refresh JWT.
3. Check the response / error and the log.</t>
  </si>
  <si>
    <t>204 No Content - OTP with leading zeros accepted</t>
  </si>
  <si>
    <t>FR3.2.9-10</t>
  </si>
  <si>
    <t>[Boundary] Deactivate Account with userId = authenticated, password = Abc@12345, otpCode = null</t>
  </si>
  <si>
    <t>Error: AGENCY_OWNERSHIP_ACTIVE - 409 transfer ownership before deactivating</t>
  </si>
  <si>
    <t>- Can connect with server
- User has password, owns no active agency
- User owns 1 active agency</t>
  </si>
  <si>
    <t>FR3.2.9-11</t>
  </si>
  <si>
    <t>[Abnormal] Deactivate Account with userId = authenticated, password = WrongPass9, otpCode = null</t>
  </si>
  <si>
    <t>1. Prepare the state listed in Pre-conditions.
2. Call AuthServiceImpl.deactivate with: userId = authenticated; password = WrongPass9; otpCode = null; accessToken = valid JWT; refreshToken = valid refresh JWT.
3. Check the response / error and the log.</t>
  </si>
  <si>
    <t>FR3.2.9-12</t>
  </si>
  <si>
    <t>[Abnormal] Deactivate Account with userId = authenticated, password = null, otpCode = null</t>
  </si>
  <si>
    <t>1. Prepare the state listed in Pre-conditions.
2. Call AuthServiceImpl.deactivate with: userId = authenticated; password = null; otpCode = null; accessToken = valid JWT; refreshToken = valid refresh JWT.
3. Check the response / error and the log.</t>
  </si>
  <si>
    <t>Error: WRONG_CURRENT_PASSWORD - password missing for password account</t>
  </si>
  <si>
    <t>FR3.2.9-13</t>
  </si>
  <si>
    <t>[Abnormal] Deactivate Account with userId = authenticated, password = null, otpCode = 123456</t>
  </si>
  <si>
    <t>- Can connect with server
- OAuth-only user (no password)
- No OTP in Redis</t>
  </si>
  <si>
    <t>FR3.2.9-14</t>
  </si>
  <si>
    <t>[Abnormal] Deactivate Account with userId = authenticated, password = null, otpCode = 999999</t>
  </si>
  <si>
    <t>1. Prepare the state listed in Pre-conditions.
2. Call AuthServiceImpl.deactivate with: userId = authenticated; password = null; otpCode = 999999; accessToken = valid JWT; refreshToken = valid refresh JWT.
3. Check the response / error and the log.</t>
  </si>
  <si>
    <t>Error: OTP_INVALID - 400 wrong OTP</t>
  </si>
  <si>
    <t>FR3.2.9-15</t>
  </si>
  <si>
    <t>Error: OTP_INVALID - otpCode null</t>
  </si>
  <si>
    <t>FR3.2.9-16</t>
  </si>
  <si>
    <t>[Abnormal] Deactivate Account with userId = authenticated, password = Abc@12345, otpCode = null</t>
  </si>
  <si>
    <t>- Can connect with server
- User not found</t>
  </si>
  <si>
    <t>FR3.2.9-17</t>
  </si>
  <si>
    <t>Error: AGENCY_OWNERSHIP_ACTIVE - 409 any active owned agency blocks</t>
  </si>
  <si>
    <t>- Can connect with server
- User has password, owns no active agency
- User owns multiple agencies, one ACTIVE</t>
  </si>
  <si>
    <t>FR3.2.9-18</t>
  </si>
  <si>
    <t>[Abnormal] Deactivate Account with identifier = user@brandhub.vn, password = Abc@12345</t>
  </si>
  <si>
    <t>1. Prepare the state listed in Pre-conditions.
2. Call AuthServiceImpl.deactivate with: identifier = user@brandhub.vn; password = Abc@12345.
3. Check the response / error and the log.</t>
  </si>
  <si>
    <t>- Can connect with server
- Account already DEACTIVATED, then login</t>
  </si>
  <si>
    <t>Functional test of 3.3.1 View User Profile; 3.3.2 Update Profile; 3.3.3 View Client Profile; 3.3.4 Update Client Profile</t>
  </si>
  <si>
    <t>FR3.3.1-01</t>
  </si>
  <si>
    <t>[Normal] View User Profile with currentUser = valid user id</t>
  </si>
  <si>
    <t>1. Prepare the state listed in Pre-conditions.
2. Call UserServiceImpl.getUserProfile with: currentUser = valid user id.
3. Check the response / error and the log.</t>
  </si>
  <si>
    <t>200 OK - UserProfileResponse with fullName, email, phone</t>
  </si>
  <si>
    <t>- Can connect with server
- User exists</t>
  </si>
  <si>
    <t>FR3.3.1-02</t>
  </si>
  <si>
    <t>200 OK - timezone read from preferences</t>
  </si>
  <si>
    <t>- Can connect with server
- User exists
- Preferences JSON contains timezone</t>
  </si>
  <si>
    <t>FR3.3.1-03</t>
  </si>
  <si>
    <t>200 OK - notificationPreferences map returned</t>
  </si>
  <si>
    <t>- Can connect with server
- User exists
- Preferences JSON contains notificationPreferences</t>
  </si>
  <si>
    <t>FR3.3.1-04</t>
  </si>
  <si>
    <t>200 OK - skills and portfolioUrls parsed to lists</t>
  </si>
  <si>
    <t>- Can connect with server
- User exists
- Skills and portfolioUrls stored as JSON</t>
  </si>
  <si>
    <t>FR3.3.1-05</t>
  </si>
  <si>
    <t>200 OK - avatarUrl and bannerUrl returned</t>
  </si>
  <si>
    <t>- Can connect with server
- User exists
- Avatar and banner uploaded</t>
  </si>
  <si>
    <t>FR3.3.1-06</t>
  </si>
  <si>
    <t>200 OK - role included in response</t>
  </si>
  <si>
    <t>- Can connect with server
- User exists
- User has system role ADMIN</t>
  </si>
  <si>
    <t>FR3.3.1-07</t>
  </si>
  <si>
    <t>200 OK - workspace role/permissions included</t>
  </si>
  <si>
    <t>- Can connect with server
- User exists
- User in workspace as MANAGER</t>
  </si>
  <si>
    <t>FR3.3.1-08</t>
  </si>
  <si>
    <t>200 OK - linkedin/facebook/instagram/tiktok URLs returned</t>
  </si>
  <si>
    <t>- Can connect with server
- User exists
- Social URLs set</t>
  </si>
  <si>
    <t>FR3.3.1-09</t>
  </si>
  <si>
    <t>200 OK - response has no passwordHash or totpSecret</t>
  </si>
  <si>
    <t>FR3.3.1-10</t>
  </si>
  <si>
    <t>[Boundary] View User Profile with currentUser = valid user id</t>
  </si>
  <si>
    <t>200 OK - default empty preferences, no error</t>
  </si>
  <si>
    <t>- Can connect with server
- User exists
- Preferences is null</t>
  </si>
  <si>
    <t>FR3.3.1-11</t>
  </si>
  <si>
    <t>200 OK - skills returns empty list</t>
  </si>
  <si>
    <t>- Can connect with server
- User exists
- Skills JSON is null/empty</t>
  </si>
  <si>
    <t>FR3.3.1-12</t>
  </si>
  <si>
    <t>200 OK - parseStringList falls back to empty list</t>
  </si>
  <si>
    <t>- Can connect with server
- User exists
- Skills JSON malformed</t>
  </si>
  <si>
    <t>FR3.3.1-13</t>
  </si>
  <si>
    <t>200 OK - optional fields null, no NPE</t>
  </si>
  <si>
    <t>- Can connect with server
- User exists
- New user, all optional fields null</t>
  </si>
  <si>
    <t>FR3.3.1-14</t>
  </si>
  <si>
    <t>[Abnormal] View User Profile with currentUser = unknown user id</t>
  </si>
  <si>
    <t>1. Prepare the state listed in Pre-conditions.
2. Call UserServiceImpl.getUserProfile with: currentUser = unknown user id.
3. Check the response / error and the log.</t>
  </si>
  <si>
    <t>- Can connect with server
- User deleted but token still valid</t>
  </si>
  <si>
    <t>FR3.3.1-15</t>
  </si>
  <si>
    <t>[Abnormal] View User Profile with currentUser = null</t>
  </si>
  <si>
    <t>1. Prepare the state listed in Pre-conditions.
2. Call UserServiceImpl.getUserProfile with: currentUser = null.
3. Check the response / error and the log.</t>
  </si>
  <si>
    <t>Error: UNAUTHORIZED - 401 Authentication required to access this resource</t>
  </si>
  <si>
    <t>FR3.3.1-16</t>
  </si>
  <si>
    <t>[Abnormal] View User Profile with currentUser = expired token</t>
  </si>
  <si>
    <t>1. Prepare the state listed in Pre-conditions.
2. Call UserServiceImpl.getUserProfile with: currentUser = expired token.
3. Check the response / error and the log.</t>
  </si>
  <si>
    <t>Error: TOKEN_EXPIRED - 401 Authentication token has expired</t>
  </si>
  <si>
    <t>- Can connect with server
- Access token expired</t>
  </si>
  <si>
    <t>FR3.3.2-01</t>
  </si>
  <si>
    <t>[Normal] Update Profile with currentUser = valid user id, fullName = Nguyen Van B, phone = 0901234567</t>
  </si>
  <si>
    <t>1. Prepare the state listed in Pre-conditions.
2. Call UserServiceImpl.updateUserProfile with: currentUser = valid user id; fullName = Nguyen Van B; phone = 0901234567.
3. Check the response / error and the log.</t>
  </si>
  <si>
    <t>200 OK - fullName and phone updated, other preferences kept</t>
  </si>
  <si>
    <t>FR3.3.2-02</t>
  </si>
  <si>
    <t>[Normal] Update Profile with currentUser = valid user id, fullName = Nguyen Van B, timezone = Asia/Ho_Chi_Minh</t>
  </si>
  <si>
    <t>1. Prepare the state listed in Pre-conditions.
2. Call UserServiceImpl.updateUserProfile with: currentUser = valid user id; fullName = Nguyen Van B; timezone = Asia/Ho_Chi_Minh.
3. Check the response / error and the log.</t>
  </si>
  <si>
    <t>200 OK - timezone merged, notificationPreferences preserved</t>
  </si>
  <si>
    <t>- Can connect with server
- User exists
- Existing notificationPreferences</t>
  </si>
  <si>
    <t>FR3.3.2-03</t>
  </si>
  <si>
    <t>[Normal] Update Profile with currentUser = valid user id, fullName = Nguyen Van B, notificationPreferences = {email:true}</t>
  </si>
  <si>
    <t>1. Prepare the state listed in Pre-conditions.
2. Call UserServiceImpl.updateUserProfile with: currentUser = valid user id; fullName = Nguyen Van B; notificationPreferences = {email:true}.
3. Check the response / error and the log.</t>
  </si>
  <si>
    <t>200 OK - notificationPreferences replaced, timezone preserved</t>
  </si>
  <si>
    <t>FR3.3.2-04</t>
  </si>
  <si>
    <t xml:space="preserve">[Normal] Update Profile with currentUser = valid user id, fullName =   Nguyen Van B  </t>
  </si>
  <si>
    <t>1. Prepare the state listed in Pre-conditions.
2. Call UserServiceImpl.updateUserProfile with: currentUser = valid user id; fullName =   Nguyen Van B  .
3. Check the response / error and the log.</t>
  </si>
  <si>
    <t>200 OK - fullName stored trimmed</t>
  </si>
  <si>
    <t>FR3.3.2-05</t>
  </si>
  <si>
    <t>[Normal] Update Profile with currentUser = valid user id, fullName = Nguyen Van B, phone = null</t>
  </si>
  <si>
    <t>1. Prepare the state listed in Pre-conditions.
2. Call UserServiceImpl.updateUserProfile with: currentUser = valid user id; fullName = Nguyen Van B; phone = null.
3. Check the response / error and the log.</t>
  </si>
  <si>
    <t>200 OK - null phone leaves old phone unchanged</t>
  </si>
  <si>
    <t>- Can connect with server
- User exists
- Existing phone</t>
  </si>
  <si>
    <t>FR3.3.2-06</t>
  </si>
  <si>
    <t>[Normal] Update Profile with currentUser = valid user id, fullName = Nguyen Van B, skills = [Design, Copywriting]</t>
  </si>
  <si>
    <t>1. Prepare the state listed in Pre-conditions.
2. Call UserServiceImpl.updateUserProfile with: currentUser = valid user id; fullName = Nguyen Van B; skills = [Design, Copywriting]; portfolioUrls = [https://a.com].
3. Check the response / error and the log.</t>
  </si>
  <si>
    <t>200 OK - skills and portfolioUrls saved as JSON</t>
  </si>
  <si>
    <t>FR3.3.2-07</t>
  </si>
  <si>
    <t>[Normal] Update Profile with currentUser = valid user id, fullName = Nguyen Van B, professionalTitle = Content Lead</t>
  </si>
  <si>
    <t>1. Prepare the state listed in Pre-conditions.
2. Call UserServiceImpl.updateUserProfile with: currentUser = valid user id; fullName = Nguyen Van B; professionalTitle = Content Lead; bio = 10 years in media.
3. Check the response / error and the log.</t>
  </si>
  <si>
    <t>200 OK - title and bio saved</t>
  </si>
  <si>
    <t>FR3.3.2-08</t>
  </si>
  <si>
    <t>[Normal] Update Profile with currentUser = valid user id, fullName = Nguyen Van B, linkedinUrl = https://linkedin.com/in/b</t>
  </si>
  <si>
    <t>1. Prepare the state listed in Pre-conditions.
2. Call UserServiceImpl.updateUserProfile with: currentUser = valid user id; fullName = Nguyen Van B; linkedinUrl = https://linkedin.com/in/b; website = https://b.vn.
3. Check the response / error and the log.</t>
  </si>
  <si>
    <t>200 OK - social URLs and website saved</t>
  </si>
  <si>
    <t>FR3.3.2-09</t>
  </si>
  <si>
    <t>[Normal] Update Profile with currentUser = valid user id, fullName = Nguyen Van B, profileVisibility = PUBLIC</t>
  </si>
  <si>
    <t>1. Prepare the state listed in Pre-conditions.
2. Call UserServiceImpl.updateUserProfile with: currentUser = valid user id; fullName = Nguyen Van B; profileVisibility = PUBLIC.
3. Check the response / error and the log.</t>
  </si>
  <si>
    <t>200 OK - profileVisibility stored in preferences</t>
  </si>
  <si>
    <t>FR3.3.2-10</t>
  </si>
  <si>
    <t>[Normal] Update Profile with currentUser = valid user id, fullName = Nguyen Van B, location = Ha Noi</t>
  </si>
  <si>
    <t>1. Prepare the state listed in Pre-conditions.
2. Call UserServiceImpl.updateUserProfile with: currentUser = valid user id; fullName = Nguyen Van B; location = Ha Noi; workingLanguage = vi; yearsOfExperience = 5.
3. Check the response / error and the log.</t>
  </si>
  <si>
    <t>200 OK - location, language, experience saved</t>
  </si>
  <si>
    <t>FR3.3.2-11</t>
  </si>
  <si>
    <t>[Normal] Update Profile with currentUser = valid user id, fullName = Nguyen Van B</t>
  </si>
  <si>
    <t>1. Prepare the state listed in Pre-conditions.
2. Call UserServiceImpl.updateUserProfile with: currentUser = valid user id; fullName = Nguyen Van B.
3. Check the response / error and the log.</t>
  </si>
  <si>
    <t>200 OK - email not in request, email unchanged</t>
  </si>
  <si>
    <t>FR3.3.2-12</t>
  </si>
  <si>
    <t>[Boundary] Update Profile with currentUser = valid user id, fullName = N</t>
  </si>
  <si>
    <t>1. Prepare the state listed in Pre-conditions.
2. Call UserServiceImpl.updateUserProfile with: currentUser = valid user id; fullName = N.
3. Check the response / error and the log.</t>
  </si>
  <si>
    <t>200 OK - fullName 1 char accepted</t>
  </si>
  <si>
    <t>FR3.3.2-13</t>
  </si>
  <si>
    <t>[Boundary] Update Profile with currentUser = valid user id, fullName = Nguyen Van B, yearsOfExperience = 0</t>
  </si>
  <si>
    <t>1. Prepare the state listed in Pre-conditions.
2. Call UserServiceImpl.updateUserProfile with: currentUser = valid user id; fullName = Nguyen Van B; yearsOfExperience = 0.
3. Check the response / error and the log.</t>
  </si>
  <si>
    <t>200 OK - yearsOfExperience 0 saved</t>
  </si>
  <si>
    <t>FR3.3.2-14</t>
  </si>
  <si>
    <t>[Boundary] Update Profile with currentUser = valid user id, fullName = Nguyen Van B, skills = [] (empty list)</t>
  </si>
  <si>
    <t>1. Prepare the state listed in Pre-conditions.
2. Call UserServiceImpl.updateUserProfile with: currentUser = valid user id; fullName = Nguyen Van B; skills = [] (empty list).
3. Check the response / error and the log.</t>
  </si>
  <si>
    <t>200 OK - empty skills list saved as []</t>
  </si>
  <si>
    <t>FR3.3.2-15</t>
  </si>
  <si>
    <t>[Boundary] Update Profile with currentUser = valid user id, fullName = Nguyen Van B, timezone = UTC</t>
  </si>
  <si>
    <t>1. Prepare the state listed in Pre-conditions.
2. Call UserServiceImpl.updateUserProfile with: currentUser = valid user id; fullName = Nguyen Van B; timezone = UTC.
3. Check the response / error and the log.</t>
  </si>
  <si>
    <t>200 OK - new preferences map created</t>
  </si>
  <si>
    <t>FR3.3.2-16</t>
  </si>
  <si>
    <t>[Abnormal] Update Profile with currentUser = valid user id, fullName = empty</t>
  </si>
  <si>
    <t>1. Prepare the state listed in Pre-conditions.
2. Call UserServiceImpl.updateUserProfile with: currentUser = valid user id; fullName = empty.
3. Check the response / error and the log.</t>
  </si>
  <si>
    <t>Error: VALIDATION_ERROR - Full name is required</t>
  </si>
  <si>
    <t>FR3.3.2-17</t>
  </si>
  <si>
    <t>[Abnormal] Update Profile with currentUser = valid user id, fullName = null</t>
  </si>
  <si>
    <t>1. Prepare the state listed in Pre-conditions.
2. Call UserServiceImpl.updateUserProfile with: currentUser = valid user id; fullName = null.
3. Check the response / error and the log.</t>
  </si>
  <si>
    <t>FR3.3.2-18</t>
  </si>
  <si>
    <t>[Abnormal] Update Profile with currentUser = valid user id, fullName = blank spaces</t>
  </si>
  <si>
    <t>1. Prepare the state listed in Pre-conditions.
2. Call UserServiceImpl.updateUserProfile with: currentUser = valid user id; fullName = blank spaces.
3. Check the response / error and the log.</t>
  </si>
  <si>
    <t>FR3.3.2-19</t>
  </si>
  <si>
    <t>[Abnormal] Update Profile with currentUser = valid user id, fullName = Nguyen Van B</t>
  </si>
  <si>
    <t>FR3.3.2-20</t>
  </si>
  <si>
    <t>[Abnormal] Update Profile with currentUser = valid user id, fullName = Nguyen Van B, timezone = UTC</t>
  </si>
  <si>
    <t>Error: INVALID_REQUEST - 400 Invalid request format or parameters</t>
  </si>
  <si>
    <t>- Can connect with server
- User exists
- Preferences serialization fails</t>
  </si>
  <si>
    <t>FR3.3.3-01</t>
  </si>
  <si>
    <t>[Normal] View Client Profile with currentUser = valid user id</t>
  </si>
  <si>
    <t>1. Prepare the state listed in Pre-conditions.
2. Call ClientProfileServiceImpl.listMine with: currentUser = valid user id.
3. Check the response / error and the log.</t>
  </si>
  <si>
    <t>200 OK - list with 1 ClientProfileResponse</t>
  </si>
  <si>
    <t>- Can connect with server
- User owns 1 client profile</t>
  </si>
  <si>
    <t>FR3.3.3-02</t>
  </si>
  <si>
    <t>200 OK - list with both profiles, no data mixed</t>
  </si>
  <si>
    <t>- Can connect with server
- User owns 2 client profiles (Nike, Adidas)</t>
  </si>
  <si>
    <t>FR3.3.3-03</t>
  </si>
  <si>
    <t>200 OK - response has no agencyId and no email</t>
  </si>
  <si>
    <t>- Can connect with server
- User owns profiles</t>
  </si>
  <si>
    <t>FR3.3.3-04</t>
  </si>
  <si>
    <t>200 OK - socialLinks parsed to map</t>
  </si>
  <si>
    <t>- Can connect with server
- Profile has socialLinks JSON</t>
  </si>
  <si>
    <t>FR3.3.3-05</t>
  </si>
  <si>
    <t>200 OK - tagline, foundedYear, budgetRange, taxCode returned</t>
  </si>
  <si>
    <t>- Can connect with server
- Profile has brand fields set</t>
  </si>
  <si>
    <t>FR3.3.3-06</t>
  </si>
  <si>
    <t>200 OK - only caller's profiles returned</t>
  </si>
  <si>
    <t>- Can connect with server
- Other users also have profiles</t>
  </si>
  <si>
    <t>FR3.3.3-07</t>
  </si>
  <si>
    <t>[Normal] View Client Profile with currentUser = valid user id, profileId = own profile id</t>
  </si>
  <si>
    <t>1. Prepare the state listed in Pre-conditions.
2. Call ClientProfileServiceImpl.listMine with: currentUser = valid user id; profileId = own profile id.
3. Check the response / error and the log.</t>
  </si>
  <si>
    <t>200 OK - getById returns the profile</t>
  </si>
  <si>
    <t>- Can connect with server
- User owns profile</t>
  </si>
  <si>
    <t>FR3.3.3-08</t>
  </si>
  <si>
    <t>200 OK - same single profile listed once</t>
  </si>
  <si>
    <t>- Can connect with server
- Profile linked to workspaces of 2 agencies</t>
  </si>
  <si>
    <t>FR3.3.3-09</t>
  </si>
  <si>
    <t>[Boundary] View Client Profile with currentUser = valid user id</t>
  </si>
  <si>
    <t>200 OK - empty list, not 404</t>
  </si>
  <si>
    <t>- Can connect with server
- User has no client profile</t>
  </si>
  <si>
    <t>FR3.3.3-10</t>
  </si>
  <si>
    <t>200 OK - null fields returned as null</t>
  </si>
  <si>
    <t>- Can connect with server
- Profile company/phone/note null</t>
  </si>
  <si>
    <t>FR3.3.3-11</t>
  </si>
  <si>
    <t>200 OK - socialLinks empty map</t>
  </si>
  <si>
    <t>- Can connect with server
- Profile socialLinks null</t>
  </si>
  <si>
    <t>FR3.3.3-12</t>
  </si>
  <si>
    <t>200 OK - parseSocialLinks falls back to empty map</t>
  </si>
  <si>
    <t>- Can connect with server
- Profile socialLinks malformed JSON</t>
  </si>
  <si>
    <t>FR3.3.3-13</t>
  </si>
  <si>
    <t>200 OK - all 50 returned</t>
  </si>
  <si>
    <t>- Can connect with server
- User owns 50 client profiles</t>
  </si>
  <si>
    <t>FR3.3.3-14</t>
  </si>
  <si>
    <t>[Abnormal] View Client Profile with currentUser = valid user id, profileId = unknown profile id</t>
  </si>
  <si>
    <t>1. Prepare the state listed in Pre-conditions.
2. Call ClientProfileServiceImpl.listMine with: currentUser = valid user id; profileId = unknown profile id.
3. Check the response / error and the log.</t>
  </si>
  <si>
    <t>Error: CLIENT_PROFILE_NOT_FOUND - 404 Client profile not found</t>
  </si>
  <si>
    <t>- Can connect with server
- Profile id does not exist</t>
  </si>
  <si>
    <t>FR3.3.3-15</t>
  </si>
  <si>
    <t>[Abnormal] View Client Profile with currentUser = valid user id, profileId = other user's profile id</t>
  </si>
  <si>
    <t>1. Prepare the state listed in Pre-conditions.
2. Call ClientProfileServiceImpl.listMine with: currentUser = valid user id; profileId = other user's profile id.
3. Check the response / error and the log.</t>
  </si>
  <si>
    <t>Error: CLIENT_PROFILE_NOT_OWNED - 403 This client profile does not belong to you</t>
  </si>
  <si>
    <t>- Can connect with server
- Profile owned by another user</t>
  </si>
  <si>
    <t>FR3.3.3-16</t>
  </si>
  <si>
    <t>[Abnormal] View Client Profile with currentUser = null</t>
  </si>
  <si>
    <t>1. Prepare the state listed in Pre-conditions.
2. Call ClientProfileServiceImpl.listMine with: currentUser = null.
3. Check the response / error and the log.</t>
  </si>
  <si>
    <t>FR3.3.3-17</t>
  </si>
  <si>
    <t>[Abnormal] View Client Profile with currentUser = expired token</t>
  </si>
  <si>
    <t>1. Prepare the state listed in Pre-conditions.
2. Call ClientProfileServiceImpl.listMine with: currentUser = expired token.
3. Check the response / error and the log.</t>
  </si>
  <si>
    <t>FR3.3.4-01</t>
  </si>
  <si>
    <t>[Normal] Update Client Profile with currentUser = valid user id, profileId = own profile id, displayName = Nike VN</t>
  </si>
  <si>
    <t>1. Prepare the state listed in Pre-conditions.
2. Call ClientProfileServiceImpl.updateById with: currentUser = valid user id; profileId = own profile id; displayName = Nike VN; company = Nike; phone = 0901234567; note = VIP.
3. Check the response / error and the log.</t>
  </si>
  <si>
    <t>200 OK - ClientProfileResponse with updated fields</t>
  </si>
  <si>
    <t>- Can connect with server
- User owns the client profile</t>
  </si>
  <si>
    <t>FR3.3.4-02</t>
  </si>
  <si>
    <t xml:space="preserve">[Normal] Update Client Profile with currentUser = valid user id, profileId = own profile id, displayName =   Nike VN  </t>
  </si>
  <si>
    <t>1. Prepare the state listed in Pre-conditions.
2. Call ClientProfileServiceImpl.updateById with: currentUser = valid user id; profileId = own profile id; displayName =   Nike VN  .
3. Check the response / error and the log.</t>
  </si>
  <si>
    <t>200 OK - displayName stored trimmed</t>
  </si>
  <si>
    <t>FR3.3.4-03</t>
  </si>
  <si>
    <t>1. Prepare the state listed in Pre-conditions.
2. Call ClientProfileServiceImpl.updateById with: currentUser = valid user id; profileId = own profile id; displayName = Nike VN; logoUrl = https://cdn/l.png; website = https://nike.vn; industry = Sport.
3. Check the response / error and the log.</t>
  </si>
  <si>
    <t>200 OK - logo, website, industry saved</t>
  </si>
  <si>
    <t>FR3.3.4-04</t>
  </si>
  <si>
    <t>1. Prepare the state listed in Pre-conditions.
2. Call ClientProfileServiceImpl.updateById with: currentUser = valid user id; profileId = own profile id; displayName = Nike VN; socialLinks = {facebook: url}.
3. Check the response / error and the log.</t>
  </si>
  <si>
    <t>200 OK - socialLinks serialized to JSON</t>
  </si>
  <si>
    <t>FR3.3.4-05</t>
  </si>
  <si>
    <t>1. Prepare the state listed in Pre-conditions.
2. Call ClientProfileServiceImpl.updateById with: currentUser = valid user id; profileId = own profile id; displayName = Nike VN; tagline = Just do it; foundedYear = 1964; budgetRange = 10k-50k.
3. Check the response / error and the log.</t>
  </si>
  <si>
    <t>200 OK - brand fields saved</t>
  </si>
  <si>
    <t>FR3.3.4-06</t>
  </si>
  <si>
    <t>1. Prepare the state listed in Pre-conditions.
2. Call ClientProfileServiceImpl.updateById with: currentUser = valid user id; profileId = own profile id; displayName = Nike VN; company = empty; phone = empty; note = empty.
3. Check the response / error and the log.</t>
  </si>
  <si>
    <t>200 OK - optional fields saved empty/null</t>
  </si>
  <si>
    <t>FR3.3.4-07</t>
  </si>
  <si>
    <t>1. Prepare the state listed in Pre-conditions.
2. Call ClientProfileServiceImpl.updateById with: currentUser = valid user id; profileId = own profile id; displayName = Nike VN.
3. Check the response / error and the log.</t>
  </si>
  <si>
    <t>200 OK - single record updated, change visible everywhere</t>
  </si>
  <si>
    <t>- Can connect with server
- User owns the client profile
- Profile linked to 2 workspaces</t>
  </si>
  <si>
    <t>FR3.3.4-08</t>
  </si>
  <si>
    <t>[Normal] Update Client Profile with currentUser = valid user id, displayName = New Brand</t>
  </si>
  <si>
    <t>1. Prepare the state listed in Pre-conditions.
2. Call ClientProfileServiceImpl.updateById with: currentUser = valid user id; displayName = New Brand.
3. Check the response / error and the log.</t>
  </si>
  <si>
    <t>200 OK - createProfile saves profile with userId = caller</t>
  </si>
  <si>
    <t>- Can connect with server
- No profile for caller</t>
  </si>
  <si>
    <t>FR3.3.4-09</t>
  </si>
  <si>
    <t>[Normal] Update Client Profile with currentUser = valid user id, profileId = own profile id</t>
  </si>
  <si>
    <t>1. Prepare the state listed in Pre-conditions.
2. Call ClientProfileServiceImpl.updateById with: currentUser = valid user id; profileId = own profile id.
3. Check the response / error and the log.</t>
  </si>
  <si>
    <t>204 No Content - deleteById removes profile</t>
  </si>
  <si>
    <t>- Can connect with server
- User owns the client profile
- Profile not linked to active workspace</t>
  </si>
  <si>
    <t>FR3.3.4-10</t>
  </si>
  <si>
    <t>200 OK - updatedAt refreshed, email never changed</t>
  </si>
  <si>
    <t>FR3.3.4-11</t>
  </si>
  <si>
    <t>[Boundary] Update Client Profile with currentUser = valid user id, profileId = own profile id, displayName = N</t>
  </si>
  <si>
    <t>1. Prepare the state listed in Pre-conditions.
2. Call ClientProfileServiceImpl.updateById with: currentUser = valid user id; profileId = own profile id; displayName = N.
3. Check the response / error and the log.</t>
  </si>
  <si>
    <t>200 OK - displayName 1 char accepted</t>
  </si>
  <si>
    <t>FR3.3.4-12</t>
  </si>
  <si>
    <t>[Boundary] Update Client Profile with currentUser = valid user id, profileId = own profile id, displayName = Nike VN</t>
  </si>
  <si>
    <t>1. Prepare the state listed in Pre-conditions.
2. Call ClientProfileServiceImpl.updateById with: currentUser = valid user id; profileId = own profile id; displayName = Nike VN; foundedYear = null; socialLinks = null.
3. Check the response / error and the log.</t>
  </si>
  <si>
    <t>200 OK - null socialLinks/foundedYear stored as null</t>
  </si>
  <si>
    <t>FR3.3.4-13</t>
  </si>
  <si>
    <t>[Abnormal] Update Client Profile with currentUser = valid user id, profileId = own profile id, displayName = empty</t>
  </si>
  <si>
    <t>1. Prepare the state listed in Pre-conditions.
2. Call ClientProfileServiceImpl.updateById with: currentUser = valid user id; profileId = own profile id; displayName = empty.
3. Check the response / error and the log.</t>
  </si>
  <si>
    <t>Error: VALIDATION_ERROR - displayName must not be blank</t>
  </si>
  <si>
    <t>FR3.3.4-14</t>
  </si>
  <si>
    <t>[Abnormal] Update Client Profile with currentUser = valid user id, profileId = own profile id, displayName = null</t>
  </si>
  <si>
    <t>1. Prepare the state listed in Pre-conditions.
2. Call ClientProfileServiceImpl.updateById with: currentUser = valid user id; profileId = own profile id; displayName = null.
3. Check the response / error and the log.</t>
  </si>
  <si>
    <t>FR3.3.4-15</t>
  </si>
  <si>
    <t>[Abnormal] Update Client Profile with currentUser = valid user id, profileId = unknown profile id, displayName = Nike VN</t>
  </si>
  <si>
    <t>1. Prepare the state listed in Pre-conditions.
2. Call ClientProfileServiceImpl.updateById with: currentUser = valid user id; profileId = unknown profile id; displayName = Nike VN.
3. Check the response / error and the log.</t>
  </si>
  <si>
    <t>FR3.3.4-16</t>
  </si>
  <si>
    <t>[Abnormal] Update Client Profile with currentUser = valid user id, profileId = other user's profile id, displayName = Nike VN</t>
  </si>
  <si>
    <t>1. Prepare the state listed in Pre-conditions.
2. Call ClientProfileServiceImpl.updateById with: currentUser = valid user id; profileId = other user's profile id; displayName = Nike VN.
3. Check the response / error and the log.</t>
  </si>
  <si>
    <t>FR3.3.4-17</t>
  </si>
  <si>
    <t>[Abnormal] Update Client Profile with currentUser = valid user id, profileId = own profile id</t>
  </si>
  <si>
    <t>Error: CLIENT_PROFILE_IN_USE - 409 still attached to an active workspace</t>
  </si>
  <si>
    <t>- Can connect with server
- User owns the client profile
- Profile attached to active workspace</t>
  </si>
  <si>
    <t>FR3.3.4-18</t>
  </si>
  <si>
    <t>[Abnormal] Update Client Profile with currentUser = valid user id, profileId = other user's profile id</t>
  </si>
  <si>
    <t>1. Prepare the state listed in Pre-conditions.
2. Call ClientProfileServiceImpl.updateById with: currentUser = valid user id; profileId = other user's profile id.
3. Check the response / error and the log.</t>
  </si>
  <si>
    <t>Error: CLIENT_PROFILE_NOT_OWNED - 403 delete other's profile</t>
  </si>
  <si>
    <t>Functional test of 3.4.1 List Agency; 3.4.2 View Agency Dashboard; 3.4.3 Create Agency; 3.4.4 View Agency Profile and 17 more</t>
  </si>
  <si>
    <t>FR3.4.1-01</t>
  </si>
  <si>
    <t>[Normal] List Agency with currentUser = owner user</t>
  </si>
  <si>
    <t>1. Prepare the state listed in Pre-conditions.
2. Call AgencyServiceImpl.listMyAgencies with: currentUser = owner user.
3. Check the response / error and the log.</t>
  </si>
  <si>
    <t>200 - [AgencyResponse(myRole=OWNER)]</t>
  </si>
  <si>
    <t>- Can connect with server
- User owns 1 active agency</t>
  </si>
  <si>
    <t>FR3.4.1-02</t>
  </si>
  <si>
    <t>[Normal] List Agency with currentUser = member user</t>
  </si>
  <si>
    <t>1. Prepare the state listed in Pre-conditions.
2. Call AgencyServiceImpl.listMyAgencies with: currentUser = member user.
3. Check the response / error and the log.</t>
  </si>
  <si>
    <t>200 - [AgencyResponse(myRole=role of membership)]</t>
  </si>
  <si>
    <t>- Can connect with server
- User is member of 1 agency</t>
  </si>
  <si>
    <t>FR3.4.1-03</t>
  </si>
  <si>
    <t>[Normal] List Agency with currentUser = mixed user</t>
  </si>
  <si>
    <t>1. Prepare the state listed in Pre-conditions.
2. Call AgencyServiceImpl.listMyAgencies with: currentUser = mixed user.
3. Check the response / error and the log.</t>
  </si>
  <si>
    <t>200 - 2 AgencyResponse items</t>
  </si>
  <si>
    <t>- Can connect with server
- User owns 1 agency and is member of another</t>
  </si>
  <si>
    <t>FR3.4.1-04</t>
  </si>
  <si>
    <t>200 - agency listed once (ids deduplicated)</t>
  </si>
  <si>
    <t>- Can connect with server
- User owns agency with owner membership row</t>
  </si>
  <si>
    <t>FR3.4.1-05</t>
  </si>
  <si>
    <t>[Normal] List Agency with currentUser = manager user</t>
  </si>
  <si>
    <t>1. Prepare the state listed in Pre-conditions.
2. Call AgencyServiceImpl.listMyAgencies with: currentUser = manager user.
3. Check the response / error and the log.</t>
  </si>
  <si>
    <t>200 - [AgencyResponse(myRole=MANAGER)]</t>
  </si>
  <si>
    <t>- Can connect with server
- User is member with role MANAGER</t>
  </si>
  <si>
    <t>FR3.4.1-06</t>
  </si>
  <si>
    <t>[Normal] List Agency with currentUser = staff user</t>
  </si>
  <si>
    <t>1. Prepare the state listed in Pre-conditions.
2. Call AgencyServiceImpl.listMyAgencies with: currentUser = staff user.
3. Check the response / error and the log.</t>
  </si>
  <si>
    <t>200 - [AgencyResponse(myRole=STAFF)]</t>
  </si>
  <si>
    <t>- Can connect with server
- User is member with role STAFF</t>
  </si>
  <si>
    <t>FR3.4.1-07</t>
  </si>
  <si>
    <t>200 - 3 AgencyResponse items</t>
  </si>
  <si>
    <t>- Can connect with server
- User owns 3 agencies</t>
  </si>
  <si>
    <t>FR3.4.1-08</t>
  </si>
  <si>
    <t>[Boundary] List Agency with currentUser = new user</t>
  </si>
  <si>
    <t>1. Prepare the state listed in Pre-conditions.
2. Call AgencyServiceImpl.listMyAgencies with: currentUser = new user.
3. Check the response / error and the log.</t>
  </si>
  <si>
    <t>200 - empty list</t>
  </si>
  <si>
    <t>- Can connect with server
- User has no agency and no membership</t>
  </si>
  <si>
    <t>FR3.4.1-09</t>
  </si>
  <si>
    <t>[Boundary] List Agency with currentUser = owner user</t>
  </si>
  <si>
    <t>200 - list size 1</t>
  </si>
  <si>
    <t>- Can connect with server
- User owns exactly 1 agency</t>
  </si>
  <si>
    <t>FR3.4.1-10</t>
  </si>
  <si>
    <t>200 - agency included</t>
  </si>
  <si>
    <t>- Can connect with server
- User owns 1 agency, status ACTIVE</t>
  </si>
  <si>
    <t>FR3.4.1-11</t>
  </si>
  <si>
    <t>[Boundary] List Agency with currentUser = member user</t>
  </si>
  <si>
    <t>- Can connect with server
- User is member of 1 agency only</t>
  </si>
  <si>
    <t>FR3.4.1-12</t>
  </si>
  <si>
    <t>[Abnormal] List Agency with currentUser = owner user</t>
  </si>
  <si>
    <t>200 - empty list (soft-deleted filtered)</t>
  </si>
  <si>
    <t>- Can connect with server
- User owns 1 SOFT_DELETED agency only</t>
  </si>
  <si>
    <t>FR3.4.1-13</t>
  </si>
  <si>
    <t>[Abnormal] List Agency with currentUser = member user</t>
  </si>
  <si>
    <t>200 - deleted agency excluded</t>
  </si>
  <si>
    <t>- Can connect with server
- User is member of a SOFT_DELETED agency</t>
  </si>
  <si>
    <t>FR3.4.1-14</t>
  </si>
  <si>
    <t>200 - only active agency returned</t>
  </si>
  <si>
    <t>- Can connect with server
- Owned agency soft-deleted, another active</t>
  </si>
  <si>
    <t>FR3.4.1-15</t>
  </si>
  <si>
    <t>[Abnormal] List Agency with currentUser = client user</t>
  </si>
  <si>
    <t>1. Prepare the state listed in Pre-conditions.
2. Call AgencyServiceImpl.listMyAgencies with: currentUser = client user.
3. Check the response / error and the log.</t>
  </si>
  <si>
    <t>200 - empty list (clients have no agency_members row)</t>
  </si>
  <si>
    <t>- Can connect with server
- User has only CLIENT workspace access</t>
  </si>
  <si>
    <t>FR3.4.1-16</t>
  </si>
  <si>
    <t>[Abnormal] List Agency with currentUser = null</t>
  </si>
  <si>
    <t>1. Prepare the state listed in Pre-conditions.
2. Call AgencyServiceImpl.listMyAgencies with: currentUser = null.
3. Check the response / error and the log.</t>
  </si>
  <si>
    <t>Error: 401 UNAUTHORIZED - authentication required</t>
  </si>
  <si>
    <t>- Can connect with server
- Request without valid token</t>
  </si>
  <si>
    <t>FR3.4.2-01</t>
  </si>
  <si>
    <t>[Normal] View Agency Dashboard with agencyId = existing id, from = null, to = null</t>
  </si>
  <si>
    <t>1. Prepare the state listed in Pre-conditions.
2. Call AgencyServiceImpl.getStats with: agencyId = existing id; from = null; to = null.
3. Check the response / error and the log.</t>
  </si>
  <si>
    <t>200 - AgencyStatsResponse with totals, membersByRole, workspacesByIndustry, contentByStatus</t>
  </si>
  <si>
    <t>- Can connect with server
- User is OWNER of agency
- Agency has members, workspaces, posts</t>
  </si>
  <si>
    <t>FR3.4.2-02</t>
  </si>
  <si>
    <t>200 - AgencyStatsResponse</t>
  </si>
  <si>
    <t>- Can connect with server
- User is MEMBER of agency (not owner)
- Agency has data</t>
  </si>
  <si>
    <t>FR3.4.2-03</t>
  </si>
  <si>
    <t>[Normal] View Agency Dashboard with agencyId = existing id, from = 2026-01-01, to = 2026-06-30</t>
  </si>
  <si>
    <t>1. Prepare the state listed in Pre-conditions.
2. Call AgencyServiceImpl.getStats with: agencyId = existing id; from = 2026-01-01; to = 2026-06-30.
3. Check the response / error and the log.</t>
  </si>
  <si>
    <t>200 - stats filtered to date range</t>
  </si>
  <si>
    <t>- Can connect with server
- User is OWNER of agency
- Agency has data</t>
  </si>
  <si>
    <t>FR3.4.2-04</t>
  </si>
  <si>
    <t>200 - postsPublishedByMonth grouped yyyy-MM</t>
  </si>
  <si>
    <t>- Can connect with server
- User is OWNER of agency
- Agency has PUBLISHED posts</t>
  </si>
  <si>
    <t>FR3.4.2-05</t>
  </si>
  <si>
    <t>200 - memberGrowthByMonth grouped by month</t>
  </si>
  <si>
    <t>- Can connect with server
- User is OWNER of agency
- Agency has members joined in different months</t>
  </si>
  <si>
    <t>FR3.4.2-06</t>
  </si>
  <si>
    <t>200 - workspacesByIndustry counts</t>
  </si>
  <si>
    <t>- Can connect with server
- User is OWNER of agency
- Agency has workspaces with industry</t>
  </si>
  <si>
    <t>FR3.4.2-07</t>
  </si>
  <si>
    <t>[Boundary] View Agency Dashboard with agencyId = existing id, from = null, to = null</t>
  </si>
  <si>
    <t>200 - totalWorkspaces=0, no Mongo query, empty content maps</t>
  </si>
  <si>
    <t>- Can connect with server
- User is OWNER of agency
- Agency has no workspaces</t>
  </si>
  <si>
    <t>FR3.4.2-08</t>
  </si>
  <si>
    <t>200 - totalMembers=1, membersByRole={OWNER:1}</t>
  </si>
  <si>
    <t>- Can connect with server
- User is OWNER of agency
- Agency has only the owner member</t>
  </si>
  <si>
    <t>FR3.4.2-09</t>
  </si>
  <si>
    <t>[Boundary] View Agency Dashboard with agencyId = existing id, from = joinedAt date, to = null</t>
  </si>
  <si>
    <t>1. Prepare the state listed in Pre-conditions.
2. Call AgencyServiceImpl.getStats with: agencyId = existing id; from = joinedAt date; to = null.
3. Check the response / error and the log.</t>
  </si>
  <si>
    <t>200 - member included (inclusive bound)</t>
  </si>
  <si>
    <t>- Can connect with server
- User is OWNER of agency
- Member joined exactly on from date</t>
  </si>
  <si>
    <t>FR3.4.2-10</t>
  </si>
  <si>
    <t>[Boundary] View Agency Dashboard with agencyId = existing id, from = null, to = joinedAt date</t>
  </si>
  <si>
    <t>1. Prepare the state listed in Pre-conditions.
2. Call AgencyServiceImpl.getStats with: agencyId = existing id; from = null; to = joinedAt date.
3. Check the response / error and the log.</t>
  </si>
  <si>
    <t>- Can connect with server
- User is OWNER of agency
- Member joined exactly on to date</t>
  </si>
  <si>
    <t>FR3.4.2-11</t>
  </si>
  <si>
    <t>[Boundary] View Agency Dashboard with agencyId = existing id, from = only from set, to = null</t>
  </si>
  <si>
    <t>1. Prepare the state listed in Pre-conditions.
2. Call AgencyServiceImpl.getStats with: agencyId = existing id; from = only from set; to = null.
3. Check the response / error and the log.</t>
  </si>
  <si>
    <t>200 - open-ended range filter applied</t>
  </si>
  <si>
    <t>FR3.4.2-12</t>
  </si>
  <si>
    <t>[Abnormal] View Agency Dashboard with agencyId = existing id, from = not-a-date, to = null</t>
  </si>
  <si>
    <t>1. Prepare the state listed in Pre-conditions.
2. Call AgencyServiceImpl.getStats with: agencyId = existing id; from = not-a-date; to = null.
3. Check the response / error and the log.</t>
  </si>
  <si>
    <t>200 - invalid date ignored, full-range stats</t>
  </si>
  <si>
    <t>FR3.4.2-13</t>
  </si>
  <si>
    <t>[Abnormal] View Agency Dashboard with agencyId = non-existing id, from = null, to = null</t>
  </si>
  <si>
    <t>1. Prepare the state listed in Pre-conditions.
2. Call AgencyServiceImpl.getStats with: agencyId = non-existing id; from = null; to = null.
3. Check the response / error and the log.</t>
  </si>
  <si>
    <t>Error: AGENCY_NOT_FOUND: Agency not found</t>
  </si>
  <si>
    <t>- Can connect with server
- Agency does not exist</t>
  </si>
  <si>
    <t>FR3.4.2-14</t>
  </si>
  <si>
    <t>[Abnormal] View Agency Dashboard with agencyId = existing id, from = null, to = null</t>
  </si>
  <si>
    <t>Error: NOT_AGENCY_MEMBER: User is not a member of this agency</t>
  </si>
  <si>
    <t>- Can connect with server
- User is not related to agency</t>
  </si>
  <si>
    <t>FR3.4.2-15</t>
  </si>
  <si>
    <t>- Can connect with server
- User has CLIENT access only to agency workspace</t>
  </si>
  <si>
    <t>FR3.4.2-16</t>
  </si>
  <si>
    <t>[Abnormal] View Agency Dashboard with agencyId = existing id, from = 2000-01-01, to = 2000-01-31</t>
  </si>
  <si>
    <t>1. Prepare the state listed in Pre-conditions.
2. Call AgencyServiceImpl.getStats with: agencyId = existing id; from = 2000-01-01; to = 2000-01-31.
3. Check the response / error and the log.</t>
  </si>
  <si>
    <t>200 - all counts 0, empty maps</t>
  </si>
  <si>
    <t>- Can connect with server
- User is OWNER of agency
- Range excludes all data</t>
  </si>
  <si>
    <t>FR3.4.3-01</t>
  </si>
  <si>
    <t>[Normal] Create Agency with currentUser = authenticated user, name = valid name</t>
  </si>
  <si>
    <t>1. Prepare the state listed in Pre-conditions.
2. Call AgencyServiceImpl.createAgency with: currentUser = authenticated user; name = valid name.
3. Check the response / error and the log.</t>
  </si>
  <si>
    <t>201 - AgencyResponse(myRole=OWNER), owner membership saved</t>
  </si>
  <si>
    <t>- Can connect with server
- User authenticated</t>
  </si>
  <si>
    <t>FR3.4.3-02</t>
  </si>
  <si>
    <t>[Normal] Create Agency with currentUser = authenticated user, name = valid name, category = valid category</t>
  </si>
  <si>
    <t>1. Prepare the state listed in Pre-conditions.
2. Call AgencyServiceImpl.createAgency with: currentUser = authenticated user; name = valid name; category = valid category; companySize = valid size.
3. Check the response / error and the log.</t>
  </si>
  <si>
    <t>201 - AgencyResponse with category and size</t>
  </si>
  <si>
    <t>FR3.4.3-03</t>
  </si>
  <si>
    <t>[Normal] Create Agency with currentUser = authenticated user, name = valid name, website = https://brandhub.vn</t>
  </si>
  <si>
    <t>1. Prepare the state listed in Pre-conditions.
2. Call AgencyServiceImpl.createAgency with: currentUser = authenticated user; name = valid name; website = https://brandhub.vn; phone = valid phone.
3. Check the response / error and the log.</t>
  </si>
  <si>
    <t>201 - AgencyResponse with website and phone</t>
  </si>
  <si>
    <t>FR3.4.3-04</t>
  </si>
  <si>
    <t>[Normal] Create Agency with currentUser = authenticated user, name = valid name, logoUrl = valid url</t>
  </si>
  <si>
    <t>1. Prepare the state listed in Pre-conditions.
2. Call AgencyServiceImpl.createAgency with: currentUser = authenticated user; name = valid name; logoUrl = valid url; bannerUrl = valid url.
3. Check the response / error and the log.</t>
  </si>
  <si>
    <t>201 - AgencyResponse with logo and banner</t>
  </si>
  <si>
    <t>FR3.4.3-05</t>
  </si>
  <si>
    <t>[Normal] Create Agency with currentUser = authenticated user, name = valid name, brandColor = #FF5500</t>
  </si>
  <si>
    <t>1. Prepare the state listed in Pre-conditions.
2. Call AgencyServiceImpl.createAgency with: currentUser = authenticated user; name = valid name; brandColor = #FF5500; tagline = valid tagline; foundedYear = 2020.
3. Check the response / error and the log.</t>
  </si>
  <si>
    <t>201 - AgencyResponse with branding fields</t>
  </si>
  <si>
    <t>FR3.4.3-06</t>
  </si>
  <si>
    <t>[Normal] Create Agency with currentUser = authenticated user, name = valid name, facebookUrl = valid url</t>
  </si>
  <si>
    <t>1. Prepare the state listed in Pre-conditions.
2. Call AgencyServiceImpl.createAgency with: currentUser = authenticated user; name = valid name; facebookUrl = valid url; linkedinUrl = valid url; instagramUrl = valid url.
3. Check the response / error and the log.</t>
  </si>
  <si>
    <t>201 - AgencyResponse with social links</t>
  </si>
  <si>
    <t>FR3.4.3-07</t>
  </si>
  <si>
    <t xml:space="preserve">[Normal] Create Agency with currentUser = authenticated user, name =   padded name  </t>
  </si>
  <si>
    <t>1. Prepare the state listed in Pre-conditions.
2. Call AgencyServiceImpl.createAgency with: currentUser = authenticated user; name =   padded name  .
3. Check the response / error and the log.</t>
  </si>
  <si>
    <t>201 - name trimmed to 'padded name'</t>
  </si>
  <si>
    <t>FR3.4.3-08</t>
  </si>
  <si>
    <t>[Normal] Create Agency with currentUser = authenticated user, name = another valid name</t>
  </si>
  <si>
    <t>1. Prepare the state listed in Pre-conditions.
2. Call AgencyServiceImpl.createAgency with: currentUser = authenticated user; name = another valid name.
3. Check the response / error and the log.</t>
  </si>
  <si>
    <t>201 - second agency created, caller OWNER</t>
  </si>
  <si>
    <t>- Can connect with server
- User already owns an agency</t>
  </si>
  <si>
    <t>FR3.4.3-09</t>
  </si>
  <si>
    <t>[Boundary] Create Agency with currentUser = authenticated user, name = 1 char name</t>
  </si>
  <si>
    <t>1. Prepare the state listed in Pre-conditions.
2. Call AgencyServiceImpl.createAgency with: currentUser = authenticated user; name = 1 char name.
3. Check the response / error and the log.</t>
  </si>
  <si>
    <t>201 - AgencyResponse created</t>
  </si>
  <si>
    <t>FR3.4.3-10</t>
  </si>
  <si>
    <t>[Boundary] Create Agency with currentUser = authenticated user, name = valid name, description = null</t>
  </si>
  <si>
    <t>1. Prepare the state listed in Pre-conditions.
2. Call AgencyServiceImpl.createAgency with: currentUser = authenticated user; name = valid name; description = null; tagline = null.
3. Check the response / error and the log.</t>
  </si>
  <si>
    <t>201 - optional fields stored as null</t>
  </si>
  <si>
    <t>FR3.4.3-11</t>
  </si>
  <si>
    <t>[Boundary] Create Agency with currentUser = authenticated user, name = valid name, foundedYear = 1900</t>
  </si>
  <si>
    <t>1. Prepare the state listed in Pre-conditions.
2. Call AgencyServiceImpl.createAgency with: currentUser = authenticated user; name = valid name; foundedYear = 1900.
3. Check the response / error and the log.</t>
  </si>
  <si>
    <t>FR3.4.3-12</t>
  </si>
  <si>
    <t>[Boundary] Create Agency with currentUser = authenticated user, name = valid name, description = very long text</t>
  </si>
  <si>
    <t>1. Prepare the state listed in Pre-conditions.
2. Call AgencyServiceImpl.createAgency with: currentUser = authenticated user; name = valid name; description = very long text.
3. Check the response / error and the log.</t>
  </si>
  <si>
    <t>FR3.4.3-13</t>
  </si>
  <si>
    <t>[Abnormal] Create Agency with currentUser = authenticated user, name = null</t>
  </si>
  <si>
    <t>1. Prepare the state listed in Pre-conditions.
2. Call AgencyServiceImpl.createAgency with: currentUser = authenticated user; name = null.
3. Check the response / error and the log.</t>
  </si>
  <si>
    <t>Error: 400 MethodArgumentNotValidException - name must not be blank</t>
  </si>
  <si>
    <t>FR3.4.3-14</t>
  </si>
  <si>
    <t>[Abnormal] Create Agency with currentUser = authenticated user, name = empty</t>
  </si>
  <si>
    <t>1. Prepare the state listed in Pre-conditions.
2. Call AgencyServiceImpl.createAgency with: currentUser = authenticated user; name = empty.
3. Check the response / error and the log.</t>
  </si>
  <si>
    <t>FR3.4.3-15</t>
  </si>
  <si>
    <t>[Abnormal] Create Agency with currentUser = authenticated user, name = whitespace only</t>
  </si>
  <si>
    <t>1. Prepare the state listed in Pre-conditions.
2. Call AgencyServiceImpl.createAgency with: currentUser = authenticated user; name = whitespace only.
3. Check the response / error and the log.</t>
  </si>
  <si>
    <t>FR3.4.3-16</t>
  </si>
  <si>
    <t>[Abnormal] Create Agency with currentUser = null, name = valid name</t>
  </si>
  <si>
    <t>1. Prepare the state listed in Pre-conditions.
2. Call AgencyServiceImpl.createAgency with: currentUser = null; name = valid name.
3. Check the response / error and the log.</t>
  </si>
  <si>
    <t>FR3.4.3-17</t>
  </si>
  <si>
    <t>[Abnormal] Create Agency with currentUser = authenticated user, name = valid name, category = unknown enum value</t>
  </si>
  <si>
    <t>1. Prepare the state listed in Pre-conditions.
2. Call AgencyServiceImpl.createAgency with: currentUser = authenticated user; name = valid name; category = unknown enum value.
3. Check the response / error and the log.</t>
  </si>
  <si>
    <t>Error: 400 HttpMessageNotReadableException - invalid category</t>
  </si>
  <si>
    <t>FR3.4.4-01</t>
  </si>
  <si>
    <t>[Normal] View Agency Profile with agencyId = existing id</t>
  </si>
  <si>
    <t>1. Prepare the state listed in Pre-conditions.
2. Call AgencyServiceImpl.getAgency with: agencyId = existing id.
3. Check the response / error and the log.</t>
  </si>
  <si>
    <t>200 - AgencyResponse(myRole=OWNER)</t>
  </si>
  <si>
    <t>- Can connect with server
- User is OWNER of agency</t>
  </si>
  <si>
    <t>FR3.4.4-02</t>
  </si>
  <si>
    <t>200 - AgencyResponse(myRole=MANAGER)</t>
  </si>
  <si>
    <t>- Can connect with server
- User is MEMBER of agency (not owner)
- Member role MANAGER</t>
  </si>
  <si>
    <t>FR3.4.4-03</t>
  </si>
  <si>
    <t>200 - AgencyResponse(myRole=STAFF)</t>
  </si>
  <si>
    <t>- Can connect with server
- User is MEMBER of agency (not owner)
- Member role STAFF</t>
  </si>
  <si>
    <t>FR3.4.4-04</t>
  </si>
  <si>
    <t>200 - AgencyResponse(myRole=null)</t>
  </si>
  <si>
    <t>- Can connect with server
- User is CLIENT in a workspace of agency</t>
  </si>
  <si>
    <t>FR3.4.4-05</t>
  </si>
  <si>
    <t>200 - AgencyResponse with all fields</t>
  </si>
  <si>
    <t>- Can connect with server
- User is OWNER of agency
- Agency has all profile fields</t>
  </si>
  <si>
    <t>FR3.4.4-06</t>
  </si>
  <si>
    <t>200 - AgencyResponse(myRole=OWNER fallback)</t>
  </si>
  <si>
    <t>- Can connect with server
- User is OWNER of agency
- Owner has no agency_members row</t>
  </si>
  <si>
    <t>FR3.4.4-07</t>
  </si>
  <si>
    <t>- Can connect with server
- User is CLIENT in 2 workspaces of agency</t>
  </si>
  <si>
    <t>FR3.4.4-08</t>
  </si>
  <si>
    <t>[Boundary] View Agency Profile with agencyId = existing id</t>
  </si>
  <si>
    <t>200 - AgencyResponse, optional fields null</t>
  </si>
  <si>
    <t>- Can connect with server
- User is OWNER of agency
- Agency has only mandatory fields</t>
  </si>
  <si>
    <t>FR3.4.4-09</t>
  </si>
  <si>
    <t>200 - AgencyResponse</t>
  </si>
  <si>
    <t>- Can connect with server
- User is MEMBER of agency (not owner)
- Member is the only non-owner member</t>
  </si>
  <si>
    <t>FR3.4.4-10</t>
  </si>
  <si>
    <t>- Can connect with server
- User has client profile but no active workspace membership</t>
  </si>
  <si>
    <t>FR3.4.4-11</t>
  </si>
  <si>
    <t>[Abnormal] View Agency Profile with agencyId = non-existing id</t>
  </si>
  <si>
    <t>1. Prepare the state listed in Pre-conditions.
2. Call AgencyServiceImpl.getAgency with: agencyId = non-existing id.
3. Check the response / error and the log.</t>
  </si>
  <si>
    <t>FR3.4.4-12</t>
  </si>
  <si>
    <t>[Abnormal] View Agency Profile with agencyId = existing id</t>
  </si>
  <si>
    <t>FR3.4.4-13</t>
  </si>
  <si>
    <t>- Can connect with server
- User has client profile in another agency only</t>
  </si>
  <si>
    <t>FR3.4.4-14</t>
  </si>
  <si>
    <t>- Can connect with server
- User has no client profile and no membership</t>
  </si>
  <si>
    <t>FR3.4.4-15</t>
  </si>
  <si>
    <t>- Can connect with server
- Client workspace membership inactive</t>
  </si>
  <si>
    <t>FR3.4.4-16</t>
  </si>
  <si>
    <t>[Abnormal] View Agency Profile with agencyId = existing id, currentUser = null</t>
  </si>
  <si>
    <t>1. Prepare the state listed in Pre-conditions.
2. Call AgencyServiceImpl.getAgency with: agencyId = existing id; currentUser = null.
3. Check the response / error and the log.</t>
  </si>
  <si>
    <t>FR3.4.5-01</t>
  </si>
  <si>
    <t>[Normal] Update Agency Profile with agencyId = existing id, name = new valid name</t>
  </si>
  <si>
    <t>1. Prepare the state listed in Pre-conditions.
2. Call AgencyServiceImpl.updateAgency with: agencyId = existing id; name = new valid name.
3. Check the response / error and the log.</t>
  </si>
  <si>
    <t>200 - AgencyResponse(myRole=OWNER) with updated name</t>
  </si>
  <si>
    <t>FR3.4.5-02</t>
  </si>
  <si>
    <t>[Normal] Update Agency Profile with agencyId = existing id, name = valid name, description = new description</t>
  </si>
  <si>
    <t>1. Prepare the state listed in Pre-conditions.
2. Call AgencyServiceImpl.updateAgency with: agencyId = existing id; name = valid name; description = new description.
3. Check the response / error and the log.</t>
  </si>
  <si>
    <t>200 - description updated</t>
  </si>
  <si>
    <t>FR3.4.5-03</t>
  </si>
  <si>
    <t>[Normal] Update Agency Profile with agencyId = existing id, name = valid name, category = valid category</t>
  </si>
  <si>
    <t>1. Prepare the state listed in Pre-conditions.
2. Call AgencyServiceImpl.updateAgency with: agencyId = existing id; name = valid name; category = valid category; companySize = valid size.
3. Check the response / error and the log.</t>
  </si>
  <si>
    <t>200 - category and size updated</t>
  </si>
  <si>
    <t>FR3.4.5-04</t>
  </si>
  <si>
    <t>[Normal] Update Agency Profile with agencyId = existing id, name = valid name, website = https://brandhub.vn</t>
  </si>
  <si>
    <t>1. Prepare the state listed in Pre-conditions.
2. Call AgencyServiceImpl.updateAgency with: agencyId = existing id; name = valid name; website = https://brandhub.vn; phone = valid phone; location = valid location.
3. Check the response / error and the log.</t>
  </si>
  <si>
    <t>200 - contact fields updated</t>
  </si>
  <si>
    <t>FR3.4.5-05</t>
  </si>
  <si>
    <t>[Normal] Update Agency Profile with agencyId = existing id, name = valid name, bannerUrl = new banner url</t>
  </si>
  <si>
    <t>1. Prepare the state listed in Pre-conditions.
2. Call AgencyServiceImpl.updateAgency with: agencyId = existing id; name = valid name; bannerUrl = new banner url.
3. Check the response / error and the log.</t>
  </si>
  <si>
    <t>200 - bannerUrl replaced</t>
  </si>
  <si>
    <t>FR3.4.5-06</t>
  </si>
  <si>
    <t>[Normal] Update Agency Profile with agencyId = existing id, name = valid name, bannerUrl = null</t>
  </si>
  <si>
    <t>1. Prepare the state listed in Pre-conditions.
2. Call AgencyServiceImpl.updateAgency with: agencyId = existing id; name = valid name; bannerUrl = null.
3. Check the response / error and the log.</t>
  </si>
  <si>
    <t>200 - existing bannerUrl kept unchanged</t>
  </si>
  <si>
    <t>FR3.4.5-07</t>
  </si>
  <si>
    <t xml:space="preserve">[Normal] Update Agency Profile with agencyId = existing id, name =   padded name  </t>
  </si>
  <si>
    <t>1. Prepare the state listed in Pre-conditions.
2. Call AgencyServiceImpl.updateAgency with: agencyId = existing id; name =   padded name  .
3. Check the response / error and the log.</t>
  </si>
  <si>
    <t>200 - name trimmed</t>
  </si>
  <si>
    <t>FR3.4.5-08</t>
  </si>
  <si>
    <t>[Normal] Update Agency Profile with agencyId = existing id, name = valid name, brandColor = #00AAFF</t>
  </si>
  <si>
    <t>1. Prepare the state listed in Pre-conditions.
2. Call AgencyServiceImpl.updateAgency with: agencyId = existing id; name = valid name; brandColor = #00AAFF; logoIcon = icon; tagline = new tagline.
3. Check the response / error and the log.</t>
  </si>
  <si>
    <t>200 - branding updated</t>
  </si>
  <si>
    <t>FR3.4.5-09</t>
  </si>
  <si>
    <t>[Normal] Update Agency Profile with agencyId = existing id, name = valid name, facebookUrl = valid url</t>
  </si>
  <si>
    <t>1. Prepare the state listed in Pre-conditions.
2. Call AgencyServiceImpl.updateAgency with: agencyId = existing id; name = valid name; facebookUrl = valid url; linkedinUrl = valid url; instagramUrl = valid url.
3. Check the response / error and the log.</t>
  </si>
  <si>
    <t>200 - social links updated</t>
  </si>
  <si>
    <t>FR3.4.5-10</t>
  </si>
  <si>
    <t>[Boundary] Update Agency Profile with agencyId = existing id, name = 1 char name</t>
  </si>
  <si>
    <t>1. Prepare the state listed in Pre-conditions.
2. Call AgencyServiceImpl.updateAgency with: agencyId = existing id; name = 1 char name.
3. Check the response / error and the log.</t>
  </si>
  <si>
    <t>200 - name updated</t>
  </si>
  <si>
    <t>FR3.4.5-11</t>
  </si>
  <si>
    <t>[Boundary] Update Agency Profile with agencyId = existing id, name = valid name, logoUrl = null</t>
  </si>
  <si>
    <t>1. Prepare the state listed in Pre-conditions.
2. Call AgencyServiceImpl.updateAgency with: agencyId = existing id; name = valid name; logoUrl = null; description = null.
3. Check the response / error and the log.</t>
  </si>
  <si>
    <t>200 - logoUrl and description set to null</t>
  </si>
  <si>
    <t>FR3.4.5-12</t>
  </si>
  <si>
    <t>[Boundary] Update Agency Profile with agencyId = existing id, name = valid name, foundedYear = 1900</t>
  </si>
  <si>
    <t>1. Prepare the state listed in Pre-conditions.
2. Call AgencyServiceImpl.updateAgency with: agencyId = existing id; name = valid name; foundedYear = 1900.
3. Check the response / error and the log.</t>
  </si>
  <si>
    <t>200 - foundedYear updated</t>
  </si>
  <si>
    <t>FR3.4.5-13</t>
  </si>
  <si>
    <t>[Abnormal] Update Agency Profile with agencyId = existing id, name = null</t>
  </si>
  <si>
    <t>1. Prepare the state listed in Pre-conditions.
2. Call AgencyServiceImpl.updateAgency with: agencyId = existing id; name = null.
3. Check the response / error and the log.</t>
  </si>
  <si>
    <t>FR3.4.5-14</t>
  </si>
  <si>
    <t>[Abnormal] Update Agency Profile with agencyId = existing id, name = empty</t>
  </si>
  <si>
    <t>1. Prepare the state listed in Pre-conditions.
2. Call AgencyServiceImpl.updateAgency with: agencyId = existing id; name = empty.
3. Check the response / error and the log.</t>
  </si>
  <si>
    <t>FR3.4.5-15</t>
  </si>
  <si>
    <t>[Abnormal] Update Agency Profile with agencyId = non-existing id, name = valid name</t>
  </si>
  <si>
    <t>1. Prepare the state listed in Pre-conditions.
2. Call AgencyServiceImpl.updateAgency with: agencyId = non-existing id; name = valid name.
3. Check the response / error and the log.</t>
  </si>
  <si>
    <t>FR3.4.5-16</t>
  </si>
  <si>
    <t>[Abnormal] Update Agency Profile with agencyId = existing id, name = valid name</t>
  </si>
  <si>
    <t>1. Prepare the state listed in Pre-conditions.
2. Call AgencyServiceImpl.updateAgency with: agencyId = existing id; name = valid name.
3. Check the response / error and the log.</t>
  </si>
  <si>
    <t>Error: NOT_AGENCY_OWNER: Only the agency owner can perform this action</t>
  </si>
  <si>
    <t>- Can connect with server
- User is MEMBER of agency (not owner)</t>
  </si>
  <si>
    <t>FR3.4.5-17</t>
  </si>
  <si>
    <t>FR3.4.6-01</t>
  </si>
  <si>
    <t>[Normal] Remove Agency with agencyId = existing id</t>
  </si>
  <si>
    <t>1. Prepare the state listed in Pre-conditions.
2. Call AgencyServiceImpl.removeAgency with: agencyId = existing id.
3. Check the response / error and the log.</t>
  </si>
  <si>
    <t>204 - agency and 2 workspaces SOFT_DELETED with deletedAt</t>
  </si>
  <si>
    <t>- Can connect with server
- User is OWNER of agency
- Agency has 2 workspaces</t>
  </si>
  <si>
    <t>FR3.4.6-02</t>
  </si>
  <si>
    <t>204 - agency and workspace SOFT_DELETED</t>
  </si>
  <si>
    <t>- Can connect with server
- User is OWNER of agency
- Agency has 1 workspace</t>
  </si>
  <si>
    <t>FR3.4.6-03</t>
  </si>
  <si>
    <t>204 - agency SOFT_DELETED, member rows kept</t>
  </si>
  <si>
    <t>- Can connect with server
- User is OWNER of agency
- Agency has members</t>
  </si>
  <si>
    <t>FR3.4.6-04</t>
  </si>
  <si>
    <t>204 - agency SOFT_DELETED</t>
  </si>
  <si>
    <t>- Can connect with server
- User is OWNER of agency
- Agency has pending invitations</t>
  </si>
  <si>
    <t>FR3.4.6-05</t>
  </si>
  <si>
    <t>204 - agency and workspaces get same deletedAt timestamp</t>
  </si>
  <si>
    <t>FR3.4.6-06</t>
  </si>
  <si>
    <t>204 - status changed ACTIVE to SOFT_DELETED</t>
  </si>
  <si>
    <t>- Can connect with server
- User is OWNER of agency
- Agency status ACTIVE</t>
  </si>
  <si>
    <t>FR3.4.6-07</t>
  </si>
  <si>
    <t>[Boundary] Remove Agency with agencyId = existing id</t>
  </si>
  <si>
    <t>204 - only agency SOFT_DELETED</t>
  </si>
  <si>
    <t>- Can connect with server
- User is OWNER of agency
- Agency has no workspace</t>
  </si>
  <si>
    <t>FR3.4.6-08</t>
  </si>
  <si>
    <t>- Can connect with server
- User is OWNER of agency
- Agency has only owner member</t>
  </si>
  <si>
    <t>FR3.4.6-09</t>
  </si>
  <si>
    <t>204 - workspace deletedAt overwritten, no error</t>
  </si>
  <si>
    <t>- Can connect with server
- User is OWNER of agency
- Agency has 1 workspace already SOFT_DELETED</t>
  </si>
  <si>
    <t>FR3.4.6-10</t>
  </si>
  <si>
    <t>204 - status stays SOFT_DELETED (idempotent)</t>
  </si>
  <si>
    <t>- Can connect with server
- User is OWNER of agency
- Agency already SOFT_DELETED</t>
  </si>
  <si>
    <t>FR3.4.6-11</t>
  </si>
  <si>
    <t>[Abnormal] Remove Agency with agencyId = non-existing id</t>
  </si>
  <si>
    <t>1. Prepare the state listed in Pre-conditions.
2. Call AgencyServiceImpl.removeAgency with: agencyId = non-existing id.
3. Check the response / error and the log.</t>
  </si>
  <si>
    <t>FR3.4.6-12</t>
  </si>
  <si>
    <t>[Abnormal] Remove Agency with agencyId = existing id</t>
  </si>
  <si>
    <t>FR3.4.6-13</t>
  </si>
  <si>
    <t>FR3.4.6-14</t>
  </si>
  <si>
    <t>FR3.4.6-15</t>
  </si>
  <si>
    <t>- Can connect with server
- User is CLIENT of agency workspace</t>
  </si>
  <si>
    <t>FR3.4.6-16</t>
  </si>
  <si>
    <t>[Abnormal] Remove Agency with agencyId = existing id, currentUser = null</t>
  </si>
  <si>
    <t>1. Prepare the state listed in Pre-conditions.
2. Call AgencyServiceImpl.removeAgency with: agencyId = existing id; currentUser = null.
3. Check the response / error and the log.</t>
  </si>
  <si>
    <t>FR3.4.7-01</t>
  </si>
  <si>
    <t>[Normal] Invite Agency Member with agencyId = existing id, email = new@brandhub.vn</t>
  </si>
  <si>
    <t>1. Prepare the state listed in Pre-conditions.
2. Call AgencyServiceImpl.inviteMember with: agencyId = existing id; email = new@brandhub.vn.
3. Check the response / error and the log.</t>
  </si>
  <si>
    <t>201 - AgencyInvitationResponse(status=PENDING, expires in 30 days)
Log: Agency invitation email sent</t>
  </si>
  <si>
    <t>FR3.4.7-02</t>
  </si>
  <si>
    <t xml:space="preserve">[Normal] Invite Agency Member with agencyId = existing id, email =   NEW@BrandHub.vn  </t>
  </si>
  <si>
    <t>1. Prepare the state listed in Pre-conditions.
2. Call AgencyServiceImpl.inviteMember with: agencyId = existing id; email =   NEW@BrandHub.vn  .
3. Check the response / error and the log.</t>
  </si>
  <si>
    <t>201 - email normalized to lowercase and trimmed
Log: Agency invitation email sent</t>
  </si>
  <si>
    <t>FR3.4.7-03</t>
  </si>
  <si>
    <t>[Normal] Invite Agency Member with agencyId = existing id, email = new@brandhub.vn, expiryDays = 7</t>
  </si>
  <si>
    <t>1. Prepare the state listed in Pre-conditions.
2. Call AgencyServiceImpl.inviteMember with: agencyId = existing id; email = new@brandhub.vn; expiryDays = 7.
3. Check the response / error and the log.</t>
  </si>
  <si>
    <t>201 - expiresAt = now + 7 days
Log: Agency invitation email sent</t>
  </si>
  <si>
    <t>FR3.4.7-04</t>
  </si>
  <si>
    <t>[Normal] Invite Agency Member with agencyId = existing id, email = new@brandhub.vn, note = Welcome aboard</t>
  </si>
  <si>
    <t>1. Prepare the state listed in Pre-conditions.
2. Call AgencyServiceImpl.inviteMember with: agencyId = existing id; email = new@brandhub.vn; note = Welcome aboard; inviteeName = An.
3. Check the response / error and the log.</t>
  </si>
  <si>
    <t>201 - invitation with note
Log: Agency invitation email sent</t>
  </si>
  <si>
    <t>FR3.4.7-05</t>
  </si>
  <si>
    <t>[Normal] Invite Agency Member with agencyId = existing id, email = new@brandhub.vn, workspaceId = agency workspace id</t>
  </si>
  <si>
    <t>1. Prepare the state listed in Pre-conditions.
2. Call AgencyServiceImpl.inviteMember with: agencyId = existing id; email = new@brandhub.vn; workspaceId = agency workspace id; role = STAFF.
3. Check the response / error and the log.</t>
  </si>
  <si>
    <t>201 - invitation assigned to workspace with role STAFF
Log: Agency invitation email sent</t>
  </si>
  <si>
    <t>- Can connect with server
- User is OWNER of agency
- Workspace belongs to agency</t>
  </si>
  <si>
    <t>FR3.4.7-06</t>
  </si>
  <si>
    <t>1. Prepare the state listed in Pre-conditions.
2. Call AgencyServiceImpl.inviteMember with: agencyId = existing id; email = new@brandhub.vn; workspaceId = agency workspace id; role = MANAGER.
3. Check the response / error and the log.</t>
  </si>
  <si>
    <t>201 - invitation with role MANAGER
Log: Agency invitation email sent</t>
  </si>
  <si>
    <t>- Can connect with server
- User is OWNER of agency
- Workspace belongs to agency and has no manager</t>
  </si>
  <si>
    <t>FR3.4.7-07</t>
  </si>
  <si>
    <t>[Normal] Invite Agency Member with agencyId = existing id, email = client@brandhub.vn, workspaceId = agency workspace id</t>
  </si>
  <si>
    <t>1. Prepare the state listed in Pre-conditions.
2. Call AgencyServiceImpl.inviteMember with: agencyId = existing id; email = client@brandhub.vn; workspaceId = agency workspace id; role = CLIENT.
3. Check the response / error and the log.</t>
  </si>
  <si>
    <t>201 - CLIENT invitation scoped to workspace
Log: Agency invitation email sent</t>
  </si>
  <si>
    <t>FR3.4.7-08</t>
  </si>
  <si>
    <t>201 - new PENDING invitation created
Log: Agency invitation email sent</t>
  </si>
  <si>
    <t>- Can connect with server
- User is OWNER of agency
- Previous invitation for email expired</t>
  </si>
  <si>
    <t>FR3.4.7-09</t>
  </si>
  <si>
    <t>[Boundary] Invite Agency Member with agencyId = existing id, email = new@brandhub.vn, expiryDays = 1</t>
  </si>
  <si>
    <t>1. Prepare the state listed in Pre-conditions.
2. Call AgencyServiceImpl.inviteMember with: agencyId = existing id; email = new@brandhub.vn; expiryDays = 1.
3. Check the response / error and the log.</t>
  </si>
  <si>
    <t>201 - expiresAt = now + 1 day
Log: Agency invitation email sent</t>
  </si>
  <si>
    <t>FR3.4.7-10</t>
  </si>
  <si>
    <t>[Boundary] Invite Agency Member with agencyId = existing id, email = new@brandhub.vn, expiryDays = 30</t>
  </si>
  <si>
    <t>1. Prepare the state listed in Pre-conditions.
2. Call AgencyServiceImpl.inviteMember with: agencyId = existing id; email = new@brandhub.vn; expiryDays = 30.
3. Check the response / error and the log.</t>
  </si>
  <si>
    <t>201 - expiresAt = now + 30 days
Log: Agency invitation email sent</t>
  </si>
  <si>
    <t>FR3.4.7-11</t>
  </si>
  <si>
    <t>[Boundary] Invite Agency Member with agencyId = existing id, email = new@brandhub.vn, expiryDays = 0</t>
  </si>
  <si>
    <t>1. Prepare the state listed in Pre-conditions.
2. Call AgencyServiceImpl.inviteMember with: agencyId = existing id; email = new@brandhub.vn; expiryDays = 0.
3. Check the response / error and the log.</t>
  </si>
  <si>
    <t>201 - expiry clamped to minimum 1 day
Log: Agency invitation email sent</t>
  </si>
  <si>
    <t>FR3.4.7-12</t>
  </si>
  <si>
    <t>[Boundary] Invite Agency Member with agencyId = existing id, email = new@brandhub.vn, expiryDays = 90</t>
  </si>
  <si>
    <t>1. Prepare the state listed in Pre-conditions.
2. Call AgencyServiceImpl.inviteMember with: agencyId = existing id; email = new@brandhub.vn; expiryDays = 90.
3. Check the response / error and the log.</t>
  </si>
  <si>
    <t>201 - expiry clamped to 30 days
Log: Agency invitation email sent</t>
  </si>
  <si>
    <t>FR3.4.7-13</t>
  </si>
  <si>
    <t>[Boundary] Invite Agency Member with agencyId = existing id, email = new@brandhub.vn</t>
  </si>
  <si>
    <t>201 - 20th invitation created
Log: Agency invitation email sent</t>
  </si>
  <si>
    <t>- Can connect with server
- User is OWNER of agency
- Agency has 19 pending invitations</t>
  </si>
  <si>
    <t>FR3.4.7-14</t>
  </si>
  <si>
    <t>[Boundary] Invite Agency Member with agencyId = existing id, email = new@brandhub.vn, note = whitespace only</t>
  </si>
  <si>
    <t>1. Prepare the state listed in Pre-conditions.
2. Call AgencyServiceImpl.inviteMember with: agencyId = existing id; email = new@brandhub.vn; note = whitespace only.
3. Check the response / error and the log.</t>
  </si>
  <si>
    <t>201 - blank note stored as null
Log: Agency invitation email sent</t>
  </si>
  <si>
    <t>FR3.4.7-15</t>
  </si>
  <si>
    <t>[Abnormal] Invite Agency Member with agencyId = existing id, email = new@brandhub.vn</t>
  </si>
  <si>
    <t>Error: TOO_MANY_PENDING_INVITATIONS: maximum of 20 pending invitations</t>
  </si>
  <si>
    <t>- Can connect with server
- User is OWNER of agency
- Agency has 20 pending invitations</t>
  </si>
  <si>
    <t>FR3.4.7-16</t>
  </si>
  <si>
    <t>[Abnormal] Invite Agency Member with agencyId = non-existing id, email = new@brandhub.vn</t>
  </si>
  <si>
    <t>1. Prepare the state listed in Pre-conditions.
2. Call AgencyServiceImpl.inviteMember with: agencyId = non-existing id; email = new@brandhub.vn.
3. Check the response / error and the log.</t>
  </si>
  <si>
    <t>FR3.4.7-17</t>
  </si>
  <si>
    <t>FR3.4.7-18</t>
  </si>
  <si>
    <t>[Abnormal] Invite Agency Member with agencyId = existing id, email = member@brandhub.vn</t>
  </si>
  <si>
    <t>1. Prepare the state listed in Pre-conditions.
2. Call AgencyServiceImpl.inviteMember with: agencyId = existing id; email = member@brandhub.vn.
3. Check the response / error and the log.</t>
  </si>
  <si>
    <t>Error: ALREADY_AGENCY_MEMBER: User is already a member of this agency</t>
  </si>
  <si>
    <t>- Can connect with server
- User is OWNER of agency
- Email belongs to existing agency member</t>
  </si>
  <si>
    <t>FR3.4.7-19</t>
  </si>
  <si>
    <t>[Abnormal] Invite Agency Member with agencyId = existing id, email = pending@brandhub.vn</t>
  </si>
  <si>
    <t>1. Prepare the state listed in Pre-conditions.
2. Call AgencyServiceImpl.inviteMember with: agencyId = existing id; email = pending@brandhub.vn.
3. Check the response / error and the log.</t>
  </si>
  <si>
    <t>Error: INVITATION_ALREADY_PENDING: An invitation is already pending for this email</t>
  </si>
  <si>
    <t>- Can connect with server
- User is OWNER of agency
- Pending unexpired invitation exists for email</t>
  </si>
  <si>
    <t>FR3.4.7-20</t>
  </si>
  <si>
    <t>[Abnormal] Invite Agency Member with agencyId = existing id, email = new@brandhub.vn, workspaceId = non-existing id</t>
  </si>
  <si>
    <t>1. Prepare the state listed in Pre-conditions.
2. Call AgencyServiceImpl.inviteMember with: agencyId = existing id; email = new@brandhub.vn; workspaceId = non-existing id.
3. Check the response / error and the log.</t>
  </si>
  <si>
    <t>Error: WORKSPACE_NOT_FOUND: Workspace not found</t>
  </si>
  <si>
    <t>FR3.4.7-21</t>
  </si>
  <si>
    <t>[Abnormal] Invite Agency Member with agencyId = existing id, email = new@brandhub.vn, workspaceId = other agency workspace id</t>
  </si>
  <si>
    <t>1. Prepare the state listed in Pre-conditions.
2. Call AgencyServiceImpl.inviteMember with: agencyId = existing id; email = new@brandhub.vn; workspaceId = other agency workspace id.
3. Check the response / error and the log.</t>
  </si>
  <si>
    <t>Error: WORKSPACE_NOT_IN_AGENCY: Workspace does not belong to this agency</t>
  </si>
  <si>
    <t>- Can connect with server
- User is OWNER of agency
- Workspace belongs to another agency</t>
  </si>
  <si>
    <t>FR3.4.7-22</t>
  </si>
  <si>
    <t>[Abnormal] Invite Agency Member with agencyId = existing id, email = new@brandhub.vn, workspaceId = agency workspace id</t>
  </si>
  <si>
    <t>Error: MANAGER_ALREADY_ASSIGNED: This workspace already has a manager</t>
  </si>
  <si>
    <t>- Can connect with server
- User is OWNER of agency
- Workspace already has a manager</t>
  </si>
  <si>
    <t>FR3.4.7-23</t>
  </si>
  <si>
    <t>[Abnormal] Invite Agency Member with agencyId = existing id, email = client@brandhub.vn, role = CLIENT</t>
  </si>
  <si>
    <t>1. Prepare the state listed in Pre-conditions.
2. Call AgencyServiceImpl.inviteMember with: agencyId = existing id; email = client@brandhub.vn; role = CLIENT; workspaceId = null.
3. Check the response / error and the log.</t>
  </si>
  <si>
    <t>Error: WORKSPACE_REQUIRED_FOR_CLIENT_INVITE: A workspace must be selected when inviting a client</t>
  </si>
  <si>
    <t>FR3.4.8-01</t>
  </si>
  <si>
    <t>[Normal] View Agency Invitation Status with agencyId = existing id</t>
  </si>
  <si>
    <t>1. Prepare the state listed in Pre-conditions.
2. Call AgencyServiceImpl.listInvitations with: agencyId = existing id.
3. Check the response / error and the log.</t>
  </si>
  <si>
    <t>200 - [AgencyInvitationResponse(status=PENDING)]</t>
  </si>
  <si>
    <t>- Can connect with server
- User is OWNER of agency
- Agency has PENDING invitation not expired</t>
  </si>
  <si>
    <t>FR3.4.8-02</t>
  </si>
  <si>
    <t>200 - [AgencyInvitationResponse(status=ACCEPTED)]</t>
  </si>
  <si>
    <t>- Can connect with server
- User is OWNER of agency
- Agency has ACCEPTED invitation</t>
  </si>
  <si>
    <t>FR3.4.8-03</t>
  </si>
  <si>
    <t>200 - [AgencyInvitationResponse(status=REVOKED)]</t>
  </si>
  <si>
    <t>- Can connect with server
- User is OWNER of agency
- Agency has REVOKED invitation</t>
  </si>
  <si>
    <t>FR3.4.8-04</t>
  </si>
  <si>
    <t>200 - status derived as EXPIRED (DB unchanged)</t>
  </si>
  <si>
    <t>- Can connect with server
- User is OWNER of agency
- Agency has PENDING invitation past expiresAt</t>
  </si>
  <si>
    <t>FR3.4.8-05</t>
  </si>
  <si>
    <t>200 - response includes workspaceName</t>
  </si>
  <si>
    <t>- Can connect with server
- User is OWNER of agency
- Invitation has workspaceId</t>
  </si>
  <si>
    <t>FR3.4.8-06</t>
  </si>
  <si>
    <t>200 - workspaceName=null</t>
  </si>
  <si>
    <t>- Can connect with server
- User is OWNER of agency
- Invitation has no workspaceId</t>
  </si>
  <si>
    <t>FR3.4.8-07</t>
  </si>
  <si>
    <t>200 - all invitations returned with their statuses</t>
  </si>
  <si>
    <t>- Can connect with server
- User is OWNER of agency
- Agency has invitations of mixed statuses</t>
  </si>
  <si>
    <t>FR3.4.8-08</t>
  </si>
  <si>
    <t>200 - response includes note and role</t>
  </si>
  <si>
    <t>- Can connect with server
- User is OWNER of agency
- Invitation has note and role</t>
  </si>
  <si>
    <t>FR3.4.8-09</t>
  </si>
  <si>
    <t>[Boundary] View Agency Invitation Status with agencyId = existing id</t>
  </si>
  <si>
    <t>- Can connect with server
- User is OWNER of agency
- Agency has no invitations</t>
  </si>
  <si>
    <t>FR3.4.8-10</t>
  </si>
  <si>
    <t>- Can connect with server
- User is OWNER of agency
- Agency has exactly 1 invitation</t>
  </si>
  <si>
    <t>FR3.4.8-11</t>
  </si>
  <si>
    <t>200 - status EXPIRED</t>
  </si>
  <si>
    <t>- Can connect with server
- User is OWNER of agency
- Invitation expiresAt just passed</t>
  </si>
  <si>
    <t>FR3.4.8-12</t>
  </si>
  <si>
    <t>200 - status PENDING</t>
  </si>
  <si>
    <t>- Can connect with server
- User is OWNER of agency
- Invitation expiresAt just in future</t>
  </si>
  <si>
    <t>FR3.4.8-13</t>
  </si>
  <si>
    <t>200 - status stays ACCEPTED (not expired)</t>
  </si>
  <si>
    <t>- Can connect with server
- User is OWNER of agency
- ACCEPTED invitation past expiresAt</t>
  </si>
  <si>
    <t>FR3.4.8-14</t>
  </si>
  <si>
    <t>[Abnormal] View Agency Invitation Status with agencyId = non-existing id</t>
  </si>
  <si>
    <t>1. Prepare the state listed in Pre-conditions.
2. Call AgencyServiceImpl.listInvitations with: agencyId = non-existing id.
3. Check the response / error and the log.</t>
  </si>
  <si>
    <t>FR3.4.8-15</t>
  </si>
  <si>
    <t>[Abnormal] View Agency Invitation Status with agencyId = existing id</t>
  </si>
  <si>
    <t>FR3.4.8-16</t>
  </si>
  <si>
    <t>FR3.4.8-17</t>
  </si>
  <si>
    <t>FR3.4.9-01</t>
  </si>
  <si>
    <t>[Normal] Remove Member with agencyId = existing id, memberId = manager member id</t>
  </si>
  <si>
    <t>1. Prepare the state listed in Pre-conditions.
2. Call AgencyServiceImpl.removeMember with: agencyId = existing id; memberId = manager member id.
3. Check the response / error and the log.</t>
  </si>
  <si>
    <t>204 - agency member row deleted</t>
  </si>
  <si>
    <t>- Can connect with server
- User is OWNER of agency
- Target is MANAGER member</t>
  </si>
  <si>
    <t>FR3.4.9-02</t>
  </si>
  <si>
    <t>[Normal] Remove Member with agencyId = existing id, memberId = staff member id</t>
  </si>
  <si>
    <t>1. Prepare the state listed in Pre-conditions.
2. Call AgencyServiceImpl.removeMember with: agencyId = existing id; memberId = staff member id.
3. Check the response / error and the log.</t>
  </si>
  <si>
    <t>- Can connect with server
- User is OWNER of agency
- Target is STAFF member</t>
  </si>
  <si>
    <t>FR3.4.9-03</t>
  </si>
  <si>
    <t>[Normal] Remove Member with agencyId = existing id, memberId = editor member id</t>
  </si>
  <si>
    <t>1. Prepare the state listed in Pre-conditions.
2. Call AgencyServiceImpl.removeMember with: agencyId = existing id; memberId = editor member id.
3. Check the response / error and the log.</t>
  </si>
  <si>
    <t>- Can connect with server
- User is OWNER of agency
- Target is EDITOR member</t>
  </si>
  <si>
    <t>FR3.4.9-04</t>
  </si>
  <si>
    <t>204 - 2 members remain</t>
  </si>
  <si>
    <t>- Can connect with server
- User is OWNER of agency
- Agency has 3 members</t>
  </si>
  <si>
    <t>FR3.4.9-05</t>
  </si>
  <si>
    <t>204 - only this agency row deleted</t>
  </si>
  <si>
    <t>- Can connect with server
- User is OWNER of agency
- Removed member also in other agency</t>
  </si>
  <si>
    <t>FR3.4.9-06</t>
  </si>
  <si>
    <t>- Can connect with server
- User is OWNER of agency
- Target member in workspace of agency</t>
  </si>
  <si>
    <t>FR3.4.9-07</t>
  </si>
  <si>
    <t>[Boundary] Remove Member with agencyId = existing id, memberId = only member id</t>
  </si>
  <si>
    <t>1. Prepare the state listed in Pre-conditions.
2. Call AgencyServiceImpl.removeMember with: agencyId = existing id; memberId = only member id.
3. Check the response / error and the log.</t>
  </si>
  <si>
    <t>204 - only owner remains</t>
  </si>
  <si>
    <t>- Can connect with server
- User is OWNER of agency
- Agency has owner and 1 member</t>
  </si>
  <si>
    <t>FR3.4.9-08</t>
  </si>
  <si>
    <t>[Boundary] Remove Member with agencyId = existing id, memberId = newest member id</t>
  </si>
  <si>
    <t>1. Prepare the state listed in Pre-conditions.
2. Call AgencyServiceImpl.removeMember with: agencyId = existing id; memberId = newest member id.
3. Check the response / error and the log.</t>
  </si>
  <si>
    <t>- Can connect with server
- User is OWNER of agency
- Target is the newest member</t>
  </si>
  <si>
    <t>FR3.4.9-09</t>
  </si>
  <si>
    <t>[Abnormal] Remove Member with agencyId = existing id, memberId = owner member id</t>
  </si>
  <si>
    <t>1. Prepare the state listed in Pre-conditions.
2. Call AgencyServiceImpl.removeMember with: agencyId = existing id; memberId = owner member id.
3. Check the response / error and the log.</t>
  </si>
  <si>
    <t>Error: CANNOT_REMOVE_OWNER: Cannot remove the owner of the agency</t>
  </si>
  <si>
    <t>- Can connect with server
- User is OWNER of agency
- Target is OWNER member row</t>
  </si>
  <si>
    <t>FR3.4.9-10</t>
  </si>
  <si>
    <t>[Abnormal] Remove Member with agencyId = existing id, memberId = non-existing id</t>
  </si>
  <si>
    <t>1. Prepare the state listed in Pre-conditions.
2. Call AgencyServiceImpl.removeMember with: agencyId = existing id; memberId = non-existing id.
3. Check the response / error and the log.</t>
  </si>
  <si>
    <t>Error: NOT_FOUND: resource not found</t>
  </si>
  <si>
    <t>FR3.4.9-11</t>
  </si>
  <si>
    <t>[Abnormal] Remove Member with agencyId = existing id, memberId = other agency member id</t>
  </si>
  <si>
    <t>1. Prepare the state listed in Pre-conditions.
2. Call AgencyServiceImpl.removeMember with: agencyId = existing id; memberId = other agency member id.
3. Check the response / error and the log.</t>
  </si>
  <si>
    <t>- Can connect with server
- User is OWNER of agency
- Member belongs to another agency</t>
  </si>
  <si>
    <t>FR3.4.9-12</t>
  </si>
  <si>
    <t>[Abnormal] Remove Member with agencyId = non-existing id, memberId = staff member id</t>
  </si>
  <si>
    <t>1. Prepare the state listed in Pre-conditions.
2. Call AgencyServiceImpl.removeMember with: agencyId = non-existing id; memberId = staff member id.
3. Check the response / error and the log.</t>
  </si>
  <si>
    <t>FR3.4.9-13</t>
  </si>
  <si>
    <t>[Abnormal] Remove Member with agencyId = existing id, memberId = staff member id</t>
  </si>
  <si>
    <t>FR3.4.9-14</t>
  </si>
  <si>
    <t>FR3.4.9-15</t>
  </si>
  <si>
    <t>FR3.4.9-16</t>
  </si>
  <si>
    <t>[Abnormal] Remove Member with agencyId = existing id, memberId = own member id</t>
  </si>
  <si>
    <t>1. Prepare the state listed in Pre-conditions.
2. Call AgencyServiceImpl.removeMember with: agencyId = existing id; memberId = own member id.
3. Check the response / error and the log.</t>
  </si>
  <si>
    <t>- Can connect with server
- User is MEMBER of agency (not owner)
- Member removing self</t>
  </si>
  <si>
    <t>FR3.4.9-17</t>
  </si>
  <si>
    <t>[Abnormal] Remove Member with agencyId = existing id, memberId = null</t>
  </si>
  <si>
    <t>1. Prepare the state listed in Pre-conditions.
2. Call AgencyServiceImpl.removeMember with: agencyId = existing id; memberId = null.
3. Check the response / error and the log.</t>
  </si>
  <si>
    <t>FR3.4.10-01</t>
  </si>
  <si>
    <t>[Normal] List Workspace with currentUser = agency owner</t>
  </si>
  <si>
    <t>1. Prepare the state listed in Pre-conditions.
2. Call WorkspaceServiceImpl.listMyWorkspaces with: currentUser = agency owner.
3. Check the response / error and the log.</t>
  </si>
  <si>
    <t>200 - 2 WorkspaceResponse (role OWNER fallback)</t>
  </si>
  <si>
    <t>- Can connect with server
- User owns agency with 2 workspaces</t>
  </si>
  <si>
    <t>FR3.4.10-02</t>
  </si>
  <si>
    <t>[Normal] List Workspace with currentUser = manager user</t>
  </si>
  <si>
    <t>1. Prepare the state listed in Pre-conditions.
2. Call WorkspaceServiceImpl.listMyWorkspaces with: currentUser = manager user.
3. Check the response / error and the log.</t>
  </si>
  <si>
    <t>200 - [WorkspaceResponse(myRole=MANAGER)]</t>
  </si>
  <si>
    <t>- Can connect with server
- User is active MANAGER in 1 workspace</t>
  </si>
  <si>
    <t>FR3.4.10-03</t>
  </si>
  <si>
    <t>[Normal] List Workspace with currentUser = staff user</t>
  </si>
  <si>
    <t>1. Prepare the state listed in Pre-conditions.
2. Call WorkspaceServiceImpl.listMyWorkspaces with: currentUser = staff user.
3. Check the response / error and the log.</t>
  </si>
  <si>
    <t>200 - 2 WorkspaceResponse(myRole=STAFF)</t>
  </si>
  <si>
    <t>- Can connect with server
- User is active STAFF in 2 workspaces</t>
  </si>
  <si>
    <t>FR3.4.10-04</t>
  </si>
  <si>
    <t>[Normal] List Workspace with currentUser = client user</t>
  </si>
  <si>
    <t>1. Prepare the state listed in Pre-conditions.
2. Call WorkspaceServiceImpl.listMyWorkspaces with: currentUser = client user.
3. Check the response / error and the log.</t>
  </si>
  <si>
    <t>200 - [WorkspaceResponse(myRole=CLIENT, clientProfileId set)]</t>
  </si>
  <si>
    <t>- Can connect with server
- User is CLIENT via clientProfile in 1 workspace</t>
  </si>
  <si>
    <t>FR3.4.10-05</t>
  </si>
  <si>
    <t>200 - workspace listed once, myRole=MANAGER (membership wins)</t>
  </si>
  <si>
    <t>- Can connect with server
- Owner is also MANAGER member of workspace</t>
  </si>
  <si>
    <t>FR3.4.10-06</t>
  </si>
  <si>
    <t>[Normal] List Workspace with currentUser = mixed user</t>
  </si>
  <si>
    <t>1. Prepare the state listed in Pre-conditions.
2. Call WorkspaceServiceImpl.listMyWorkspaces with: currentUser = mixed user.
3. Check the response / error and the log.</t>
  </si>
  <si>
    <t>200 - A and B returned</t>
  </si>
  <si>
    <t>- Can connect with server
- User owns workspace A and is member of B</t>
  </si>
  <si>
    <t>FR3.4.10-07</t>
  </si>
  <si>
    <t>200 - 2 WorkspaceResponse with matching clientProfileId</t>
  </si>
  <si>
    <t>- Can connect with server
- User has 2 client profiles in 2 workspaces</t>
  </si>
  <si>
    <t>FR3.4.10-08</t>
  </si>
  <si>
    <t>200 - workspaces from both agencies</t>
  </si>
  <si>
    <t>- Can connect with server
- Owner has 2 agencies each with workspaces</t>
  </si>
  <si>
    <t>FR3.4.10-09</t>
  </si>
  <si>
    <t>[Boundary] List Workspace with currentUser = new user</t>
  </si>
  <si>
    <t>1. Prepare the state listed in Pre-conditions.
2. Call WorkspaceServiceImpl.listMyWorkspaces with: currentUser = new user.
3. Check the response / error and the log.</t>
  </si>
  <si>
    <t>- Can connect with server
- User has no workspace</t>
  </si>
  <si>
    <t>FR3.4.10-10</t>
  </si>
  <si>
    <t>[Boundary] List Workspace with currentUser = agency owner</t>
  </si>
  <si>
    <t>- Can connect with server
- User owns agency with 0 workspaces</t>
  </si>
  <si>
    <t>FR3.4.10-11</t>
  </si>
  <si>
    <t>[Boundary] List Workspace with currentUser = staff user</t>
  </si>
  <si>
    <t>- Can connect with server
- User is member of exactly 1 workspace</t>
  </si>
  <si>
    <t>FR3.4.10-12</t>
  </si>
  <si>
    <t>[Boundary] List Workspace with currentUser = client user</t>
  </si>
  <si>
    <t>- Can connect with server
- User has client profile without workspace membership</t>
  </si>
  <si>
    <t>FR3.4.10-13</t>
  </si>
  <si>
    <t>[Abnormal] List Workspace with currentUser = agency owner</t>
  </si>
  <si>
    <t>200 - its workspaces not included</t>
  </si>
  <si>
    <t>- Can connect with server
- Owned agency is SOFT_DELETED</t>
  </si>
  <si>
    <t>FR3.4.10-14</t>
  </si>
  <si>
    <t>[Abnormal] List Workspace with currentUser = staff user</t>
  </si>
  <si>
    <t>200 - deleted workspace filtered out</t>
  </si>
  <si>
    <t>- Can connect with server
- One workspace is SOFT_DELETED</t>
  </si>
  <si>
    <t>FR3.4.10-15</t>
  </si>
  <si>
    <t>200 - inactive membership workspace excluded</t>
  </si>
  <si>
    <t>- Can connect with server
- Workspace membership isActive=false</t>
  </si>
  <si>
    <t>FR3.4.10-16</t>
  </si>
  <si>
    <t>[Abnormal] List Workspace with currentUser = client user</t>
  </si>
  <si>
    <t>200 - workspace excluded</t>
  </si>
  <si>
    <t>- Can connect with server
- Client membership isActive=false</t>
  </si>
  <si>
    <t>FR3.4.10-17</t>
  </si>
  <si>
    <t>[Abnormal] List Workspace with currentUser = null</t>
  </si>
  <si>
    <t>1. Prepare the state listed in Pre-conditions.
2. Call WorkspaceServiceImpl.listMyWorkspaces with: currentUser = null.
3. Check the response / error and the log.</t>
  </si>
  <si>
    <t>FR3.4.11-01</t>
  </si>
  <si>
    <t>[Normal] View Workspace Dashboard with workspaceId = existing id</t>
  </si>
  <si>
    <t>1. Prepare the state listed in Pre-conditions.
2. Call WorkspaceServiceImpl.getDashboard with: workspaceId = existing id.
3. Check the response / error and the log.</t>
  </si>
  <si>
    <t>200 - WorkspaceDashboardResponse with member, campaign counts and negotiationStatus</t>
  </si>
  <si>
    <t>- Can connect with server
- User is active member of workspace
- Workspace has media package and campaigns</t>
  </si>
  <si>
    <t>FR3.4.11-02</t>
  </si>
  <si>
    <t>200 - membersByRole grouped by role, totalMembers=3</t>
  </si>
  <si>
    <t>- Can connect with server
- User is active member of workspace
- Workspace has 3 members of mixed roles</t>
  </si>
  <si>
    <t>FR3.4.11-03</t>
  </si>
  <si>
    <t>200 - campaignsByStatus counts per status</t>
  </si>
  <si>
    <t>- Can connect with server
- User is active member of workspace
- Workspace has campaigns of mixed status</t>
  </si>
  <si>
    <t>FR3.4.11-04</t>
  </si>
  <si>
    <t>200 - creditsUsed = ledger usedAmount for current month</t>
  </si>
  <si>
    <t>- Can connect with server
- User is active member of workspace
- Agency has AI credit ledger this month</t>
  </si>
  <si>
    <t>FR3.4.11-05</t>
  </si>
  <si>
    <t>200 - WorkspaceDashboardResponse</t>
  </si>
  <si>
    <t>- Can connect with server
- User is CLIENT of workspace</t>
  </si>
  <si>
    <t>FR3.4.11-06</t>
  </si>
  <si>
    <t>200 - response includes agencyId and currentMonth yyyy-MM</t>
  </si>
  <si>
    <t>- Can connect with server
- User is active member of workspace</t>
  </si>
  <si>
    <t>FR3.4.11-07</t>
  </si>
  <si>
    <t>200 - negotiation status = enum name</t>
  </si>
  <si>
    <t>- Can connect with server
- User is active member of workspace
- Package negotiation status set</t>
  </si>
  <si>
    <t>FR3.4.11-08</t>
  </si>
  <si>
    <t>- Can connect with server
- User is MANAGER member of workspace</t>
  </si>
  <si>
    <t>FR3.4.11-09</t>
  </si>
  <si>
    <t>[Boundary] View Workspace Dashboard with workspaceId = existing id</t>
  </si>
  <si>
    <t>200 - totalCampaigns=0, negotiationStatus=null</t>
  </si>
  <si>
    <t>- Can connect with server
- User is active member of workspace
- Workspace has no media package</t>
  </si>
  <si>
    <t>FR3.4.11-10</t>
  </si>
  <si>
    <t>200 - totalCampaigns=0, empty campaignsByStatus</t>
  </si>
  <si>
    <t>- Can connect with server
- User is active member of workspace
- Media package has no campaigns</t>
  </si>
  <si>
    <t>FR3.4.11-11</t>
  </si>
  <si>
    <t>200 - creditsUsed=0</t>
  </si>
  <si>
    <t>- Can connect with server
- User is active member of workspace
- No AI credit ledger for current month</t>
  </si>
  <si>
    <t>FR3.4.11-12</t>
  </si>
  <si>
    <t>200 - totalMembers=1</t>
  </si>
  <si>
    <t>- Can connect with server
- User is active member of workspace
- Workspace has exactly 1 active member</t>
  </si>
  <si>
    <t>FR3.4.11-13</t>
  </si>
  <si>
    <t>200 - inactive members not counted</t>
  </si>
  <si>
    <t>- Can connect with server
- User is active member of workspace
- Inactive members exist</t>
  </si>
  <si>
    <t>FR3.4.11-14</t>
  </si>
  <si>
    <t>[Abnormal] View Workspace Dashboard with workspaceId = non-existing id</t>
  </si>
  <si>
    <t>1. Prepare the state listed in Pre-conditions.
2. Call WorkspaceServiceImpl.getDashboard with: workspaceId = non-existing id.
3. Check the response / error and the log.</t>
  </si>
  <si>
    <t>- Can connect with server
- Workspace does not exist</t>
  </si>
  <si>
    <t>FR3.4.11-15</t>
  </si>
  <si>
    <t>[Abnormal] View Workspace Dashboard with workspaceId = deleted id</t>
  </si>
  <si>
    <t>1. Prepare the state listed in Pre-conditions.
2. Call WorkspaceServiceImpl.getDashboard with: workspaceId = deleted id.
3. Check the response / error and the log.</t>
  </si>
  <si>
    <t>- Can connect with server
- Workspace is SOFT_DELETED</t>
  </si>
  <si>
    <t>FR3.4.11-16</t>
  </si>
  <si>
    <t>[Abnormal] View Workspace Dashboard with workspaceId = existing id</t>
  </si>
  <si>
    <t>Error: WORKSPACE_ACCESS_DENIED: You do not have access to this workspace</t>
  </si>
  <si>
    <t>- Can connect with server
- User is not member of workspace</t>
  </si>
  <si>
    <t>FR3.4.11-17</t>
  </si>
  <si>
    <t>- Can connect with server
- User membership isActive=false</t>
  </si>
  <si>
    <t>FR3.4.11-18</t>
  </si>
  <si>
    <t>- Can connect with server
- User is CLIENT of a different workspace</t>
  </si>
  <si>
    <t>FR3.4.11-19</t>
  </si>
  <si>
    <t>- Can connect with server
- Agency owner without workspace membership</t>
  </si>
  <si>
    <t>FR3.4.12-01</t>
  </si>
  <si>
    <t>[Normal] Create Workspace with agencyId = valid agency id, name = Acme Studio</t>
  </si>
  <si>
    <t>1. Prepare the state listed in Pre-conditions.
2. Call WorkspaceServiceImpl.createWorkspace with: agencyId = valid agency id; name = Acme Studio.
3. Check the response / error and the log.</t>
  </si>
  <si>
    <t>WorkspaceResponse(name=Acme Studio); creator saved as MANAGER</t>
  </si>
  <si>
    <t>FR3.4.12-02</t>
  </si>
  <si>
    <t>[Normal] Create Workspace with agencyId = valid agency id, name = Acme Studio, industry = MARKETING</t>
  </si>
  <si>
    <t>1. Prepare the state listed in Pre-conditions.
2. Call WorkspaceServiceImpl.createWorkspace with: agencyId = valid agency id; name = Acme Studio; industry = MARKETING; companySize = 11-50; website = https://acme.vn; phone = 0901234567; location = HCMC.
3. Check the response / error and the log.</t>
  </si>
  <si>
    <t>WorkspaceResponse with extended profile fields</t>
  </si>
  <si>
    <t>FR3.4.12-03</t>
  </si>
  <si>
    <t>[Normal] Create Workspace with agencyId = valid agency id, name = Acme Studio, brandColor = #FF5500</t>
  </si>
  <si>
    <t>1. Prepare the state listed in Pre-conditions.
2. Call WorkspaceServiceImpl.createWorkspace with: agencyId = valid agency id; name = Acme Studio; brandColor = #FF5500; logoIcon = star; tagline = We grow brands; foundedYear = 2015.
3. Check the response / error and the log.</t>
  </si>
  <si>
    <t>WorkspaceResponse with brand fields</t>
  </si>
  <si>
    <t>FR3.4.12-04</t>
  </si>
  <si>
    <t>[Normal] Create Workspace with agencyId = valid agency id, name = Acme Studio, facebookUrl = valid url</t>
  </si>
  <si>
    <t>1. Prepare the state listed in Pre-conditions.
2. Call WorkspaceServiceImpl.createWorkspace with: agencyId = valid agency id; name = Acme Studio; facebookUrl = valid url; linkedinUrl = valid url; instagramUrl = valid url.
3. Check the response / error and the log.</t>
  </si>
  <si>
    <t>WorkspaceResponse with social links</t>
  </si>
  <si>
    <t>FR3.4.12-05</t>
  </si>
  <si>
    <t>[Normal] Create Workspace with agencyId = valid agency id, name = Acme Studio, assignMembers = 1 entry userId=B role=CREATOR</t>
  </si>
  <si>
    <t>1. Prepare the state listed in Pre-conditions.
2. Call WorkspaceServiceImpl.createWorkspace with: agencyId = valid agency id; name = Acme Studio; assignMembers = 1 entry userId=B role=CREATOR.
3. Check the response / error and the log.</t>
  </si>
  <si>
    <t>WorkspaceResponse; member B added as CREATOR; creator stays MANAGER</t>
  </si>
  <si>
    <t>- Can connect with server
- User is OWNER of agency
- Assignee is agency member</t>
  </si>
  <si>
    <t>FR3.4.12-06</t>
  </si>
  <si>
    <t>[Normal] Create Workspace with agencyId = valid agency id, name = Acme Studio, assignMembers = 1 entry userId=B role=MANAGER</t>
  </si>
  <si>
    <t>1. Prepare the state listed in Pre-conditions.
2. Call WorkspaceServiceImpl.createWorkspace with: agencyId = valid agency id; name = Acme Studio; assignMembers = 1 entry userId=B role=MANAGER.
3. Check the response / error and the log.</t>
  </si>
  <si>
    <t>WorkspaceResponse; creator demoted to CREATOR, B is MANAGER</t>
  </si>
  <si>
    <t>FR3.4.12-07</t>
  </si>
  <si>
    <t>[Normal] Create Workspace with agencyId = valid agency id, name = Acme Studio, assignMembers = 2 entries, 1 other user role=MANAGER</t>
  </si>
  <si>
    <t>1. Prepare the state listed in Pre-conditions.
2. Call WorkspaceServiceImpl.createWorkspace with: agencyId = valid agency id; name = Acme Studio; assignMembers = 2 entries, 1 other user role=MANAGER.
3. Check the response / error and the log.</t>
  </si>
  <si>
    <t>WorkspaceResponse; exactly 1 MANAGER in workspace</t>
  </si>
  <si>
    <t>FR3.4.12-08</t>
  </si>
  <si>
    <t>[Normal] Create Workspace with agencyId = valid agency id, name = Acme Studio, industryFields = [tech, retail]</t>
  </si>
  <si>
    <t>1. Prepare the state listed in Pre-conditions.
2. Call WorkspaceServiceImpl.createWorkspace with: agencyId = valid agency id; name = Acme Studio; industryFields = [tech, retail].
3. Check the response / error and the log.</t>
  </si>
  <si>
    <t>WorkspaceResponse; industryFields saved in settings</t>
  </si>
  <si>
    <t>FR3.4.12-09</t>
  </si>
  <si>
    <t>[Boundary] Create Workspace with agencyId = valid agency id, name = 1 char</t>
  </si>
  <si>
    <t>1. Prepare the state listed in Pre-conditions.
2. Call WorkspaceServiceImpl.createWorkspace with: agencyId = valid agency id; name = 1 char.
3. Check the response / error and the log.</t>
  </si>
  <si>
    <t>WorkspaceResponse(name length 1)</t>
  </si>
  <si>
    <t>FR3.4.12-10</t>
  </si>
  <si>
    <t>[Boundary] Create Workspace with agencyId = valid agency id, name = max length name</t>
  </si>
  <si>
    <t>1. Prepare the state listed in Pre-conditions.
2. Call WorkspaceServiceImpl.createWorkspace with: agencyId = valid agency id; name = max length name.
3. Check the response / error and the log.</t>
  </si>
  <si>
    <t>WorkspaceResponse(name at max length)</t>
  </si>
  <si>
    <t>FR3.4.12-11</t>
  </si>
  <si>
    <t>[Boundary] Create Workspace with agencyId = valid agency id, name = Acme Studio, assignMembers = empty list</t>
  </si>
  <si>
    <t>1. Prepare the state listed in Pre-conditions.
2. Call WorkspaceServiceImpl.createWorkspace with: agencyId = valid agency id; name = Acme Studio; assignMembers = empty list.
3. Check the response / error and the log.</t>
  </si>
  <si>
    <t>WorkspaceResponse; only creator as MANAGER</t>
  </si>
  <si>
    <t>FR3.4.12-12</t>
  </si>
  <si>
    <t>[Boundary] Create Workspace with agencyId = valid agency id, name = Acme Studio, assignMembers = null</t>
  </si>
  <si>
    <t>1. Prepare the state listed in Pre-conditions.
2. Call WorkspaceServiceImpl.createWorkspace with: agencyId = valid agency id; name = Acme Studio; assignMembers = null.
3. Check the response / error and the log.</t>
  </si>
  <si>
    <t>FR3.4.12-13</t>
  </si>
  <si>
    <t>[Boundary] Create Workspace with agencyId = valid agency id, name = Acme Studio, foundedYear = boundary year 1900</t>
  </si>
  <si>
    <t>1. Prepare the state listed in Pre-conditions.
2. Call WorkspaceServiceImpl.createWorkspace with: agencyId = valid agency id; name = Acme Studio; foundedYear = boundary year 1900.
3. Check the response / error and the log.</t>
  </si>
  <si>
    <t>WorkspaceResponse(foundedYear=1900)</t>
  </si>
  <si>
    <t>FR3.4.12-14</t>
  </si>
  <si>
    <t>[Abnormal] Create Workspace with agencyId = valid agency id, name = Acme Studio</t>
  </si>
  <si>
    <t>- Can connect with server
- User is not member of agency</t>
  </si>
  <si>
    <t>FR3.4.12-15</t>
  </si>
  <si>
    <t>- Can connect with server
- User is MANAGER (not OWNER) of agency</t>
  </si>
  <si>
    <t>FR3.4.12-16</t>
  </si>
  <si>
    <t>[Abnormal] Create Workspace with agencyId = non-existent agency id, name = Acme Studio</t>
  </si>
  <si>
    <t>1. Prepare the state listed in Pre-conditions.
2. Call WorkspaceServiceImpl.createWorkspace with: agencyId = non-existent agency id; name = Acme Studio.
3. Check the response / error and the log.</t>
  </si>
  <si>
    <t>FR3.4.12-17</t>
  </si>
  <si>
    <t>[Abnormal] Create Workspace with agencyId = valid agency id, name = Acme Studio, assignMembers = 1 entry userId=outsider role=CREATOR</t>
  </si>
  <si>
    <t>1. Prepare the state listed in Pre-conditions.
2. Call WorkspaceServiceImpl.createWorkspace with: agencyId = valid agency id; name = Acme Studio; assignMembers = 1 entry userId=outsider role=CREATOR.
3. Check the response / error and the log.</t>
  </si>
  <si>
    <t>- Can connect with server
- User is OWNER of agency
- Assignee is not agency member</t>
  </si>
  <si>
    <t>FR3.4.12-18</t>
  </si>
  <si>
    <t>[Abnormal] Create Workspace with agencyId = valid agency id, name = Acme Studio, assignMembers = 1 entry userId=ghost</t>
  </si>
  <si>
    <t>1. Prepare the state listed in Pre-conditions.
2. Call WorkspaceServiceImpl.createWorkspace with: agencyId = valid agency id; name = Acme Studio; assignMembers = 1 entry userId=ghost.
3. Check the response / error and the log.</t>
  </si>
  <si>
    <t>Error: USER_NOT_FOUND</t>
  </si>
  <si>
    <t>- Can connect with server
- User is OWNER of agency
- Assignee is agency member
- Assignee user row missing</t>
  </si>
  <si>
    <t>FR3.4.12-19</t>
  </si>
  <si>
    <t>[Abnormal] Create Workspace with agencyId = valid agency id, name = Acme Studio, assignMembers = 2 entries both role=MANAGER, different users</t>
  </si>
  <si>
    <t>1. Prepare the state listed in Pre-conditions.
2. Call WorkspaceServiceImpl.createWorkspace with: agencyId = valid agency id; name = Acme Studio; assignMembers = 2 entries both role=MANAGER, different users.
3. Check the response / error and the log.</t>
  </si>
  <si>
    <t>Error: MANAGER_ALREADY_ASSIGNED: second MANAGER rejected</t>
  </si>
  <si>
    <t>FR3.4.12-20</t>
  </si>
  <si>
    <t>[Abnormal] Create Workspace with agencyId = valid agency id, name = null</t>
  </si>
  <si>
    <t>1. Prepare the state listed in Pre-conditions.
2. Call WorkspaceServiceImpl.createWorkspace with: agencyId = valid agency id; name = null.
3. Check the response / error and the log.</t>
  </si>
  <si>
    <t>Error: VALIDATION_ERROR: name must not be blank (MSG02)</t>
  </si>
  <si>
    <t>FR3.4.12-21</t>
  </si>
  <si>
    <t>[Abnormal] Create Workspace with agencyId = valid agency id, name = empty</t>
  </si>
  <si>
    <t>1. Prepare the state listed in Pre-conditions.
2. Call WorkspaceServiceImpl.createWorkspace with: agencyId = valid agency id; name = empty.
3. Check the response / error and the log.</t>
  </si>
  <si>
    <t>FR3.4.12-22</t>
  </si>
  <si>
    <t>[Abnormal] Create Workspace with agencyId = null, name = Acme Studio</t>
  </si>
  <si>
    <t>1. Prepare the state listed in Pre-conditions.
2. Call WorkspaceServiceImpl.createWorkspace with: agencyId = null; name = Acme Studio.
3. Check the response / error and the log.</t>
  </si>
  <si>
    <t>Error: VALIDATION_ERROR: agencyId required</t>
  </si>
  <si>
    <t>FR3.4.13-01</t>
  </si>
  <si>
    <t>[Normal] View Workspace Profile with workspaceId = valid workspace id, currentUser = MANAGER</t>
  </si>
  <si>
    <t>1. Prepare the state listed in Pre-conditions.
2. Call WorkspaceServiceImpl.getWorkspace with: workspaceId = valid workspace id; currentUser = MANAGER.
3. Check the response / error and the log.</t>
  </si>
  <si>
    <t>WorkspaceResponse(id,name,industry,settings)</t>
  </si>
  <si>
    <t>- Can connect with server
- User is active member of workspace
- User role is MANAGER</t>
  </si>
  <si>
    <t>FR3.4.13-02</t>
  </si>
  <si>
    <t>[Normal] View Workspace Profile with workspaceId = valid workspace id, currentUser = CREATOR</t>
  </si>
  <si>
    <t>1. Prepare the state listed in Pre-conditions.
2. Call WorkspaceServiceImpl.getWorkspace with: workspaceId = valid workspace id; currentUser = CREATOR.
3. Check the response / error and the log.</t>
  </si>
  <si>
    <t>- Can connect with server
- User is active member of workspace
- User role is CREATOR</t>
  </si>
  <si>
    <t>FR3.4.13-03</t>
  </si>
  <si>
    <t>[Normal] View Workspace Profile with workspaceId = valid workspace id, currentUser = CLIENT via owned clientProfile</t>
  </si>
  <si>
    <t>1. Prepare the state listed in Pre-conditions.
2. Call WorkspaceServiceImpl.getWorkspace with: workspaceId = valid workspace id; currentUser = CLIENT via owned clientProfile.
3. Check the response / error and the log.</t>
  </si>
  <si>
    <t>WorkspaceResponse via client-profile fallback</t>
  </si>
  <si>
    <t>- Can connect with server
- Workspace has CLIENT member</t>
  </si>
  <si>
    <t>FR3.4.13-04</t>
  </si>
  <si>
    <t>[Normal] View Workspace Profile with workspaceId = valid workspace id, currentUser = active member</t>
  </si>
  <si>
    <t>1. Prepare the state listed in Pre-conditions.
2. Call WorkspaceServiceImpl.getWorkspace with: workspaceId = valid workspace id; currentUser = active member.
3. Check the response / error and the log.</t>
  </si>
  <si>
    <t>WorkspaceResponse(timezone, defaultPlatforms from settings)</t>
  </si>
  <si>
    <t>- Can connect with server
- User is active member of workspace
- Workspace settings JSON valid</t>
  </si>
  <si>
    <t>FR3.4.13-05</t>
  </si>
  <si>
    <t>WorkspaceResponse with empty settings (timezone=null, platforms empty)</t>
  </si>
  <si>
    <t>- Can connect with server
- User is active member of workspace
- Workspace settings JSON malformed</t>
  </si>
  <si>
    <t>FR3.4.13-06</t>
  </si>
  <si>
    <t>WorkspaceResponse with empty settings</t>
  </si>
  <si>
    <t>- Can connect with server
- User is active member of workspace
- Workspace settings null</t>
  </si>
  <si>
    <t>FR3.4.13-07</t>
  </si>
  <si>
    <t>WorkspaceResponse(brandColor,tagline,foundedYear,social links)</t>
  </si>
  <si>
    <t>- Can connect with server
- User is active member of workspace
- Workspace has extended profile fields</t>
  </si>
  <si>
    <t>FR3.4.13-08</t>
  </si>
  <si>
    <t>WorkspaceResponse with null optional fields</t>
  </si>
  <si>
    <t>- Can connect with server
- User is active member of workspace
- Workspace has no optional fields</t>
  </si>
  <si>
    <t>FR3.4.13-09</t>
  </si>
  <si>
    <t>[Boundary] View Workspace Profile with workspaceId = first workspace of agency, currentUser = active member</t>
  </si>
  <si>
    <t>1. Prepare the state listed in Pre-conditions.
2. Call WorkspaceServiceImpl.getWorkspace with: workspaceId = first workspace of agency; currentUser = active member.
3. Check the response / error and the log.</t>
  </si>
  <si>
    <t>WorkspaceResponse</t>
  </si>
  <si>
    <t>FR3.4.13-10</t>
  </si>
  <si>
    <t>[Boundary] View Workspace Profile with workspaceId = valid workspace id, currentUser = active member</t>
  </si>
  <si>
    <t>- Can connect with server
- User is active member of workspace
- Member has just joined</t>
  </si>
  <si>
    <t>FR3.4.13-11</t>
  </si>
  <si>
    <t>- Can connect with server
- Workspace has exactly 1 active member</t>
  </si>
  <si>
    <t>FR3.4.13-12</t>
  </si>
  <si>
    <t>WorkspaceResponse with full name</t>
  </si>
  <si>
    <t>- Can connect with server
- User is active member of workspace
- Name at max length</t>
  </si>
  <si>
    <t>FR3.4.13-13</t>
  </si>
  <si>
    <t>[Abnormal] View Workspace Profile with workspaceId = non-existent id, currentUser = active member</t>
  </si>
  <si>
    <t>1. Prepare the state listed in Pre-conditions.
2. Call WorkspaceServiceImpl.getWorkspace with: workspaceId = non-existent id; currentUser = active member.
3. Check the response / error and the log.</t>
  </si>
  <si>
    <t>FR3.4.13-14</t>
  </si>
  <si>
    <t>[Abnormal] View Workspace Profile with workspaceId = null, currentUser = active member</t>
  </si>
  <si>
    <t>1. Prepare the state listed in Pre-conditions.
2. Call WorkspaceServiceImpl.getWorkspace with: workspaceId = null; currentUser = active member.
3. Check the response / error and the log.</t>
  </si>
  <si>
    <t>FR3.4.13-15</t>
  </si>
  <si>
    <t>[Abnormal] View Workspace Profile with workspaceId = valid workspace id, currentUser = active member</t>
  </si>
  <si>
    <t>- Can connect with server
- Workspace is soft-deleted</t>
  </si>
  <si>
    <t>FR3.4.13-16</t>
  </si>
  <si>
    <t>[Abnormal] View Workspace Profile with workspaceId = valid workspace id, currentUser = non-member</t>
  </si>
  <si>
    <t>1. Prepare the state listed in Pre-conditions.
2. Call WorkspaceServiceImpl.getWorkspace with: workspaceId = valid workspace id; currentUser = non-member.
3. Check the response / error and the log.</t>
  </si>
  <si>
    <t>FR3.4.13-17</t>
  </si>
  <si>
    <t>[Abnormal] View Workspace Profile with workspaceId = valid workspace id, currentUser = former member</t>
  </si>
  <si>
    <t>1. Prepare the state listed in Pre-conditions.
2. Call WorkspaceServiceImpl.getWorkspace with: workspaceId = valid workspace id; currentUser = former member.
3. Check the response / error and the log.</t>
  </si>
  <si>
    <t>- Can connect with server
- User membership isActive=false (left)</t>
  </si>
  <si>
    <t>FR3.4.13-18</t>
  </si>
  <si>
    <t>[Abnormal] View Workspace Profile with workspaceId = valid workspace id, currentUser = member of other workspace</t>
  </si>
  <si>
    <t>1. Prepare the state listed in Pre-conditions.
2. Call WorkspaceServiceImpl.getWorkspace with: workspaceId = valid workspace id; currentUser = member of other workspace.
3. Check the response / error and the log.</t>
  </si>
  <si>
    <t>- Can connect with server
- Member of another workspace only</t>
  </si>
  <si>
    <t>FR3.4.13-19</t>
  </si>
  <si>
    <t>[Abnormal] View Workspace Profile with workspaceId = valid workspace id, currentUser = client of other workspace</t>
  </si>
  <si>
    <t>1. Prepare the state listed in Pre-conditions.
2. Call WorkspaceServiceImpl.getWorkspace with: workspaceId = valid workspace id; currentUser = client of other workspace.
3. Check the response / error and the log.</t>
  </si>
  <si>
    <t>- Can connect with server
- CLIENT profile not linked to workspace</t>
  </si>
  <si>
    <t>FR3.4.14-01</t>
  </si>
  <si>
    <t>[Normal] Update Workspace Profile with workspaceId = valid workspace id, name = New Name</t>
  </si>
  <si>
    <t>1. Prepare the state listed in Pre-conditions.
2. Call WorkspaceServiceImpl.updateSettings with: workspaceId = valid workspace id; name = New Name.
3. Check the response / error and the log.</t>
  </si>
  <si>
    <t>WorkspaceResponse(name=New Name)</t>
  </si>
  <si>
    <t>- Can connect with server
- Caller is MANAGER of workspace</t>
  </si>
  <si>
    <t>FR3.4.14-02</t>
  </si>
  <si>
    <t>[Normal] Update Workspace Profile with workspaceId = valid workspace id, timezone = Asia/Ho_Chi_Minh</t>
  </si>
  <si>
    <t>1. Prepare the state listed in Pre-conditions.
2. Call WorkspaceServiceImpl.updateSettings with: workspaceId = valid workspace id; timezone = Asia/Ho_Chi_Minh.
3. Check the response / error and the log.</t>
  </si>
  <si>
    <t>WorkspaceResponse(timezone updated)</t>
  </si>
  <si>
    <t>FR3.4.14-03</t>
  </si>
  <si>
    <t>[Normal] Update Workspace Profile with workspaceId = valid workspace id, defaultPlatforms = [FACEBOOK, TIKTOK]</t>
  </si>
  <si>
    <t>1. Prepare the state listed in Pre-conditions.
2. Call WorkspaceServiceImpl.updateSettings with: workspaceId = valid workspace id; defaultPlatforms = [FACEBOOK, TIKTOK].
3. Check the response / error and the log.</t>
  </si>
  <si>
    <t>WorkspaceResponse(defaultPlatforms updated)</t>
  </si>
  <si>
    <t>FR3.4.14-04</t>
  </si>
  <si>
    <t>[Normal] Update Workspace Profile with workspaceId = valid workspace id, industry = MARKETING, companySize = 11-50</t>
  </si>
  <si>
    <t>1. Prepare the state listed in Pre-conditions.
2. Call WorkspaceServiceImpl.updateSettings with: workspaceId = valid workspace id; industry = MARKETING; companySize = 11-50.
3. Check the response / error and the log.</t>
  </si>
  <si>
    <t>WorkspaceResponse(industry, companySize updated)</t>
  </si>
  <si>
    <t>FR3.4.14-05</t>
  </si>
  <si>
    <t>[Normal] Update Workspace Profile with workspaceId = valid workspace id, website = https://new.vn, phone = 0909999999</t>
  </si>
  <si>
    <t>1. Prepare the state listed in Pre-conditions.
2. Call WorkspaceServiceImpl.updateSettings with: workspaceId = valid workspace id; website = https://new.vn; phone = 0909999999; location = Hanoi.
3. Check the response / error and the log.</t>
  </si>
  <si>
    <t>WorkspaceResponse(website, phone, location updated)</t>
  </si>
  <si>
    <t>FR3.4.14-06</t>
  </si>
  <si>
    <t>[Normal] Update Workspace Profile with workspaceId = valid workspace id, name = New Name, timezone = UTC</t>
  </si>
  <si>
    <t>1. Prepare the state listed in Pre-conditions.
2. Call WorkspaceServiceImpl.updateSettings with: workspaceId = valid workspace id; name = New Name; timezone = UTC; industry = RETAIL.
3. Check the response / error and the log.</t>
  </si>
  <si>
    <t>WorkspaceResponse with all given fields updated</t>
  </si>
  <si>
    <t>FR3.4.14-07</t>
  </si>
  <si>
    <t>[Normal] Update Workspace Profile with workspaceId = valid workspace id</t>
  </si>
  <si>
    <t>1. Prepare the state listed in Pre-conditions.
2. Call WorkspaceServiceImpl.updateSettings with: workspaceId = valid workspace id.
3. Check the response / error and the log.</t>
  </si>
  <si>
    <t>WorkspaceResponse unchanged except updatedAt</t>
  </si>
  <si>
    <t>FR3.4.14-08</t>
  </si>
  <si>
    <t>[Normal] Update Workspace Profile with workspaceId = valid workspace id, timezone = UTC</t>
  </si>
  <si>
    <t>1. Prepare the state listed in Pre-conditions.
2. Call WorkspaceServiceImpl.updateSettings with: workspaceId = valid workspace id; timezone = UTC.
3. Check the response / error and the log.</t>
  </si>
  <si>
    <t>WorkspaceResponse; industryFields preserved</t>
  </si>
  <si>
    <t>- Can connect with server
- Caller is MANAGER of workspace
- Existing industryFields in settings</t>
  </si>
  <si>
    <t>FR3.4.14-09</t>
  </si>
  <si>
    <t>[Normal] Update Workspace Profile with workspaceId = valid workspace id, defaultPlatforms = [INSTAGRAM]</t>
  </si>
  <si>
    <t>1. Prepare the state listed in Pre-conditions.
2. Call WorkspaceServiceImpl.updateSettings with: workspaceId = valid workspace id; defaultPlatforms = [INSTAGRAM].
3. Check the response / error and the log.</t>
  </si>
  <si>
    <t>WorkspaceResponse; timezone preserved</t>
  </si>
  <si>
    <t>- Can connect with server
- Caller is MANAGER of workspace
- Existing timezone in settings</t>
  </si>
  <si>
    <t>FR3.4.14-10</t>
  </si>
  <si>
    <t>[Boundary] Update Workspace Profile with workspaceId = valid workspace id, name = blank spaces only</t>
  </si>
  <si>
    <t>1. Prepare the state listed in Pre-conditions.
2. Call WorkspaceServiceImpl.updateSettings with: workspaceId = valid workspace id; name = blank spaces only.
3. Check the response / error and the log.</t>
  </si>
  <si>
    <t>WorkspaceResponse; name unchanged (blank ignored)</t>
  </si>
  <si>
    <t>FR3.4.14-11</t>
  </si>
  <si>
    <t>[Boundary] Update Workspace Profile with workspaceId = valid workspace id, name = empty</t>
  </si>
  <si>
    <t>1. Prepare the state listed in Pre-conditions.
2. Call WorkspaceServiceImpl.updateSettings with: workspaceId = valid workspace id; name = empty.
3. Check the response / error and the log.</t>
  </si>
  <si>
    <t>WorkspaceResponse; name unchanged (empty ignored)</t>
  </si>
  <si>
    <t>FR3.4.14-12</t>
  </si>
  <si>
    <t>[Boundary] Update Workspace Profile with workspaceId = valid workspace id, name = 1 char</t>
  </si>
  <si>
    <t>1. Prepare the state listed in Pre-conditions.
2. Call WorkspaceServiceImpl.updateSettings with: workspaceId = valid workspace id; name = 1 char.
3. Check the response / error and the log.</t>
  </si>
  <si>
    <t>FR3.4.14-13</t>
  </si>
  <si>
    <t>[Boundary] Update Workspace Profile with workspaceId = valid workspace id, defaultPlatforms = empty list</t>
  </si>
  <si>
    <t>1. Prepare the state listed in Pre-conditions.
2. Call WorkspaceServiceImpl.updateSettings with: workspaceId = valid workspace id; defaultPlatforms = empty list.
3. Check the response / error and the log.</t>
  </si>
  <si>
    <t>WorkspaceResponse(defaultPlatforms empty)</t>
  </si>
  <si>
    <t>FR3.4.14-14</t>
  </si>
  <si>
    <t>[Boundary] Update Workspace Profile with workspaceId = valid workspace id, timezone = UTC</t>
  </si>
  <si>
    <t>WorkspaceResponse; settings rebuilt from empty + timezone</t>
  </si>
  <si>
    <t>- Can connect with server
- Caller is MANAGER of workspace
- Workspace settings JSON malformed</t>
  </si>
  <si>
    <t>FR3.4.14-15</t>
  </si>
  <si>
    <t>[Abnormal] Update Workspace Profile with workspaceId = non-existent id</t>
  </si>
  <si>
    <t>1. Prepare the state listed in Pre-conditions.
2. Call WorkspaceServiceImpl.updateSettings with: workspaceId = non-existent id.
3. Check the response / error and the log.</t>
  </si>
  <si>
    <t>FR3.4.14-16</t>
  </si>
  <si>
    <t>[Abnormal] Update Workspace Profile with workspaceId = valid workspace id</t>
  </si>
  <si>
    <t>FR3.4.14-17</t>
  </si>
  <si>
    <t>[Abnormal] Update Workspace Profile with workspaceId = valid workspace id, name = X</t>
  </si>
  <si>
    <t>1. Prepare the state listed in Pre-conditions.
2. Call WorkspaceServiceImpl.updateSettings with: workspaceId = valid workspace id; name = X.
3. Check the response / error and the log.</t>
  </si>
  <si>
    <t>Error: FORBIDDEN (RequireRole aspect, MANAGER only)</t>
  </si>
  <si>
    <t>- Can connect with server
- Caller is CREATOR of workspace</t>
  </si>
  <si>
    <t>FR3.4.14-18</t>
  </si>
  <si>
    <t>- Can connect with server
- Caller is CLIENT of workspace</t>
  </si>
  <si>
    <t>FR3.4.14-19</t>
  </si>
  <si>
    <t>- Can connect with server
- Caller not member of workspace</t>
  </si>
  <si>
    <t>FR3.4.14-20</t>
  </si>
  <si>
    <t>[Abnormal] Update Workspace Profile with workspaceId = valid workspace id, industry = INVALID_VALUE</t>
  </si>
  <si>
    <t>1. Prepare the state listed in Pre-conditions.
2. Call WorkspaceServiceImpl.updateSettings with: workspaceId = valid workspace id; industry = INVALID_VALUE.
3. Check the response / error and the log.</t>
  </si>
  <si>
    <t>Error: VALIDATION_ERROR: invalid WorkspaceIndustry (MSG02)</t>
  </si>
  <si>
    <t>FR3.4.14-21</t>
  </si>
  <si>
    <t>[Abnormal] Update Workspace Profile with workspaceId = valid workspace id, companySize = INVALID_VALUE</t>
  </si>
  <si>
    <t>1. Prepare the state listed in Pre-conditions.
2. Call WorkspaceServiceImpl.updateSettings with: workspaceId = valid workspace id; companySize = INVALID_VALUE.
3. Check the response / error and the log.</t>
  </si>
  <si>
    <t>Error: VALIDATION_ERROR: invalid CompanySize (MSG02)</t>
  </si>
  <si>
    <t>FR3.4.15-01</t>
  </si>
  <si>
    <t>[Normal] Delete Workspace with workspaceId = valid workspace id</t>
  </si>
  <si>
    <t>1. Prepare the state listed in Pre-conditions.
2. Call WorkspaceServiceImpl.deleteWorkspace with: workspaceId = valid workspace id.
3. Check the response / error and the log.</t>
  </si>
  <si>
    <t>void; status=SOFT_DELETED, deletedAt and updatedAt set</t>
  </si>
  <si>
    <t>- Can connect with server
- Caller is agency OWNER of workspace agency
- Workspace is ACTIVE</t>
  </si>
  <si>
    <t>FR3.4.15-02</t>
  </si>
  <si>
    <t>void; workspace soft-deleted, tasks untouched (no cascade)</t>
  </si>
  <si>
    <t>- Can connect with server
- Caller is agency OWNER of workspace agency
- Workspace has tasks in progress</t>
  </si>
  <si>
    <t>FR3.4.15-03</t>
  </si>
  <si>
    <t>void; workspace soft-deleted, memberships untouched</t>
  </si>
  <si>
    <t>- Can connect with server
- Caller is agency OWNER of workspace agency
- Workspace has many members</t>
  </si>
  <si>
    <t>FR3.4.15-04</t>
  </si>
  <si>
    <t>[Normal] Delete Workspace with workspaceId = valid workspace id, typedName = matches workspace name (FE gate)</t>
  </si>
  <si>
    <t>1. Prepare the state listed in Pre-conditions.
2. Call WorkspaceServiceImpl.deleteWorkspace with: workspaceId = valid workspace id; typedName = matches workspace name (FE gate).
3. Check the response / error and the log.</t>
  </si>
  <si>
    <t>void; success toast, redirect to /workspace</t>
  </si>
  <si>
    <t>FR3.4.15-05</t>
  </si>
  <si>
    <t>[Normal] Delete Workspace with workspaceId = valid workspace id, action = restoreWorkspace</t>
  </si>
  <si>
    <t>1. Prepare the state listed in Pre-conditions.
2. Call WorkspaceServiceImpl.deleteWorkspace with: workspaceId = valid workspace id; action = restoreWorkspace.
3. Check the response / error and the log.</t>
  </si>
  <si>
    <t>WorkspaceResponse(status=ACTIVE, deletedAt=null)</t>
  </si>
  <si>
    <t>- Can connect with server
- Caller is agency OWNER of workspace agency
- Workspace soft-deleted 1 day ago</t>
  </si>
  <si>
    <t>FR3.4.15-06</t>
  </si>
  <si>
    <t>WorkspaceResponse(status=ACTIVE)</t>
  </si>
  <si>
    <t>- Can connect with server
- Caller is agency OWNER of workspace agency
- Workspace soft-deleted 29 days ago</t>
  </si>
  <si>
    <t>FR3.4.15-07</t>
  </si>
  <si>
    <t>void; workspace no longer in active listings</t>
  </si>
  <si>
    <t>FR3.4.15-08</t>
  </si>
  <si>
    <t>void; workspace saved once via repository</t>
  </si>
  <si>
    <t>FR3.4.15-09</t>
  </si>
  <si>
    <t>[Boundary] Delete Workspace with workspaceId = valid workspace id, action = restoreWorkspace</t>
  </si>
  <si>
    <t>WorkspaceResponse(status=ACTIVE) at window edge</t>
  </si>
  <si>
    <t>- Can connect with server
- Caller is agency OWNER of workspace agency
- Workspace soft-deleted exactly 30 days ago</t>
  </si>
  <si>
    <t>FR3.4.15-10</t>
  </si>
  <si>
    <t>[Boundary] Delete Workspace with workspaceId = valid workspace id</t>
  </si>
  <si>
    <t>void; workspace soft-deleted</t>
  </si>
  <si>
    <t>- Can connect with server
- Caller is agency OWNER of workspace agency
- Agency has only 1 workspace</t>
  </si>
  <si>
    <t>FR3.4.15-11</t>
  </si>
  <si>
    <t>- Can connect with server
- Caller is agency OWNER of workspace agency
- Workspace just created</t>
  </si>
  <si>
    <t>FR3.4.15-12</t>
  </si>
  <si>
    <t>Error: RESTORE_WINDOW_EXPIRED (410)</t>
  </si>
  <si>
    <t>- Can connect with server
- Caller is agency OWNER of workspace agency
- Workspace soft-deleted 30 days + 1 min ago</t>
  </si>
  <si>
    <t>FR3.4.15-13</t>
  </si>
  <si>
    <t>[Abnormal] Delete Workspace with workspaceId = non-existent id</t>
  </si>
  <si>
    <t>1. Prepare the state listed in Pre-conditions.
2. Call WorkspaceServiceImpl.deleteWorkspace with: workspaceId = non-existent id.
3. Check the response / error and the log.</t>
  </si>
  <si>
    <t>- Can connect with server
- Caller is agency OWNER of workspace agency</t>
  </si>
  <si>
    <t>FR3.4.15-14</t>
  </si>
  <si>
    <t>[Abnormal] Delete Workspace with workspaceId = valid workspace id</t>
  </si>
  <si>
    <t>- Can connect with server
- Workspace exists but agency row missing</t>
  </si>
  <si>
    <t>FR3.4.15-15</t>
  </si>
  <si>
    <t>Error: FORBIDDEN</t>
  </si>
  <si>
    <t>- Can connect with server
- Caller is agency member but not OWNER</t>
  </si>
  <si>
    <t>FR3.4.15-16</t>
  </si>
  <si>
    <t>- Can connect with server
- Caller is workspace MANAGER only</t>
  </si>
  <si>
    <t>FR3.4.15-17</t>
  </si>
  <si>
    <t>- Can connect with server
- Caller is not in agency</t>
  </si>
  <si>
    <t>FR3.4.15-18</t>
  </si>
  <si>
    <t>[Abnormal] Delete Workspace with workspaceId = valid workspace id, action = restoreWorkspace</t>
  </si>
  <si>
    <t>Error: WORKSPACE_NOT_DELETED: Workspace is not deleted, nothing to restore</t>
  </si>
  <si>
    <t>FR3.4.15-19</t>
  </si>
  <si>
    <t>- Can connect with server
- Caller is not agency OWNER
- Workspace soft-deleted</t>
  </si>
  <si>
    <t>FR3.4.15-20</t>
  </si>
  <si>
    <t>[Abnormal] Delete Workspace with workspaceId = non-existent id, action = restoreWorkspace</t>
  </si>
  <si>
    <t>1. Prepare the state listed in Pre-conditions.
2. Call WorkspaceServiceImpl.deleteWorkspace with: workspaceId = non-existent id; action = restoreWorkspace.
3. Check the response / error and the log.</t>
  </si>
  <si>
    <t>FR3.4.16-01</t>
  </si>
  <si>
    <t>[Normal] Leave Workspace with workspaceId = valid workspace id, currentUser = CREATOR</t>
  </si>
  <si>
    <t>1. Prepare the state listed in Pre-conditions.
2. Call WorkspaceServiceImpl.leaveWorkspace with: workspaceId = valid workspace id; currentUser = CREATOR.
3. Check the response / error and the log.</t>
  </si>
  <si>
    <t>void; membership isActive=false</t>
  </si>
  <si>
    <t>- Can connect with server
- User is active member of workspace
- Caller role is CREATOR</t>
  </si>
  <si>
    <t>FR3.4.16-02</t>
  </si>
  <si>
    <t>[Normal] Leave Workspace with workspaceId = valid workspace id, currentUser = CLIENT</t>
  </si>
  <si>
    <t>1. Prepare the state listed in Pre-conditions.
2. Call WorkspaceServiceImpl.leaveWorkspace with: workspaceId = valid workspace id; currentUser = CLIENT.
3. Check the response / error and the log.</t>
  </si>
  <si>
    <t>- Can connect with server
- User is active member of workspace
- Caller role is CLIENT</t>
  </si>
  <si>
    <t>FR3.4.16-03</t>
  </si>
  <si>
    <t>[Normal] Leave Workspace with workspaceId = valid workspace id, currentUser = MANAGER, managerCount = 2</t>
  </si>
  <si>
    <t>1. Prepare the state listed in Pre-conditions.
2. Call WorkspaceServiceImpl.leaveWorkspace with: workspaceId = valid workspace id; currentUser = MANAGER; managerCount = 2.
3. Check the response / error and the log.</t>
  </si>
  <si>
    <t>- Can connect with server
- User is active member of workspace
- Caller role is MANAGER
- Another active MANAGER exists</t>
  </si>
  <si>
    <t>FR3.4.16-04</t>
  </si>
  <si>
    <t>[Normal] Leave Workspace with workspaceId = valid workspace id</t>
  </si>
  <si>
    <t>1. Prepare the state listed in Pre-conditions.
2. Call WorkspaceServiceImpl.leaveWorkspace with: workspaceId = valid workspace id.
3. Check the response / error and the log.</t>
  </si>
  <si>
    <t>void; updatedAt set on membership</t>
  </si>
  <si>
    <t>FR3.4.16-05</t>
  </si>
  <si>
    <t>void; membership row kept (soft delete)</t>
  </si>
  <si>
    <t>FR3.4.16-06</t>
  </si>
  <si>
    <t>void; agency membership unchanged</t>
  </si>
  <si>
    <t>FR3.4.16-07</t>
  </si>
  <si>
    <t>void; other members unaffected</t>
  </si>
  <si>
    <t>- Can connect with server
- User is active member of workspace
- Caller role is CREATOR
- Workspace has other members</t>
  </si>
  <si>
    <t>FR3.4.16-08</t>
  </si>
  <si>
    <t>void; new active membership deactivated</t>
  </si>
  <si>
    <t>- Can connect with server
- Caller left earlier and was re-added</t>
  </si>
  <si>
    <t>FR3.4.16-09</t>
  </si>
  <si>
    <t>[Boundary] Leave Workspace with workspaceId = valid workspace id, managerCount = 2</t>
  </si>
  <si>
    <t>1. Prepare the state listed in Pre-conditions.
2. Call WorkspaceServiceImpl.leaveWorkspace with: workspaceId = valid workspace id; managerCount = 2.
3. Check the response / error and the log.</t>
  </si>
  <si>
    <t>void; leaves successfully (exactly 2 MANAGER rows)</t>
  </si>
  <si>
    <t>FR3.4.16-10</t>
  </si>
  <si>
    <t>[Boundary] Leave Workspace with workspaceId = valid workspace id, managerCount = 1</t>
  </si>
  <si>
    <t>1. Prepare the state listed in Pre-conditions.
2. Call WorkspaceServiceImpl.leaveWorkspace with: workspaceId = valid workspace id; managerCount = 1.
3. Check the response / error and the log.</t>
  </si>
  <si>
    <t>Error: LAST_MANAGER_CANNOT_BE_REMOVED</t>
  </si>
  <si>
    <t>- Can connect with server
- User is active member of workspace
- Caller role is MANAGER
- Only active MANAGER</t>
  </si>
  <si>
    <t>FR3.4.16-11</t>
  </si>
  <si>
    <t>[Boundary] Leave Workspace with workspaceId = valid workspace id</t>
  </si>
  <si>
    <t>- Can connect with server
- User is active member of workspace
- Caller role is CREATOR
- Caller is last member</t>
  </si>
  <si>
    <t>FR3.4.16-12</t>
  </si>
  <si>
    <t>void; leaves (guard applies to MANAGER only)</t>
  </si>
  <si>
    <t>- Can connect with server
- User is active member of workspace
- Caller role is CREATOR
- Only MANAGER is another user</t>
  </si>
  <si>
    <t>FR3.4.16-13</t>
  </si>
  <si>
    <t>[Abnormal] Leave Workspace with workspaceId = valid workspace id, currentUser = non-member</t>
  </si>
  <si>
    <t>1. Prepare the state listed in Pre-conditions.
2. Call WorkspaceServiceImpl.leaveWorkspace with: workspaceId = valid workspace id; currentUser = non-member.
3. Check the response / error and the log.</t>
  </si>
  <si>
    <t>- Can connect with server
- Caller is not member of workspace</t>
  </si>
  <si>
    <t>FR3.4.16-14</t>
  </si>
  <si>
    <t>[Abnormal] Leave Workspace with workspaceId = valid workspace id, currentUser = former member</t>
  </si>
  <si>
    <t>1. Prepare the state listed in Pre-conditions.
2. Call WorkspaceServiceImpl.leaveWorkspace with: workspaceId = valid workspace id; currentUser = former member.
3. Check the response / error and the log.</t>
  </si>
  <si>
    <t>- Can connect with server
- Caller membership already inactive</t>
  </si>
  <si>
    <t>FR3.4.16-15</t>
  </si>
  <si>
    <t>[Abnormal] Leave Workspace with workspaceId = non-existent id</t>
  </si>
  <si>
    <t>1. Prepare the state listed in Pre-conditions.
2. Call WorkspaceServiceImpl.leaveWorkspace with: workspaceId = non-existent id.
3. Check the response / error and the log.</t>
  </si>
  <si>
    <t>FR3.4.16-16</t>
  </si>
  <si>
    <t>[Abnormal] Leave Workspace with workspaceId = valid workspace id, currentUser = sole MANAGER</t>
  </si>
  <si>
    <t>1. Prepare the state listed in Pre-conditions.
2. Call WorkspaceServiceImpl.leaveWorkspace with: workspaceId = valid workspace id; currentUser = sole MANAGER.
3. Check the response / error and the log.</t>
  </si>
  <si>
    <t>FR3.4.16-17</t>
  </si>
  <si>
    <t>[Abnormal] Leave Workspace with workspaceId = valid workspace id</t>
  </si>
  <si>
    <t>- Can connect with server
- Caller is member of other workspace only</t>
  </si>
  <si>
    <t>FR3.4.16-18</t>
  </si>
  <si>
    <t>[Abnormal] Leave Workspace with workspaceId = valid workspace id, currentUser = client without userId row</t>
  </si>
  <si>
    <t>1. Prepare the state listed in Pre-conditions.
2. Call WorkspaceServiceImpl.leaveWorkspace with: workspaceId = valid workspace id; currentUser = client without userId row.
3. Check the response / error and the log.</t>
  </si>
  <si>
    <t>- Can connect with server
- Caller has only CLIENT membership via clientProfile</t>
  </si>
  <si>
    <t>FR3.4.17-01</t>
  </si>
  <si>
    <t>[Normal] Save Workspace Template with name = Retail Starter, config = timezone, platforms, reportFrequency, sourceWorkspaceId = valid workspace id</t>
  </si>
  <si>
    <t>1. Prepare the state listed in Pre-conditions.
2. Call WorkspaceTemplateServiceImpl.saveTemplate with: name = Retail Starter; config = timezone, platforms, reportFrequency; sourceWorkspaceId = valid workspace id.
3. Check the response / error and the log.</t>
  </si>
  <si>
    <t>WorkspaceTemplateResponse(id,agencyId,name,sourceWorkspaceId,configSnapshot,createdBy)</t>
  </si>
  <si>
    <t>- Can connect with server
- Caller owns an agency</t>
  </si>
  <si>
    <t>FR3.4.17-02</t>
  </si>
  <si>
    <t>[Normal] Save Workspace Template with name = Retail Starter, config = timezone, platforms, reportFrequency</t>
  </si>
  <si>
    <t>1. Prepare the state listed in Pre-conditions.
2. Call WorkspaceTemplateServiceImpl.saveTemplate with: name = Retail Starter; config = timezone, platforms, reportFrequency.
3. Check the response / error and the log.</t>
  </si>
  <si>
    <t>WorkspaceTemplateResponse(sourceWorkspaceId=null)</t>
  </si>
  <si>
    <t>FR3.4.17-03</t>
  </si>
  <si>
    <t>[Normal] Save Workspace Template with name = Retail Starter, config = timezone only</t>
  </si>
  <si>
    <t>1. Prepare the state listed in Pre-conditions.
2. Call WorkspaceTemplateServiceImpl.saveTemplate with: name = Retail Starter; config = timezone only.
3. Check the response / error and the log.</t>
  </si>
  <si>
    <t>WorkspaceTemplateResponse(configSnapshot JSON with timezone)</t>
  </si>
  <si>
    <t>FR3.4.17-04</t>
  </si>
  <si>
    <t>[Normal] Save Workspace Template with name = Retail Starter, config = platforms + reportFrequency=WEEKLY</t>
  </si>
  <si>
    <t>1. Prepare the state listed in Pre-conditions.
2. Call WorkspaceTemplateServiceImpl.saveTemplate with: name = Retail Starter; config = platforms + reportFrequency=WEEKLY.
3. Check the response / error and the log.</t>
  </si>
  <si>
    <t>WorkspaceTemplateResponse(configSnapshot JSON)</t>
  </si>
  <si>
    <t>FR3.4.17-05</t>
  </si>
  <si>
    <t>[Normal] Save Workspace Template with name = Retail Starter, config = reportFrequency=MONTHLY</t>
  </si>
  <si>
    <t>1. Prepare the state listed in Pre-conditions.
2. Call WorkspaceTemplateServiceImpl.saveTemplate with: name = Retail Starter; config = reportFrequency=MONTHLY.
3. Check the response / error and the log.</t>
  </si>
  <si>
    <t>FR3.4.17-06</t>
  </si>
  <si>
    <t>WorkspaceTemplateResponse(agencyId = owned agency)</t>
  </si>
  <si>
    <t>- Can connect with server
- Caller owns an agency
- Caller owns 2 agencies</t>
  </si>
  <si>
    <t>FR3.4.17-07</t>
  </si>
  <si>
    <t>[Normal] Save Workspace Template with name = Retail Starter, config = timezone, platforms, reportFrequency, agencyId = forged id in payload ignored</t>
  </si>
  <si>
    <t>1. Prepare the state listed in Pre-conditions.
2. Call WorkspaceTemplateServiceImpl.saveTemplate with: name = Retail Starter; config = timezone, platforms, reportFrequency; agencyId = forged id in payload ignored.
3. Check the response / error and the log.</t>
  </si>
  <si>
    <t>WorkspaceTemplateResponse(agencyId from session)</t>
  </si>
  <si>
    <t>FR3.4.17-08</t>
  </si>
  <si>
    <t>WorkspaceTemplateResponse(createdBy = caller id)</t>
  </si>
  <si>
    <t>FR3.4.17-09</t>
  </si>
  <si>
    <t>[Normal] Save Workspace Template with name = Retail Starter, config = timezone, platforms, reportFrequency, sourceWorkspaceId = soft-deleted workspace</t>
  </si>
  <si>
    <t>1. Prepare the state listed in Pre-conditions.
2. Call WorkspaceTemplateServiceImpl.saveTemplate with: name = Retail Starter; config = timezone, platforms, reportFrequency; sourceWorkspaceId = soft-deleted workspace.
3. Check the response / error and the log.</t>
  </si>
  <si>
    <t>Template remains available (BR-06)</t>
  </si>
  <si>
    <t>- Can connect with server
- Caller owns an agency
- Source workspace later deleted</t>
  </si>
  <si>
    <t>FR3.4.17-10</t>
  </si>
  <si>
    <t>[Boundary] Save Workspace Template with name = 1 char, config = timezone, platforms, reportFrequency</t>
  </si>
  <si>
    <t>1. Prepare the state listed in Pre-conditions.
2. Call WorkspaceTemplateServiceImpl.saveTemplate with: name = 1 char; config = timezone, platforms, reportFrequency.
3. Check the response / error and the log.</t>
  </si>
  <si>
    <t>WorkspaceTemplateResponse(name length 1)</t>
  </si>
  <si>
    <t>FR3.4.17-11</t>
  </si>
  <si>
    <t>[Boundary] Save Workspace Template with name = max length name, config = timezone, platforms, reportFrequency</t>
  </si>
  <si>
    <t>1. Prepare the state listed in Pre-conditions.
2. Call WorkspaceTemplateServiceImpl.saveTemplate with: name = max length name; config = timezone, platforms, reportFrequency.
3. Check the response / error and the log.</t>
  </si>
  <si>
    <t>WorkspaceTemplateResponse(name at max length)</t>
  </si>
  <si>
    <t>FR3.4.17-12</t>
  </si>
  <si>
    <t>[Boundary] Save Workspace Template with name = Retail Starter, config = empty object</t>
  </si>
  <si>
    <t>1. Prepare the state listed in Pre-conditions.
2. Call WorkspaceTemplateServiceImpl.saveTemplate with: name = Retail Starter; config = empty object.
3. Check the response / error and the log.</t>
  </si>
  <si>
    <t>WorkspaceTemplateResponse(configSnapshot={})</t>
  </si>
  <si>
    <t>FR3.4.17-13</t>
  </si>
  <si>
    <t>[Boundary] Save Workspace Template with name = duplicate name, config = timezone, platforms, reportFrequency</t>
  </si>
  <si>
    <t>1. Prepare the state listed in Pre-conditions.
2. Call WorkspaceTemplateServiceImpl.saveTemplate with: name = duplicate name; config = timezone, platforms, reportFrequency.
3. Check the response / error and the log.</t>
  </si>
  <si>
    <t>WorkspaceTemplateResponse (name not unique-checked)</t>
  </si>
  <si>
    <t>- Can connect with server
- Caller owns an agency
- Agency already has templates</t>
  </si>
  <si>
    <t>FR3.4.17-14</t>
  </si>
  <si>
    <t>[Abnormal] Save Workspace Template with name = Retail Starter, config = timezone, platforms, reportFrequency</t>
  </si>
  <si>
    <t>- Can connect with server
- Caller owns no agency</t>
  </si>
  <si>
    <t>FR3.4.17-15</t>
  </si>
  <si>
    <t>- Can connect with server
- Caller is only agency member (not owner)</t>
  </si>
  <si>
    <t>FR3.4.17-16</t>
  </si>
  <si>
    <t>[Abnormal] Save Workspace Template with name = null, config = timezone, platforms, reportFrequency</t>
  </si>
  <si>
    <t>1. Prepare the state listed in Pre-conditions.
2. Call WorkspaceTemplateServiceImpl.saveTemplate with: name = null; config = timezone, platforms, reportFrequency.
3. Check the response / error and the log.</t>
  </si>
  <si>
    <t>FR3.4.17-17</t>
  </si>
  <si>
    <t>[Abnormal] Save Workspace Template with name = empty, config = timezone, platforms, reportFrequency</t>
  </si>
  <si>
    <t>1. Prepare the state listed in Pre-conditions.
2. Call WorkspaceTemplateServiceImpl.saveTemplate with: name = empty; config = timezone, platforms, reportFrequency.
3. Check the response / error and the log.</t>
  </si>
  <si>
    <t>FR3.4.17-18</t>
  </si>
  <si>
    <t>[Abnormal] Save Workspace Template with name = blank spaces only, config = timezone, platforms, reportFrequency</t>
  </si>
  <si>
    <t>1. Prepare the state listed in Pre-conditions.
2. Call WorkspaceTemplateServiceImpl.saveTemplate with: name = blank spaces only; config = timezone, platforms, reportFrequency.
3. Check the response / error and the log.</t>
  </si>
  <si>
    <t>FR3.4.17-19</t>
  </si>
  <si>
    <t>[Abnormal] Save Workspace Template with name = Retail Starter, config = null</t>
  </si>
  <si>
    <t>1. Prepare the state listed in Pre-conditions.
2. Call WorkspaceTemplateServiceImpl.saveTemplate with: name = Retail Starter; config = null.
3. Check the response / error and the log.</t>
  </si>
  <si>
    <t>Error: VALIDATION_ERROR: configSnapshot must not be blank (MSG02)</t>
  </si>
  <si>
    <t>FR3.4.17-20</t>
  </si>
  <si>
    <t>[Abnormal] Save Workspace Template with name = Retail Starter, config = unserializable object</t>
  </si>
  <si>
    <t>1. Prepare the state listed in Pre-conditions.
2. Call WorkspaceTemplateServiceImpl.saveTemplate with: name = Retail Starter; config = unserializable object.
3. Check the response / error and the log.</t>
  </si>
  <si>
    <t>Error: IllegalStateException: failed to serialize config</t>
  </si>
  <si>
    <t>FR3.4.18-01</t>
  </si>
  <si>
    <t>[Normal] View Workspace Members with workspaceId = valid workspace id, currentUser = active member</t>
  </si>
  <si>
    <t>1. Prepare the state listed in Pre-conditions.
2. Call WorkspaceServiceImpl.listMembers with: workspaceId = valid workspace id; currentUser = active member.
3. Check the response / error and the log.</t>
  </si>
  <si>
    <t>List&lt;WorkspaceMemberResponse&gt; with fullName, email, role</t>
  </si>
  <si>
    <t>- Can connect with server
- User is active member of workspace
- Workspace has MANAGER, CREATOR members</t>
  </si>
  <si>
    <t>FR3.4.18-02</t>
  </si>
  <si>
    <t>List includes CLIENT row; fullName=client displayName, email=null</t>
  </si>
  <si>
    <t>- Can connect with server
- User is active member of workspace
- Workspace has CLIENT member</t>
  </si>
  <si>
    <t>FR3.4.18-03</t>
  </si>
  <si>
    <t>List contains all 3 roles together</t>
  </si>
  <si>
    <t>- Can connect with server
- User is active member of workspace
- Workspace has mixed roles</t>
  </si>
  <si>
    <t>FR3.4.18-04</t>
  </si>
  <si>
    <t>[Normal] View Workspace Members with workspaceId = valid workspace id, currentUser = CREATOR</t>
  </si>
  <si>
    <t>1. Prepare the state listed in Pre-conditions.
2. Call WorkspaceServiceImpl.listMembers with: workspaceId = valid workspace id; currentUser = CREATOR.
3. Check the response / error and the log.</t>
  </si>
  <si>
    <t>List&lt;WorkspaceMemberResponse&gt;</t>
  </si>
  <si>
    <t>FR3.4.18-05</t>
  </si>
  <si>
    <t>[Normal] View Workspace Members with workspaceId = valid workspace id, currentUser = CLIENT</t>
  </si>
  <si>
    <t>1. Prepare the state listed in Pre-conditions.
2. Call WorkspaceServiceImpl.listMembers with: workspaceId = valid workspace id; currentUser = CLIENT.
3. Check the response / error and the log.</t>
  </si>
  <si>
    <t>- Can connect with server
- Caller is CLIENT via clientProfile</t>
  </si>
  <si>
    <t>FR3.4.18-06</t>
  </si>
  <si>
    <t>List excludes members with isActive=false</t>
  </si>
  <si>
    <t>- Can connect with server
- User is active member of workspace
- Member has left workspace</t>
  </si>
  <si>
    <t>FR3.4.18-07</t>
  </si>
  <si>
    <t>List excludes removed member</t>
  </si>
  <si>
    <t>- Can connect with server
- User is active member of workspace
- Member removed from workspace</t>
  </si>
  <si>
    <t>FR3.4.18-08</t>
  </si>
  <si>
    <t>Each item has id, workspaceId, userId, clientProfileId, role, joinedAt, isActive=true</t>
  </si>
  <si>
    <t>FR3.4.18-09</t>
  </si>
  <si>
    <t>[Boundary] View Workspace Members with workspaceId = valid workspace id, currentUser = active member</t>
  </si>
  <si>
    <t>List with 1 item</t>
  </si>
  <si>
    <t>- Can connect with server
- User is active member of workspace
- Caller is only active member</t>
  </si>
  <si>
    <t>FR3.4.18-10</t>
  </si>
  <si>
    <t>List with 100 items</t>
  </si>
  <si>
    <t>- Can connect with server
- User is active member of workspace
- Workspace has 100 members</t>
  </si>
  <si>
    <t>FR3.4.18-11</t>
  </si>
  <si>
    <t>List with caller and CLIENT rows</t>
  </si>
  <si>
    <t>- Can connect with server
- User is active member of workspace
- Only CLIENT members besides caller</t>
  </si>
  <si>
    <t>FR3.4.18-12</t>
  </si>
  <si>
    <t>Item with fullName=null, email=null</t>
  </si>
  <si>
    <t>- Can connect with server
- User is active member of workspace
- Member userId row missing in users table</t>
  </si>
  <si>
    <t>FR3.4.18-13</t>
  </si>
  <si>
    <t>[Abnormal] View Workspace Members with workspaceId = non-existent id, currentUser = active member</t>
  </si>
  <si>
    <t>1. Prepare the state listed in Pre-conditions.
2. Call WorkspaceServiceImpl.listMembers with: workspaceId = non-existent id; currentUser = active member.
3. Check the response / error and the log.</t>
  </si>
  <si>
    <t>FR3.4.18-14</t>
  </si>
  <si>
    <t>[Abnormal] View Workspace Members with workspaceId = null, currentUser = active member</t>
  </si>
  <si>
    <t>1. Prepare the state listed in Pre-conditions.
2. Call WorkspaceServiceImpl.listMembers with: workspaceId = null; currentUser = active member.
3. Check the response / error and the log.</t>
  </si>
  <si>
    <t>FR3.4.18-15</t>
  </si>
  <si>
    <t>[Abnormal] View Workspace Members with workspaceId = valid workspace id, currentUser = active member</t>
  </si>
  <si>
    <t>FR3.4.18-16</t>
  </si>
  <si>
    <t>[Abnormal] View Workspace Members with workspaceId = valid workspace id, currentUser = non-member</t>
  </si>
  <si>
    <t>1. Prepare the state listed in Pre-conditions.
2. Call WorkspaceServiceImpl.listMembers with: workspaceId = valid workspace id; currentUser = non-member.
3. Check the response / error and the log.</t>
  </si>
  <si>
    <t>FR3.4.18-17</t>
  </si>
  <si>
    <t>[Abnormal] View Workspace Members with workspaceId = valid workspace id, currentUser = former member</t>
  </si>
  <si>
    <t>1. Prepare the state listed in Pre-conditions.
2. Call WorkspaceServiceImpl.listMembers with: workspaceId = valid workspace id; currentUser = former member.
3. Check the response / error and the log.</t>
  </si>
  <si>
    <t>FR3.4.18-18</t>
  </si>
  <si>
    <t>[Abnormal] View Workspace Members with workspaceId = valid workspace id, currentUser = client of other workspace</t>
  </si>
  <si>
    <t>1. Prepare the state listed in Pre-conditions.
2. Call WorkspaceServiceImpl.listMembers with: workspaceId = valid workspace id; currentUser = client of other workspace.
3. Check the response / error and the log.</t>
  </si>
  <si>
    <t>FR3.4.19-01</t>
  </si>
  <si>
    <t>[Normal] Add Workspace Member with workspaceId = valid workspace id, email = new@brandhub.vn, role = CREATOR</t>
  </si>
  <si>
    <t>1. Prepare the state listed in Pre-conditions.
2. Call WorkspaceServiceImpl.inviteMember with: workspaceId = valid workspace id; email = new@brandhub.vn; role = CREATOR.
3. Check the response / error and the log.</t>
  </si>
  <si>
    <t>void; invitation PENDING saved with token
Log: Workspace invitation email sent</t>
  </si>
  <si>
    <t>FR3.4.19-02</t>
  </si>
  <si>
    <t>[Normal] Add Workspace Member with workspaceId = valid workspace id, email = client@brandhub.vn, role = CLIENT</t>
  </si>
  <si>
    <t>1. Prepare the state listed in Pre-conditions.
2. Call WorkspaceServiceImpl.inviteMember with: workspaceId = valid workspace id; email = client@brandhub.vn; role = CLIENT.
3. Check the response / error and the log.</t>
  </si>
  <si>
    <t>void; invitation PENDING with role CLIENT
Log: Workspace invitation email sent</t>
  </si>
  <si>
    <t>FR3.4.19-03</t>
  </si>
  <si>
    <t>[Normal] Add Workspace Member with workspaceId = valid workspace id, email = m@brandhub.vn, role = MANAGER</t>
  </si>
  <si>
    <t>1. Prepare the state listed in Pre-conditions.
2. Call WorkspaceServiceImpl.inviteMember with: workspaceId = valid workspace id; email = m@brandhub.vn; role = MANAGER.
3. Check the response / error and the log.</t>
  </si>
  <si>
    <t>void; invitation PENDING with role MANAGER
Log: Workspace invitation email sent</t>
  </si>
  <si>
    <t>- Can connect with server
- Caller is MANAGER of workspace
- Workspace has no MANAGER</t>
  </si>
  <si>
    <t>FR3.4.19-04</t>
  </si>
  <si>
    <t>[Normal] Add Workspace Member with workspaceId = valid workspace id, email =   Mixed@BrandHub.VN , role = CREATOR</t>
  </si>
  <si>
    <t>1. Prepare the state listed in Pre-conditions.
2. Call WorkspaceServiceImpl.inviteMember with: workspaceId = valid workspace id; email =   Mixed@BrandHub.VN ; role = CREATOR.
3. Check the response / error and the log.</t>
  </si>
  <si>
    <t>void; email trimmed and lowercased in invitation
Log: Workspace invitation email sent</t>
  </si>
  <si>
    <t>FR3.4.19-05</t>
  </si>
  <si>
    <t>1. Prepare the state listed in Pre-conditions.
2. Call WorkspaceServiceImpl.inviteMember with: workspaceId = valid workspace id; email = new@brandhub.vn; role = CREATOR; note = Welcome aboard.
3. Check the response / error and the log.</t>
  </si>
  <si>
    <t>void; invitation email includes note
Log: Workspace invitation email sent</t>
  </si>
  <si>
    <t>FR3.4.19-06</t>
  </si>
  <si>
    <t>[Normal] Add Workspace Member with workspaceId = valid workspace id, email = again@brandhub.vn, role = CREATOR</t>
  </si>
  <si>
    <t>1. Prepare the state listed in Pre-conditions.
2. Call WorkspaceServiceImpl.inviteMember with: workspaceId = valid workspace id; email = again@brandhub.vn; role = CREATOR.
3. Check the response / error and the log.</t>
  </si>
  <si>
    <t>void; new invitation PENDING saved
Log: Workspace invitation email sent</t>
  </si>
  <si>
    <t>- Can connect with server
- Caller is MANAGER of workspace
- Previous invitation for email expired</t>
  </si>
  <si>
    <t>FR3.4.19-07</t>
  </si>
  <si>
    <t>[Normal] Add Workspace Member with workspaceId = valid workspace id, assignMembers = 2 entries role=CREATOR</t>
  </si>
  <si>
    <t>1. Prepare the state listed in Pre-conditions.
2. Call WorkspaceServiceImpl.inviteMember with: workspaceId = valid workspace id; assignMembers = 2 entries role=CREATOR.
3. Check the response / error and the log.</t>
  </si>
  <si>
    <t>AssignMembersResponse(added=2, skippedUserIds=[])</t>
  </si>
  <si>
    <t>- Can connect with server
- Caller is MANAGER of workspace
- Users are agency members</t>
  </si>
  <si>
    <t>FR3.4.19-08</t>
  </si>
  <si>
    <t>AssignMembersResponse(added=1, skippedUserIds=[existing])</t>
  </si>
  <si>
    <t>- Can connect with server
- Caller is MANAGER of workspace
- 1 of 2 users already active member</t>
  </si>
  <si>
    <t>FR3.4.19-09</t>
  </si>
  <si>
    <t>[Boundary] Add Workspace Member with workspaceId = valid workspace id, email = new@brandhub.vn, role = CREATOR</t>
  </si>
  <si>
    <t>1. Prepare the state listed in Pre-conditions.
2. Call WorkspaceServiceImpl.inviteMember with: workspaceId = valid workspace id; email = new@brandhub.vn; role = CREATOR; note = null.
3. Check the response / error and the log.</t>
  </si>
  <si>
    <t>void; invitation saved without note
Log: Workspace invitation email sent</t>
  </si>
  <si>
    <t>FR3.4.19-10</t>
  </si>
  <si>
    <t>[Boundary] Add Workspace Member with workspaceId = valid workspace id, email = edge@brandhub.vn, role = CREATOR</t>
  </si>
  <si>
    <t>1. Prepare the state listed in Pre-conditions.
2. Call WorkspaceServiceImpl.inviteMember with: workspaceId = valid workspace id; email = edge@brandhub.vn; role = CREATOR.
3. Check the response / error and the log.</t>
  </si>
  <si>
    <t>void; expiresAt = now + INVITATION_EXPIRY_DAYS
Log: Workspace invitation email sent</t>
  </si>
  <si>
    <t>FR3.4.19-11</t>
  </si>
  <si>
    <t>[Boundary] Add Workspace Member with workspaceId = valid workspace id, assignMembers = 1 entry (minimum)</t>
  </si>
  <si>
    <t>1. Prepare the state listed in Pre-conditions.
2. Call WorkspaceServiceImpl.inviteMember with: workspaceId = valid workspace id; assignMembers = 1 entry (minimum).
3. Check the response / error and the log.</t>
  </si>
  <si>
    <t>AssignMembersResponse(added=1)</t>
  </si>
  <si>
    <t>FR3.4.19-12</t>
  </si>
  <si>
    <t>[Boundary] Add Workspace Member with workspaceId = valid workspace id, assignMembers = all entries already active</t>
  </si>
  <si>
    <t>1. Prepare the state listed in Pre-conditions.
2. Call WorkspaceServiceImpl.inviteMember with: workspaceId = valid workspace id; assignMembers = all entries already active.
3. Check the response / error and the log.</t>
  </si>
  <si>
    <t>AssignMembersResponse(added=0, skippedUserIds=all)</t>
  </si>
  <si>
    <t>FR3.4.19-13</t>
  </si>
  <si>
    <t>[Abnormal] Add Workspace Member with workspaceId = valid workspace id, email = member@brandhub.vn, role = CREATOR</t>
  </si>
  <si>
    <t>1. Prepare the state listed in Pre-conditions.
2. Call WorkspaceServiceImpl.inviteMember with: workspaceId = valid workspace id; email = member@brandhub.vn; role = CREATOR.
3. Check the response / error and the log.</t>
  </si>
  <si>
    <t>Error: ALREADY_IN_WORKSPACE: User is already a member of this workspace</t>
  </si>
  <si>
    <t>- Can connect with server
- Caller is MANAGER of workspace
- Email already active member</t>
  </si>
  <si>
    <t>FR3.4.19-14</t>
  </si>
  <si>
    <t>[Abnormal] Add Workspace Member with workspaceId = valid workspace id, email = pending@brandhub.vn, role = CREATOR</t>
  </si>
  <si>
    <t>1. Prepare the state listed in Pre-conditions.
2. Call WorkspaceServiceImpl.inviteMember with: workspaceId = valid workspace id; email = pending@brandhub.vn; role = CREATOR.
3. Check the response / error and the log.</t>
  </si>
  <si>
    <t>Error: INVITATION_ALREADY_PENDING</t>
  </si>
  <si>
    <t>- Can connect with server
- Caller is MANAGER of workspace
- Pending unexpired invitation exists</t>
  </si>
  <si>
    <t>FR3.4.19-15</t>
  </si>
  <si>
    <t>[Abnormal] Add Workspace Member with workspaceId = valid workspace id, email = m2@brandhub.vn, role = MANAGER</t>
  </si>
  <si>
    <t>1. Prepare the state listed in Pre-conditions.
2. Call WorkspaceServiceImpl.inviteMember with: workspaceId = valid workspace id; email = m2@brandhub.vn; role = MANAGER.
3. Check the response / error and the log.</t>
  </si>
  <si>
    <t>Error: MANAGER_ALREADY_ASSIGNED</t>
  </si>
  <si>
    <t>- Can connect with server
- Caller is MANAGER of workspace
- Workspace already has active MANAGER</t>
  </si>
  <si>
    <t>FR3.4.19-16</t>
  </si>
  <si>
    <t>[Abnormal] Add Workspace Member with workspaceId = valid workspace id, assignMembers = 1 entry role=MANAGER</t>
  </si>
  <si>
    <t>1. Prepare the state listed in Pre-conditions.
2. Call WorkspaceServiceImpl.inviteMember with: workspaceId = valid workspace id; assignMembers = 1 entry role=MANAGER.
3. Check the response / error and the log.</t>
  </si>
  <si>
    <t>FR3.4.19-17</t>
  </si>
  <si>
    <t>[Abnormal] Add Workspace Member with workspaceId = valid workspace id, assignMembers = 1 entry outsider userId</t>
  </si>
  <si>
    <t>1. Prepare the state listed in Pre-conditions.
2. Call WorkspaceServiceImpl.inviteMember with: workspaceId = valid workspace id; assignMembers = 1 entry outsider userId.
3. Check the response / error and the log.</t>
  </si>
  <si>
    <t>- Can connect with server
- Caller is MANAGER of workspace
- User is not agency member</t>
  </si>
  <si>
    <t>FR3.4.19-18</t>
  </si>
  <si>
    <t>[Abnormal] Add Workspace Member with workspaceId = valid workspace id, assignMembers = 1 entry ghost userId</t>
  </si>
  <si>
    <t>1. Prepare the state listed in Pre-conditions.
2. Call WorkspaceServiceImpl.inviteMember with: workspaceId = valid workspace id; assignMembers = 1 entry ghost userId.
3. Check the response / error and the log.</t>
  </si>
  <si>
    <t>- Can connect with server
- Caller is MANAGER of workspace
- Agency member user row missing</t>
  </si>
  <si>
    <t>FR3.4.19-19</t>
  </si>
  <si>
    <t>[Abnormal] Add Workspace Member with workspaceId = valid workspace id, email = new@brandhub.vn, role = CREATOR</t>
  </si>
  <si>
    <t>FR3.4.19-20</t>
  </si>
  <si>
    <t>[Abnormal] Add Workspace Member with workspaceId = valid workspace id, email = not-an-email, role = CREATOR</t>
  </si>
  <si>
    <t>1. Prepare the state listed in Pre-conditions.
2. Call WorkspaceServiceImpl.inviteMember with: workspaceId = valid workspace id; email = not-an-email; role = CREATOR.
3. Check the response / error and the log.</t>
  </si>
  <si>
    <t>Error: VALIDATION_ERROR: invalid email (MSG04)</t>
  </si>
  <si>
    <t>FR3.4.19-21</t>
  </si>
  <si>
    <t>[Abnormal] Add Workspace Member with workspaceId = valid workspace id, email = null, role = CREATOR</t>
  </si>
  <si>
    <t>1. Prepare the state listed in Pre-conditions.
2. Call WorkspaceServiceImpl.inviteMember with: workspaceId = valid workspace id; email = null; role = CREATOR.
3. Check the response / error and the log.</t>
  </si>
  <si>
    <t>Error: VALIDATION_ERROR: email required (MSG02)</t>
  </si>
  <si>
    <t>FR3.4.19-22</t>
  </si>
  <si>
    <t>[Abnormal] Add Workspace Member with workspaceId = valid workspace id, email = new@brandhub.vn, role = OWNER</t>
  </si>
  <si>
    <t>1. Prepare the state listed in Pre-conditions.
2. Call WorkspaceServiceImpl.inviteMember with: workspaceId = valid workspace id; email = new@brandhub.vn; role = OWNER.
3. Check the response / error and the log.</t>
  </si>
  <si>
    <t>Error: VALIDATION_ERROR: invalid role (MSG95)</t>
  </si>
  <si>
    <t>FR3.4.19-23</t>
  </si>
  <si>
    <t>[Abnormal] Add Workspace Member with workspaceId = valid workspace id, assignMembers = empty list</t>
  </si>
  <si>
    <t>1. Prepare the state listed in Pre-conditions.
2. Call WorkspaceServiceImpl.inviteMember with: workspaceId = valid workspace id; assignMembers = empty list.
3. Check the response / error and the log.</t>
  </si>
  <si>
    <t>Error: VALIDATION_ERROR: at least one entry required</t>
  </si>
  <si>
    <t>FR3.4.20-01</t>
  </si>
  <si>
    <t>[Normal] Update Workspace Member Role with workspaceId = valid workspace id, memberId = valid active member id, newRole = CLIENT</t>
  </si>
  <si>
    <t>1. Prepare the state listed in Pre-conditions.
2. Call WorkspaceServiceImpl.updateMemberRole with: workspaceId = valid workspace id; memberId = valid active member id; newRole = CLIENT.
3. Check the response / error and the log.</t>
  </si>
  <si>
    <t>WorkspaceMemberResponse(role=CLIENT)</t>
  </si>
  <si>
    <t>- Can connect with server
- Caller is MANAGER of workspace
- Member role is CREATOR</t>
  </si>
  <si>
    <t>FR3.4.20-02</t>
  </si>
  <si>
    <t>[Normal] Update Workspace Member Role with workspaceId = valid workspace id, memberId = valid active member id, newRole = CREATOR</t>
  </si>
  <si>
    <t>1. Prepare the state listed in Pre-conditions.
2. Call WorkspaceServiceImpl.updateMemberRole with: workspaceId = valid workspace id; memberId = valid active member id; newRole = CREATOR.
3. Check the response / error and the log.</t>
  </si>
  <si>
    <t>WorkspaceMemberResponse(role=CREATOR)</t>
  </si>
  <si>
    <t>- Can connect with server
- Caller is MANAGER of workspace
- Member role is CLIENT</t>
  </si>
  <si>
    <t>FR3.4.20-03</t>
  </si>
  <si>
    <t>[Normal] Update Workspace Member Role with workspaceId = valid workspace id, memberId = valid active member id, newRole = MANAGER</t>
  </si>
  <si>
    <t>1. Prepare the state listed in Pre-conditions.
2. Call WorkspaceServiceImpl.updateMemberRole with: workspaceId = valid workspace id; memberId = valid active member id; newRole = MANAGER.
3. Check the response / error and the log.</t>
  </si>
  <si>
    <t>WorkspaceMemberResponse(role=MANAGER)</t>
  </si>
  <si>
    <t>- Can connect with server
- Caller is MANAGER of workspace
- Member role is CREATOR
- Workspace has no MANAGER</t>
  </si>
  <si>
    <t>FR3.4.20-04</t>
  </si>
  <si>
    <t>- Can connect with server
- Caller is MANAGER of workspace
- Member is MANAGER
- Another MANAGER exists</t>
  </si>
  <si>
    <t>FR3.4.20-05</t>
  </si>
  <si>
    <t>WorkspaceMemberResponse(role=CREATOR) unchanged</t>
  </si>
  <si>
    <t>FR3.4.20-06</t>
  </si>
  <si>
    <t>WorkspaceMemberResponse(role=MANAGER) unchanged</t>
  </si>
  <si>
    <t>- Can connect with server
- Caller is MANAGER of workspace
- Member is MANAGER</t>
  </si>
  <si>
    <t>FR3.4.20-07</t>
  </si>
  <si>
    <t>Response with fullName=null, email=null, clientProfileId kept</t>
  </si>
  <si>
    <t>- Can connect with server
- Caller is MANAGER of workspace
- Member is CLIENT with clientProfileId</t>
  </si>
  <si>
    <t>FR3.4.20-08</t>
  </si>
  <si>
    <t>[Normal] Update Workspace Member Role with workspaceId = valid workspace id, memberId = own member id of caller, newRole = CREATOR</t>
  </si>
  <si>
    <t>1. Prepare the state listed in Pre-conditions.
2. Call WorkspaceServiceImpl.updateMemberRole with: workspaceId = valid workspace id; memberId = own member id of caller; newRole = CREATOR.
3. Check the response / error and the log.</t>
  </si>
  <si>
    <t>- Can connect with server
- Caller is MANAGER of workspace
- Caller demotes self
- Another MANAGER exists</t>
  </si>
  <si>
    <t>FR3.4.20-09</t>
  </si>
  <si>
    <t>Response keeps joinedAt, updatedAt refreshed</t>
  </si>
  <si>
    <t>FR3.4.20-10</t>
  </si>
  <si>
    <t>[Boundary] Update Workspace Member Role with workspaceId = valid workspace id, memberId = valid active member id, newRole = CLIENT</t>
  </si>
  <si>
    <t>WorkspaceMemberResponse(role=CLIENT) with exactly 2 MANAGER rows</t>
  </si>
  <si>
    <t>- Can connect with server
- Caller is MANAGER of workspace
- Member is MANAGER
- Another active MANAGER exists</t>
  </si>
  <si>
    <t>FR3.4.20-11</t>
  </si>
  <si>
    <t>[Boundary] Update Workspace Member Role with workspaceId = valid workspace id, memberId = valid active member id, newRole = MANAGER</t>
  </si>
  <si>
    <t>WorkspaceMemberResponse(role=MANAGER) no guard triggered</t>
  </si>
  <si>
    <t>- Can connect with server
- Caller is MANAGER of workspace
- Member is only active MANAGER</t>
  </si>
  <si>
    <t>FR3.4.20-12</t>
  </si>
  <si>
    <t>[Boundary] Update Workspace Member Role with workspaceId = valid workspace id, memberId = valid active member id, newRole = CREATOR</t>
  </si>
  <si>
    <t>FR3.4.20-13</t>
  </si>
  <si>
    <t>- Can connect with server
- Caller is MANAGER of workspace
- Workspace has exactly 1 member (the MANAGER)</t>
  </si>
  <si>
    <t>FR3.4.20-14</t>
  </si>
  <si>
    <t>[Abnormal] Update Workspace Member Role with workspaceId = valid workspace id, memberId = own member id of caller, newRole = CREATOR</t>
  </si>
  <si>
    <t>- Can connect with server
- Caller is MANAGER of workspace
- Member is only active MANAGER
- Caller demotes self</t>
  </si>
  <si>
    <t>FR3.4.20-15</t>
  </si>
  <si>
    <t>[Abnormal] Update Workspace Member Role with workspaceId = valid workspace id, memberId = valid active member id, newRole = MANAGER</t>
  </si>
  <si>
    <t>- Can connect with server
- Caller is MANAGER of workspace
- Another active MANAGER exists</t>
  </si>
  <si>
    <t>FR3.4.20-16</t>
  </si>
  <si>
    <t>[Abnormal] Update Workspace Member Role with workspaceId = valid workspace id, memberId = non-existent id, newRole = CREATOR</t>
  </si>
  <si>
    <t>1. Prepare the state listed in Pre-conditions.
2. Call WorkspaceServiceImpl.updateMemberRole with: workspaceId = valid workspace id; memberId = non-existent id; newRole = CREATOR.
3. Check the response / error and the log.</t>
  </si>
  <si>
    <t>Error: NOT_FOUND</t>
  </si>
  <si>
    <t>FR3.4.20-17</t>
  </si>
  <si>
    <t>[Abnormal] Update Workspace Member Role with workspaceId = valid workspace id, memberId = valid active member id, newRole = CREATOR</t>
  </si>
  <si>
    <t>- Can connect with server
- Caller is MANAGER of workspace
- Member isActive=false</t>
  </si>
  <si>
    <t>FR3.4.20-18</t>
  </si>
  <si>
    <t>[Abnormal] Update Workspace Member Role with workspaceId = valid workspace id, memberId = member of other workspace, newRole = CREATOR</t>
  </si>
  <si>
    <t>1. Prepare the state listed in Pre-conditions.
2. Call WorkspaceServiceImpl.updateMemberRole with: workspaceId = valid workspace id; memberId = member of other workspace; newRole = CREATOR.
3. Check the response / error and the log.</t>
  </si>
  <si>
    <t>- Can connect with server
- Caller is MANAGER of workspace
- Member belongs to other workspace</t>
  </si>
  <si>
    <t>FR3.4.20-19</t>
  </si>
  <si>
    <t>[Abnormal] Update Workspace Member Role with workspaceId = valid workspace id, memberId = valid active member id, newRole = CLIENT</t>
  </si>
  <si>
    <t>FR3.4.20-20</t>
  </si>
  <si>
    <t>FR3.4.20-21</t>
  </si>
  <si>
    <t>[Abnormal] Update Workspace Member Role with workspaceId = valid workspace id, memberId = valid active member id, newRole = OWNER</t>
  </si>
  <si>
    <t>1. Prepare the state listed in Pre-conditions.
2. Call WorkspaceServiceImpl.updateMemberRole with: workspaceId = valid workspace id; memberId = valid active member id; newRole = OWNER.
3. Check the response / error and the log.</t>
  </si>
  <si>
    <t>FR3.4.20-22</t>
  </si>
  <si>
    <t>[Abnormal] Update Workspace Member Role with workspaceId = valid workspace id, memberId = valid active member id, newRole = null</t>
  </si>
  <si>
    <t>1. Prepare the state listed in Pre-conditions.
2. Call WorkspaceServiceImpl.updateMemberRole with: workspaceId = valid workspace id; memberId = valid active member id; newRole = null.
3. Check the response / error and the log.</t>
  </si>
  <si>
    <t>Error: VALIDATION_ERROR: role required (MSG95)</t>
  </si>
  <si>
    <t>FR3.4.21-01</t>
  </si>
  <si>
    <t>[Normal] Remove Workspace Member with workspaceId = valid workspace id, memberId = valid active member id</t>
  </si>
  <si>
    <t>1. Prepare the state listed in Pre-conditions.
2. Call WorkspaceServiceImpl.removeMember with: workspaceId = valid workspace id; memberId = valid active member id.
3. Check the response / error and the log.</t>
  </si>
  <si>
    <t>void; member isActive=false</t>
  </si>
  <si>
    <t>FR3.4.21-02</t>
  </si>
  <si>
    <t>FR3.4.21-03</t>
  </si>
  <si>
    <t>FR3.4.21-04</t>
  </si>
  <si>
    <t>void; updatedAt set, row kept (soft delete)</t>
  </si>
  <si>
    <t>FR3.4.21-05</t>
  </si>
  <si>
    <t>void; member absent from FR 3.4.18 list afterwards</t>
  </si>
  <si>
    <t>FR3.4.21-06</t>
  </si>
  <si>
    <t>FR3.4.21-07</t>
  </si>
  <si>
    <t>- Can connect with server
- Caller is MANAGER of workspace
- Member role is CREATOR
- Workspace has other members</t>
  </si>
  <si>
    <t>FR3.4.21-08</t>
  </si>
  <si>
    <t>[Normal] Remove Workspace Member with workspaceId = valid workspace id, memberId = own member id of caller</t>
  </si>
  <si>
    <t>1. Prepare the state listed in Pre-conditions.
2. Call WorkspaceServiceImpl.removeMember with: workspaceId = valid workspace id; memberId = own member id of caller.
3. Check the response / error and the log.</t>
  </si>
  <si>
    <t>void; caller membership isActive=false</t>
  </si>
  <si>
    <t>- Can connect with server
- Caller is MANAGER of workspace
- Caller removes self
- Another MANAGER exists</t>
  </si>
  <si>
    <t>FR3.4.21-09</t>
  </si>
  <si>
    <t>[Boundary] Remove Workspace Member with workspaceId = valid workspace id, memberId = valid active member id</t>
  </si>
  <si>
    <t>void; member isActive=false (exactly 2 MANAGER rows)</t>
  </si>
  <si>
    <t>FR3.4.21-10</t>
  </si>
  <si>
    <t>FR3.4.21-11</t>
  </si>
  <si>
    <t>void; CREATOR removed, MANAGER remains</t>
  </si>
  <si>
    <t>- Can connect with server
- Caller is MANAGER of workspace
- Workspace has 2 members (CREATOR + caller MANAGER)</t>
  </si>
  <si>
    <t>FR3.4.21-12</t>
  </si>
  <si>
    <t>void; guard skipped for non-MANAGER</t>
  </si>
  <si>
    <t>- Can connect with server
- Caller is MANAGER of workspace
- Member role is CREATOR
- Only MANAGER is another user</t>
  </si>
  <si>
    <t>FR3.4.21-13</t>
  </si>
  <si>
    <t>[Abnormal] Remove Workspace Member with workspaceId = valid workspace id, memberId = non-existent id</t>
  </si>
  <si>
    <t>1. Prepare the state listed in Pre-conditions.
2. Call WorkspaceServiceImpl.removeMember with: workspaceId = valid workspace id; memberId = non-existent id.
3. Check the response / error and the log.</t>
  </si>
  <si>
    <t>FR3.4.21-14</t>
  </si>
  <si>
    <t>[Abnormal] Remove Workspace Member with workspaceId = valid workspace id, memberId = null</t>
  </si>
  <si>
    <t>1. Prepare the state listed in Pre-conditions.
2. Call WorkspaceServiceImpl.removeMember with: workspaceId = valid workspace id; memberId = null.
3. Check the response / error and the log.</t>
  </si>
  <si>
    <t>FR3.4.21-15</t>
  </si>
  <si>
    <t>[Abnormal] Remove Workspace Member with workspaceId = valid workspace id, memberId = valid active member id</t>
  </si>
  <si>
    <t>- Can connect with server
- Caller is MANAGER of workspace
- Member already isActive=false</t>
  </si>
  <si>
    <t>FR3.4.21-16</t>
  </si>
  <si>
    <t>[Abnormal] Remove Workspace Member with workspaceId = valid workspace id, memberId = member of other workspace</t>
  </si>
  <si>
    <t>1. Prepare the state listed in Pre-conditions.
2. Call WorkspaceServiceImpl.removeMember with: workspaceId = valid workspace id; memberId = member of other workspace.
3. Check the response / error and the log.</t>
  </si>
  <si>
    <t>FR3.4.21-17</t>
  </si>
  <si>
    <t>[Abnormal] Remove Workspace Member with workspaceId = valid workspace id, memberId = own member id of caller</t>
  </si>
  <si>
    <t>- Can connect with server
- Caller is MANAGER of workspace
- Sole MANAGER removes self</t>
  </si>
  <si>
    <t>FR3.4.21-18</t>
  </si>
  <si>
    <t>FR3.4.21-19</t>
  </si>
  <si>
    <t>FR3.4.21-20</t>
  </si>
  <si>
    <t>Functional test of 3.5.1 Create Media Package; 3.5.2 View the Template Media Package; 3.5.3 Request Media Package (Negotiate Terms); 3.5.4 Approve Media Package and 6 more</t>
  </si>
  <si>
    <t>FR3.5.1-01</t>
  </si>
  <si>
    <t>[Normal] Create Media Package with agencyId = existing agency, name = Starter, type = BY_DURATION</t>
  </si>
  <si>
    <t>1. Prepare the state listed in Pre-conditions.
2. Call MediaPackageServiceImpl.createCustomPackage with: agencyId = existing agency; name = Starter; type = BY_DURATION; durationWeeks = 4; budgetAmount = null; sourceTemplateId = null.
3. Check the response / error and the log.</t>
  </si>
  <si>
    <t>MediaPackageResponse(isTemplate=false, agencyId, availableToWorkspaces=true)
Log: Package saved</t>
  </si>
  <si>
    <t>- Can connect with server
- Agency exists
- User is OWNER of agency</t>
  </si>
  <si>
    <t>Lộc</t>
  </si>
  <si>
    <t>FR3.5.1-02</t>
  </si>
  <si>
    <t>[Normal] Create Media Package with agencyId = existing agency, name = Budget Pack, type = BY_BUDGET</t>
  </si>
  <si>
    <t>1. Prepare the state listed in Pre-conditions.
2. Call MediaPackageServiceImpl.createCustomPackage with: agencyId = existing agency; name = Budget Pack; type = BY_BUDGET; budgetAmount = 5000.00; durationWeeks = null; sourceTemplateId = null.
3. Check the response / error and the log.</t>
  </si>
  <si>
    <t>MediaPackageResponse(packageType=BY_BUDGET, budgetAmount=5000.00)</t>
  </si>
  <si>
    <t>FR3.5.1-03</t>
  </si>
  <si>
    <t>[Normal] Create Media Package with agencyId = existing agency, name = Full Pack, type = FULL_DELEGATION</t>
  </si>
  <si>
    <t>1. Prepare the state listed in Pre-conditions.
2. Call MediaPackageServiceImpl.createCustomPackage with: agencyId = existing agency; name = Full Pack; type = FULL_DELEGATION; durationWeeks = null; budgetAmount = null; sourceTemplateId = null.
3. Check the response / error and the log.</t>
  </si>
  <si>
    <t>MediaPackageResponse(packageType=FULL_DELEGATION)</t>
  </si>
  <si>
    <t>FR3.5.1-04</t>
  </si>
  <si>
    <t>[Normal] Create Media Package with agencyId = existing agency, name = From Template, type = BY_DURATION</t>
  </si>
  <si>
    <t>1. Prepare the state listed in Pre-conditions.
2. Call MediaPackageServiceImpl.createCustomPackage with: agencyId = existing agency; name = From Template; type = BY_DURATION; durationWeeks = 8; sourceTemplateId = valid template id.
3. Check the response / error and the log.</t>
  </si>
  <si>
    <t>MediaPackageResponse(sourceTemplateId set, isTemplate=false)</t>
  </si>
  <si>
    <t>- Can connect with server
- Agency exists
- User is OWNER of agency
- Source template is a system template</t>
  </si>
  <si>
    <t>FR3.5.1-05</t>
  </si>
  <si>
    <t>[Normal] Create Media Package with agencyId = existing agency, name =   Padded  , type = FULL_DELEGATION</t>
  </si>
  <si>
    <t>1. Prepare the state listed in Pre-conditions.
2. Call MediaPackageServiceImpl.createCustomPackage with: agencyId = existing agency; name =   Padded  ; type = FULL_DELEGATION; scopeDescription =   scope text  .
3. Check the response / error and the log.</t>
  </si>
  <si>
    <t>name trimmed to 'Padded', scopeDescription trimmed</t>
  </si>
  <si>
    <t>FR3.5.1-06</t>
  </si>
  <si>
    <t>[Normal] Create Media Package with agencyId = existing agency, name = Blank Scope, type = FULL_DELEGATION</t>
  </si>
  <si>
    <t>1. Prepare the state listed in Pre-conditions.
2. Call MediaPackageServiceImpl.createCustomPackage with: agencyId = existing agency; name = Blank Scope; type = FULL_DELEGATION; scopeDescription = blank.
3. Check the response / error and the log.</t>
  </si>
  <si>
    <t>MediaPackageResponse(scopeDescription=null)</t>
  </si>
  <si>
    <t>FR3.5.1-07</t>
  </si>
  <si>
    <t>[Normal] Create Media Package with agencyId = existing agency, name = Mgr Pack, type = FULL_DELEGATION</t>
  </si>
  <si>
    <t>1. Prepare the state listed in Pre-conditions.
2. Call MediaPackageServiceImpl.createCustomPackage with: agencyId = existing agency; name = Mgr Pack; type = FULL_DELEGATION; workspaceId = workspace of same agency.
3. Check the response / error and the log.</t>
  </si>
  <si>
    <t>MediaPackageResponse(createdBy=manager id)</t>
  </si>
  <si>
    <t>- Can connect with server
- Agency exists
- User is MANAGER of workspace
- Workspace belongs to the agency</t>
  </si>
  <si>
    <t>FR3.5.1-08</t>
  </si>
  <si>
    <t>[Normal] Create Media Package with agencyId = existing agency, name = Owner With Ws, type = FULL_DELEGATION</t>
  </si>
  <si>
    <t>1. Prepare the state listed in Pre-conditions.
2. Call MediaPackageServiceImpl.createCustomPackage with: agencyId = existing agency; name = Owner With Ws; type = FULL_DELEGATION; workspaceId = any (ignored).
3. Check the response / error and the log.</t>
  </si>
  <si>
    <t>Owner path skips workspace check; package created</t>
  </si>
  <si>
    <t>FR3.5.1-09</t>
  </si>
  <si>
    <t>[Boundary] Create Media Package with agencyId = existing agency, name = A, type = BY_DURATION</t>
  </si>
  <si>
    <t>1. Prepare the state listed in Pre-conditions.
2. Call MediaPackageServiceImpl.createCustomPackage with: agencyId = existing agency; name = A; type = BY_DURATION; durationWeeks = 1.
3. Check the response / error and the log.</t>
  </si>
  <si>
    <t>MediaPackageResponse(durationWeeks=1)</t>
  </si>
  <si>
    <t>FR3.5.1-10</t>
  </si>
  <si>
    <t>[Boundary] Create Media Package with agencyId = existing agency, name = Zero Budget, type = BY_BUDGET</t>
  </si>
  <si>
    <t>1. Prepare the state listed in Pre-conditions.
2. Call MediaPackageServiceImpl.createCustomPackage with: agencyId = existing agency; name = Zero Budget; type = BY_BUDGET; budgetAmount = 0.
3. Check the response / error and the log.</t>
  </si>
  <si>
    <t>MediaPackageResponse(budgetAmount=0) - no range check in service</t>
  </si>
  <si>
    <t>FR3.5.1-11</t>
  </si>
  <si>
    <t>[Boundary] Create Media Package with agencyId = existing agency, name = Dur+Budget, type = BY_DURATION</t>
  </si>
  <si>
    <t>1. Prepare the state listed in Pre-conditions.
2. Call MediaPackageServiceImpl.createCustomPackage with: agencyId = existing agency; name = Dur+Budget; type = BY_DURATION; durationWeeks = 4; budgetAmount = 1000.
3. Check the response / error and the log.</t>
  </si>
  <si>
    <t>Created; extra budgetAmount persisted (only required field checked)</t>
  </si>
  <si>
    <t>FR3.5.1-12</t>
  </si>
  <si>
    <t>[Abnormal] Create Media Package with agencyId = existing agency, name = Dur Missing, type = BY_DURATION</t>
  </si>
  <si>
    <t>1. Prepare the state listed in Pre-conditions.
2. Call MediaPackageServiceImpl.createCustomPackage with: agencyId = existing agency; name = Dur Missing; type = BY_DURATION; durationWeeks = null.
3. Check the response / error and the log.</t>
  </si>
  <si>
    <t>Error: INVALID_MEDIA_PACKAGE_CONFIGURATION: Media package fields do not match its type</t>
  </si>
  <si>
    <t>FR3.5.1-13</t>
  </si>
  <si>
    <t>[Abnormal] Create Media Package with agencyId = existing agency, name = Budget Missing, type = BY_BUDGET</t>
  </si>
  <si>
    <t>1. Prepare the state listed in Pre-conditions.
2. Call MediaPackageServiceImpl.createCustomPackage with: agencyId = existing agency; name = Budget Missing; type = BY_BUDGET; budgetAmount = null.
3. Check the response / error and the log.</t>
  </si>
  <si>
    <t>FR3.5.1-14</t>
  </si>
  <si>
    <t>[Abnormal] Create Media Package with agencyId = existing agency, name = Bad Src, type = FULL_DELEGATION</t>
  </si>
  <si>
    <t>1. Prepare the state listed in Pre-conditions.
2. Call MediaPackageServiceImpl.createCustomPackage with: agencyId = existing agency; name = Bad Src; type = FULL_DELEGATION; sourceTemplateId = custom package id.
3. Check the response / error and the log.</t>
  </si>
  <si>
    <t>Error: MEDIA_PACKAGE_TEMPLATE_REQUIRED: Source media package must be a system template</t>
  </si>
  <si>
    <t>- Can connect with server
- Agency exists
- User is OWNER of agency
- Source id refers to non-template package</t>
  </si>
  <si>
    <t>FR3.5.1-15</t>
  </si>
  <si>
    <t>[Abnormal] Create Media Package with agencyId = existing agency, name = Unknown Src, type = FULL_DELEGATION</t>
  </si>
  <si>
    <t>1. Prepare the state listed in Pre-conditions.
2. Call MediaPackageServiceImpl.createCustomPackage with: agencyId = existing agency; name = Unknown Src; type = FULL_DELEGATION; sourceTemplateId = non-existent id.
3. Check the response / error and the log.</t>
  </si>
  <si>
    <t>Error: MEDIA_PACKAGE_NOT_FOUND: Media package not found</t>
  </si>
  <si>
    <t>FR3.5.1-16</t>
  </si>
  <si>
    <t>[Abnormal] Create Media Package with agencyId = non-existent agency, name = X, type = FULL_DELEGATION</t>
  </si>
  <si>
    <t>1. Prepare the state listed in Pre-conditions.
2. Call MediaPackageServiceImpl.createCustomPackage with: agencyId = non-existent agency; name = X; type = FULL_DELEGATION.
3. Check the response / error and the log.</t>
  </si>
  <si>
    <t>FR3.5.1-17</t>
  </si>
  <si>
    <t>[Abnormal] Create Media Package with agencyId = existing agency, name = X, type = FULL_DELEGATION</t>
  </si>
  <si>
    <t>1. Prepare the state listed in Pre-conditions.
2. Call MediaPackageServiceImpl.createCustomPackage with: agencyId = existing agency; name = X; type = FULL_DELEGATION; workspaceId = null.
3. Check the response / error and the log.</t>
  </si>
  <si>
    <t>- Can connect with server
- Agency exists
- User is not owner of agency</t>
  </si>
  <si>
    <t>FR3.5.1-18</t>
  </si>
  <si>
    <t>1. Prepare the state listed in Pre-conditions.
2. Call MediaPackageServiceImpl.createCustomPackage with: agencyId = existing agency; name = X; type = FULL_DELEGATION; workspaceId = workspace of other agency.
3. Check the response / error and the log.</t>
  </si>
  <si>
    <t>- Can connect with server
- Agency exists
- User is MANAGER of another agency workspace</t>
  </si>
  <si>
    <t>FR3.5.1-19</t>
  </si>
  <si>
    <t>1. Prepare the state listed in Pre-conditions.
2. Call MediaPackageServiceImpl.createCustomPackage with: agencyId = existing agency; name = X; type = FULL_DELEGATION; workspaceId = own workspace of same agency.
3. Check the response / error and the log.</t>
  </si>
  <si>
    <t>- Can connect with server
- Agency exists
- User is CLIENT member only</t>
  </si>
  <si>
    <t>FR3.5.1-20</t>
  </si>
  <si>
    <t>1. Prepare the state listed in Pre-conditions.
2. Call MediaPackageServiceImpl.createCustomPackage with: agencyId = existing agency; name = X; type = FULL_DELEGATION; workspaceId = non-existent workspace.
3. Check the response / error and the log.</t>
  </si>
  <si>
    <t>FR3.5.2-01</t>
  </si>
  <si>
    <t>[Normal] View the Template Media Package with workspaceId = existing workspace</t>
  </si>
  <si>
    <t>1. Prepare the state listed in Pre-conditions.
2. Call MediaPackageServiceImpl.getWorkspacePackage with: workspaceId = existing workspace.
3. Check the response / error and the log.</t>
  </si>
  <si>
    <t>WorkspaceMediaPackageResponse(packageType=BY_DURATION, durationWeeks, termsVersion=1, status=DRAFT)</t>
  </si>
  <si>
    <t>- Can connect with server
- Workspace exists
- Workspace has selected package
- Package type is BY_DURATION</t>
  </si>
  <si>
    <t>FR3.5.2-02</t>
  </si>
  <si>
    <t>WorkspaceMediaPackageResponse(packageType=BY_BUDGET, budgetAmount)</t>
  </si>
  <si>
    <t>- Can connect with server
- Workspace exists
- Workspace has selected package
- Package type is BY_BUDGET</t>
  </si>
  <si>
    <t>FR3.5.2-03</t>
  </si>
  <si>
    <t>WorkspaceMediaPackageResponse(packageType=FULL_DELEGATION, no duration/budget)</t>
  </si>
  <si>
    <t>- Can connect with server
- Workspace exists
- Workspace has selected package
- Package type is FULL_DELEGATION</t>
  </si>
  <si>
    <t>FR3.5.2-04</t>
  </si>
  <si>
    <t>200 OK - null (no-selection response)</t>
  </si>
  <si>
    <t>- Can connect with server
- Workspace exists
- Workspace has no selected package</t>
  </si>
  <si>
    <t>FR3.5.2-05</t>
  </si>
  <si>
    <t>Response with status=CLIENT_REQUESTED_CHANGE, finalTerms parsed</t>
  </si>
  <si>
    <t>- Can connect with server
- Workspace exists
- Workspace has selected package
- Negotiation status CLIENT_REQUESTED_CHANGE</t>
  </si>
  <si>
    <t>FR3.5.2-06</t>
  </si>
  <si>
    <t>Response with status=AGENCY_COUNTERED, approvedByAgencyAt set</t>
  </si>
  <si>
    <t>- Can connect with server
- Workspace exists
- Workspace has selected package
- Negotiation status AGENCY_COUNTERED</t>
  </si>
  <si>
    <t>FR3.5.2-07</t>
  </si>
  <si>
    <t>Response with status=APPROVED, both approval timestamps set</t>
  </si>
  <si>
    <t>- Can connect with server
- Workspace exists
- Workspace has selected package
- Both parties approved</t>
  </si>
  <si>
    <t>FR3.5.2-08</t>
  </si>
  <si>
    <t>Selected package still returned</t>
  </si>
  <si>
    <t>- Can connect with server
- Workspace exists
- Workspace has selected package
- Package hidden by Owner after selection</t>
  </si>
  <si>
    <t>FR3.5.2-09</t>
  </si>
  <si>
    <t>Effective terms reflect latest finalTerms and termsVersion</t>
  </si>
  <si>
    <t>- Can connect with server
- Workspace exists
- Workspace has selected package
- finalTerms edited by negotiation</t>
  </si>
  <si>
    <t>FR3.5.2-10</t>
  </si>
  <si>
    <t>[Boundary] View the Template Media Package with workspaceId = existing workspace</t>
  </si>
  <si>
    <t>termsVersion=1 returned</t>
  </si>
  <si>
    <t>- Can connect with server
- Workspace exists
- Workspace has selected package
- termsVersion is 1</t>
  </si>
  <si>
    <t>FR3.5.2-11</t>
  </si>
  <si>
    <t>parseTerms fallback; response returned without error</t>
  </si>
  <si>
    <t>- Can connect with server
- Workspace exists
- Workspace has selected package
- finalTerms is invalid JSON</t>
  </si>
  <si>
    <t>FR3.5.2-12</t>
  </si>
  <si>
    <t>[Abnormal] View the Template Media Package with workspaceId = non-existent id</t>
  </si>
  <si>
    <t>1. Prepare the state listed in Pre-conditions.
2. Call MediaPackageServiceImpl.getWorkspacePackage with: workspaceId = non-existent id.
3. Check the response / error and the log.</t>
  </si>
  <si>
    <t>- Can connect with server
- Workspace exists</t>
  </si>
  <si>
    <t>FR3.5.2-13</t>
  </si>
  <si>
    <t>[Abnormal] View the Template Media Package with workspaceId = existing workspace</t>
  </si>
  <si>
    <t>- Can connect with server
- Workspace exists
- Workspace has selected package
- Linked package row deleted</t>
  </si>
  <si>
    <t>FR3.5.2-14</t>
  </si>
  <si>
    <t>[Abnormal] View the Template Media Package with workspaceId = null</t>
  </si>
  <si>
    <t>1. Prepare the state listed in Pre-conditions.
2. Call MediaPackageServiceImpl.getWorkspacePackage with: workspaceId = null.
3. Check the response / error and the log.</t>
  </si>
  <si>
    <t>FR3.5.2-15</t>
  </si>
  <si>
    <t>[Normal] View the Template Media Package with workspaceId = existing workspace, op = listAvailablePackages</t>
  </si>
  <si>
    <t>1. Prepare the state listed in Pre-conditions.
2. Call MediaPackageServiceImpl.getWorkspacePackage with: workspaceId = existing workspace; op = listAvailablePackages.
3. Check the response / error and the log.</t>
  </si>
  <si>
    <t>List of 2 visible agency packages</t>
  </si>
  <si>
    <t>- Can connect with server
- Workspace exists
- Workspace exists
- Agency has 2 visible and 1 hidden custom packages</t>
  </si>
  <si>
    <t>FR3.5.2-16</t>
  </si>
  <si>
    <t>Empty list; templates excluded</t>
  </si>
  <si>
    <t>- Can connect with server
- Workspace exists
- Workspace exists
- Agency has only global templates</t>
  </si>
  <si>
    <t>FR3.5.2-17</t>
  </si>
  <si>
    <t>[Abnormal] View the Template Media Package with workspaceId = non-existent id, op = listAvailablePackages</t>
  </si>
  <si>
    <t>1. Prepare the state listed in Pre-conditions.
2. Call MediaPackageServiceImpl.getWorkspacePackage with: workspaceId = non-existent id; op = listAvailablePackages.
3. Check the response / error and the log.</t>
  </si>
  <si>
    <t>FR3.5.3-01</t>
  </si>
  <si>
    <t>[Normal] Request Media Package (Negotiate Terms) with workspaceId = existing workspace, budgetAmount = 7000.00</t>
  </si>
  <si>
    <t>1. Prepare the state listed in Pre-conditions.
2. Call MediaPackageServiceImpl.negotiateTerms with: workspaceId = existing workspace; budgetAmount = 7000.00.
3. Check the response / error and the log.</t>
  </si>
  <si>
    <t>status=CLIENT_REQUESTED_CHANGE, termsVersion+1, approvedByClientAt set, agency approval null</t>
  </si>
  <si>
    <t>- Can connect with server
- Workspace exists
- Workspace has selected package
- User is CLIENT of workspace
- Status DRAFT</t>
  </si>
  <si>
    <t>FR3.5.3-02</t>
  </si>
  <si>
    <t>[Normal] Request Media Package (Negotiate Terms) with workspaceId = existing workspace, durationWeeks = 6</t>
  </si>
  <si>
    <t>1. Prepare the state listed in Pre-conditions.
2. Call MediaPackageServiceImpl.negotiateTerms with: workspaceId = existing workspace; durationWeeks = 6.
3. Check the response / error and the log.</t>
  </si>
  <si>
    <t>status=AGENCY_COUNTERED, approvedByAgencyAt set, client approval null</t>
  </si>
  <si>
    <t>- Can connect with server
- Workspace exists
- Workspace has selected package
- User is MANAGER of workspace
- Status CLIENT_REQUESTED_CHANGE</t>
  </si>
  <si>
    <t>FR3.5.3-03</t>
  </si>
  <si>
    <t>[Normal] Request Media Package (Negotiate Terms) with workspaceId = existing workspace, scopeDescription = New scope</t>
  </si>
  <si>
    <t>1. Prepare the state listed in Pre-conditions.
2. Call MediaPackageServiceImpl.negotiateTerms with: workspaceId = existing workspace; scopeDescription = New scope.
3. Check the response / error and the log.</t>
  </si>
  <si>
    <t>status=AGENCY_COUNTERED, scopeDescription updated</t>
  </si>
  <si>
    <t>- Can connect with server
- Workspace exists
- Workspace has selected package
- User is OWNER of agency
- Status CLIENT_REQUESTED_CHANGE</t>
  </si>
  <si>
    <t>FR3.5.3-04</t>
  </si>
  <si>
    <t>[Normal] Request Media Package (Negotiate Terms) with workspaceId = existing workspace, budgetAmount = 6500.00</t>
  </si>
  <si>
    <t>1. Prepare the state listed in Pre-conditions.
2. Call MediaPackageServiceImpl.negotiateTerms with: workspaceId = existing workspace; budgetAmount = 6500.00.
3. Check the response / error and the log.</t>
  </si>
  <si>
    <t>status=CLIENT_REQUESTED_CHANGE; agency approval cleared</t>
  </si>
  <si>
    <t>- Can connect with server
- Workspace exists
- Workspace has selected package
- User is CLIENT of workspace
- Status AGENCY_COUNTERED</t>
  </si>
  <si>
    <t>FR3.5.3-05</t>
  </si>
  <si>
    <t>[Normal] Request Media Package (Negotiate Terms) with workspaceId = existing workspace, budgetAmount = 1000, durationWeeks = 4</t>
  </si>
  <si>
    <t>1. Prepare the state listed in Pre-conditions.
2. Call MediaPackageServiceImpl.negotiateTerms with: workspaceId = existing workspace; budgetAmount = 1000; durationWeeks = 4; scopeDescription = s.
3. Check the response / error and the log.</t>
  </si>
  <si>
    <t>All three term fields updated in finalTerms</t>
  </si>
  <si>
    <t>FR3.5.3-06</t>
  </si>
  <si>
    <t>[Normal] Request Media Package (Negotiate Terms) with workspaceId = existing workspace, budgetAmount = null, durationWeeks = null</t>
  </si>
  <si>
    <t>1. Prepare the state listed in Pre-conditions.
2. Call MediaPackageServiceImpl.negotiateTerms with: workspaceId = existing workspace; budgetAmount = null; durationWeeks = null; scopeDescription = null.
3. Check the response / error and the log.</t>
  </si>
  <si>
    <t>No field changed but termsVersion still +1</t>
  </si>
  <si>
    <t>FR3.5.3-07</t>
  </si>
  <si>
    <t>[Normal] Request Media Package (Negotiate Terms) with workspaceId = existing workspace, budgetAmount = 2nd round value</t>
  </si>
  <si>
    <t>1. Prepare the state listed in Pre-conditions.
2. Call MediaPackageServiceImpl.negotiateTerms with: workspaceId = existing workspace; budgetAmount = 2nd round value.
3. Check the response / error and the log.</t>
  </si>
  <si>
    <t>termsVersion increments each round (2 -&gt; 3)</t>
  </si>
  <si>
    <t>- Can connect with server
- Workspace exists
- Workspace has selected package
- User is CLIENT of workspace
- Multiple negotiation rounds</t>
  </si>
  <si>
    <t>FR3.5.3-08</t>
  </si>
  <si>
    <t>[Normal] Request Media Package (Negotiate Terms) with workspaceId = existing workspace, budgetAmount = 900</t>
  </si>
  <si>
    <t>1. Prepare the state listed in Pre-conditions.
2. Call MediaPackageServiceImpl.negotiateTerms with: workspaceId = existing workspace; budgetAmount = 900.
3. Check the response / error and the log.</t>
  </si>
  <si>
    <t>Role resolved as CLIENT via clientProfile; change accepted</t>
  </si>
  <si>
    <t>- Can connect with server
- Workspace exists
- Workspace has selected package
- User is CLIENT of workspace
- Client resolved via clientProfile (not direct member)</t>
  </si>
  <si>
    <t>FR3.5.3-09</t>
  </si>
  <si>
    <t>[Normal] Request Media Package (Negotiate Terms) with workspaceId = existing workspace, durationWeeks = 3</t>
  </si>
  <si>
    <t>1. Prepare the state listed in Pre-conditions.
2. Call MediaPackageServiceImpl.negotiateTerms with: workspaceId = existing workspace; durationWeeks = 3.
3. Check the response / error and the log.</t>
  </si>
  <si>
    <t>Agency approval invalidated (null)</t>
  </si>
  <si>
    <t>- Can connect with server
- Workspace exists
- Workspace has selected package
- User is CLIENT of workspace
- Only agency approved before</t>
  </si>
  <si>
    <t>FR3.5.3-10</t>
  </si>
  <si>
    <t>[Boundary] Request Media Package (Negotiate Terms) with workspaceId = existing workspace, durationWeeks = 1</t>
  </si>
  <si>
    <t>1. Prepare the state listed in Pre-conditions.
2. Call MediaPackageServiceImpl.negotiateTerms with: workspaceId = existing workspace; durationWeeks = 1.
3. Check the response / error and the log.</t>
  </si>
  <si>
    <t>termsVersion=2</t>
  </si>
  <si>
    <t>- Can connect with server
- Workspace exists
- Workspace has selected package
- User is CLIENT of workspace
- termsVersion is 1</t>
  </si>
  <si>
    <t>FR3.5.3-11</t>
  </si>
  <si>
    <t>[Boundary] Request Media Package (Negotiate Terms) with workspaceId = existing workspace, budgetAmount = 100</t>
  </si>
  <si>
    <t>1. Prepare the state listed in Pre-conditions.
2. Call MediaPackageServiceImpl.negotiateTerms with: workspaceId = existing workspace; budgetAmount = 100.
3. Check the response / error and the log.</t>
  </si>
  <si>
    <t>Terms rebuilt from empty object; update succeeds</t>
  </si>
  <si>
    <t>- Can connect with server
- Workspace exists
- Workspace has selected package
- User is CLIENT of workspace
- finalTerms is corrupt JSON</t>
  </si>
  <si>
    <t>FR3.5.3-12</t>
  </si>
  <si>
    <t>[Boundary] Request Media Package (Negotiate Terms) with workspaceId = existing workspace, scopeDescription = blank</t>
  </si>
  <si>
    <t>1. Prepare the state listed in Pre-conditions.
2. Call MediaPackageServiceImpl.negotiateTerms with: workspaceId = existing workspace; scopeDescription = blank.
3. Check the response / error and the log.</t>
  </si>
  <si>
    <t>scopeDescription stored as null</t>
  </si>
  <si>
    <t>- Can connect with server
- Workspace exists
- Workspace has selected package
- User is CLIENT of workspace</t>
  </si>
  <si>
    <t>FR3.5.3-13</t>
  </si>
  <si>
    <t>[Abnormal] Request Media Package (Negotiate Terms) with workspaceId = existing workspace, budgetAmount = 100</t>
  </si>
  <si>
    <t>Error: MEDIA_PACKAGE_ALREADY_APPROVED: Media package has already been approved and cannot be renegotiated</t>
  </si>
  <si>
    <t>- Can connect with server
- Workspace exists
- Workspace has selected package
- User is CLIENT of workspace
- Status APPROVED</t>
  </si>
  <si>
    <t>FR3.5.3-14</t>
  </si>
  <si>
    <t>[Abnormal] Request Media Package (Negotiate Terms) with workspaceId = existing workspace, durationWeeks = 2</t>
  </si>
  <si>
    <t>1. Prepare the state listed in Pre-conditions.
2. Call MediaPackageServiceImpl.negotiateTerms with: workspaceId = existing workspace; durationWeeks = 2.
3. Check the response / error and the log.</t>
  </si>
  <si>
    <t>- Can connect with server
- Workspace exists
- Workspace has selected package
- User is MANAGER of workspace
- Status APPROVED</t>
  </si>
  <si>
    <t>FR3.5.3-15</t>
  </si>
  <si>
    <t>Error: WORKSPACE_MEDIA_PACKAGE_NOT_FOUND: No media package has been selected for this workspace</t>
  </si>
  <si>
    <t>- Can connect with server
- Workspace exists
- Workspace has no selected package
- User is CLIENT of workspace</t>
  </si>
  <si>
    <t>FR3.5.3-16</t>
  </si>
  <si>
    <t>- Can connect with server
- Workspace exists
- Workspace has selected package
- User is not a workspace member</t>
  </si>
  <si>
    <t>FR3.5.3-17</t>
  </si>
  <si>
    <t>Error: FORBIDDEN: Your role does not have permission to perform this action</t>
  </si>
  <si>
    <t>- Can connect with server
- Workspace exists
- Workspace has selected package
- User is member with other role (e.g. VIEWER)</t>
  </si>
  <si>
    <t>FR3.5.3-18</t>
  </si>
  <si>
    <t>[Abnormal] Request Media Package (Negotiate Terms) with workspaceId = non-existent id, budgetAmount = 100</t>
  </si>
  <si>
    <t>1. Prepare the state listed in Pre-conditions.
2. Call MediaPackageServiceImpl.negotiateTerms with: workspaceId = non-existent id; budgetAmount = 100.
3. Check the response / error and the log.</t>
  </si>
  <si>
    <t>FR3.5.4-01</t>
  </si>
  <si>
    <t>[Normal] Approve Media Package with workspaceId = existing workspace</t>
  </si>
  <si>
    <t>1. Prepare the state listed in Pre-conditions.
2. Call MediaPackageServiceImpl.approvePackage with: workspaceId = existing workspace.
3. Check the response / error and the log.</t>
  </si>
  <si>
    <t>approvedByAgencyAt set; status unchanged (not APPROVED)</t>
  </si>
  <si>
    <t>- Can connect with server
- Workspace exists
- Workspace has selected package
- User is OWNER of agency
- Client not yet approved</t>
  </si>
  <si>
    <t>FR3.5.4-02</t>
  </si>
  <si>
    <t>approvedByAgencyAt set; status unchanged</t>
  </si>
  <si>
    <t>- Can connect with server
- Workspace exists
- Workspace has selected package
- User is MANAGER of workspace
- Client not yet approved</t>
  </si>
  <si>
    <t>FR3.5.4-03</t>
  </si>
  <si>
    <t>approvedByClientAt set; status unchanged</t>
  </si>
  <si>
    <t>- Can connect with server
- Workspace exists
- Workspace has selected package
- User is CLIENT of workspace
- Agency not yet approved</t>
  </si>
  <si>
    <t>FR3.5.4-04</t>
  </si>
  <si>
    <t>Both timestamps set; status=APPROVED</t>
  </si>
  <si>
    <t>- Can connect with server
- Workspace exists
- Workspace has selected package
- User is CLIENT of workspace
- Agency already approved same version</t>
  </si>
  <si>
    <t>FR3.5.4-05</t>
  </si>
  <si>
    <t>- Can connect with server
- Workspace exists
- Workspace has selected package
- User is OWNER of agency
- Client already approved same version</t>
  </si>
  <si>
    <t>FR3.5.4-06</t>
  </si>
  <si>
    <t>- Can connect with server
- Workspace exists
- Workspace has selected package
- User is MANAGER of workspace
- Client already approved same version</t>
  </si>
  <si>
    <t>FR3.5.4-07</t>
  </si>
  <si>
    <t>200 - existing APPROVED response, idempotent, timestamps unchanged</t>
  </si>
  <si>
    <t>- Can connect with server
- Workspace exists
- Workspace has selected package
- User is CLIENT of workspace
- Status already APPROVED</t>
  </si>
  <si>
    <t>FR3.5.4-08</t>
  </si>
  <si>
    <t>200 - existing APPROVED response, no state change</t>
  </si>
  <si>
    <t>- Can connect with server
- Workspace exists
- Workspace has selected package
- User is OWNER of agency
- Status already APPROVED</t>
  </si>
  <si>
    <t>FR3.5.4-09</t>
  </si>
  <si>
    <t>approvedByClientAt refreshed; still not APPROVED</t>
  </si>
  <si>
    <t>- Can connect with server
- Workspace exists
- Workspace has selected package
- User is CLIENT of workspace
- Client already approved, agency not</t>
  </si>
  <si>
    <t>FR3.5.4-10</t>
  </si>
  <si>
    <t>Only client timestamp set; agency must re-approve</t>
  </si>
  <si>
    <t>- Can connect with server
- Workspace exists
- Workspace has selected package
- User is CLIENT of workspace
- Terms changed after earlier approval (approvals reset)</t>
  </si>
  <si>
    <t>FR3.5.4-11</t>
  </si>
  <si>
    <t>[Boundary] Approve Media Package with workspaceId = existing workspace</t>
  </si>
  <si>
    <t>Both timestamps; APPROVED at termsVersion=1</t>
  </si>
  <si>
    <t>- Can connect with server
- Workspace exists
- Workspace has selected package
- User is CLIENT of workspace
- Agency approved, terms version 1</t>
  </si>
  <si>
    <t>FR3.5.4-12</t>
  </si>
  <si>
    <t>First approval ever: single timestamp, status stays DRAFT</t>
  </si>
  <si>
    <t>- Can connect with server
- Workspace exists
- Workspace has selected package
- User is OWNER of agency
- Status DRAFT, no approvals</t>
  </si>
  <si>
    <t>FR3.5.4-13</t>
  </si>
  <si>
    <t>Agency timestamp set; remains AGENCY_COUNTERED</t>
  </si>
  <si>
    <t>- Can connect with server
- Workspace exists
- Workspace has selected package
- User is OWNER of agency
- Status AGENCY_COUNTERED, client approval null</t>
  </si>
  <si>
    <t>FR3.5.4-14</t>
  </si>
  <si>
    <t>[Abnormal] Approve Media Package with workspaceId = existing workspace</t>
  </si>
  <si>
    <t>FR3.5.4-15</t>
  </si>
  <si>
    <t>FR3.5.4-16</t>
  </si>
  <si>
    <t>FR3.5.4-17</t>
  </si>
  <si>
    <t>[Abnormal] Approve Media Package with workspaceId = non-existent id</t>
  </si>
  <si>
    <t>1. Prepare the state listed in Pre-conditions.
2. Call MediaPackageServiceImpl.approvePackage with: workspaceId = non-existent id.
3. Check the response / error and the log.</t>
  </si>
  <si>
    <t>FR3.5.4-18</t>
  </si>
  <si>
    <t>- Can connect with server
- Workspace exists
- Workspace has selected package
- Workspace's agency missing</t>
  </si>
  <si>
    <t>FR3.5.5-01</t>
  </si>
  <si>
    <t>[Normal] Create Media Campaign with workspaceId = valid, name = Q4 Launch, workItems = 1 item {id, name, type=POST, dueDate}</t>
  </si>
  <si>
    <t>1. Prepare the state listed in Pre-conditions.
2. Call MediaCampaignServiceImpl.createCampaign with: workspaceId = valid; name = Q4 Launch; workItems = 1 item {id, name, type=POST, dueDate}.
3. Check the response / error and the log.</t>
  </si>
  <si>
    <t>201 Created - MediaCampaignResponse(status=DRAFT)</t>
  </si>
  <si>
    <t>- Can connect with server
- Package is APPROVED
- User is MANAGER of workspace</t>
  </si>
  <si>
    <t>Feature not implemented yet</t>
  </si>
  <si>
    <t>FR3.5.5-02</t>
  </si>
  <si>
    <t>201 Created - status=DRAFT</t>
  </si>
  <si>
    <t>- Can connect with server
- Package is APPROVED
- User is OWNER of agency</t>
  </si>
  <si>
    <t>FR3.5.5-03</t>
  </si>
  <si>
    <t>[Normal] Create Media Campaign with workspaceId = valid, name = Live, workItems = 1 item type=LIVESTREAM</t>
  </si>
  <si>
    <t>1. Prepare the state listed in Pre-conditions.
2. Call MediaCampaignServiceImpl.createCampaign with: workspaceId = valid; name = Live; workItems = 1 item type=LIVESTREAM.
3. Check the response / error and the log.</t>
  </si>
  <si>
    <t>201 Created - workItem type LIVESTREAM kept</t>
  </si>
  <si>
    <t>FR3.5.5-04</t>
  </si>
  <si>
    <t>[Normal] Create Media Campaign with workspaceId = valid, name = Survey, workItems = 1 item type=SURVEY</t>
  </si>
  <si>
    <t>1. Prepare the state listed in Pre-conditions.
2. Call MediaCampaignServiceImpl.createCampaign with: workspaceId = valid; name = Survey; workItems = 1 item type=SURVEY.
3. Check the response / error and the log.</t>
  </si>
  <si>
    <t>201 Created - workItem type SURVEY kept</t>
  </si>
  <si>
    <t>FR3.5.5-05</t>
  </si>
  <si>
    <t>[Normal] Create Media Campaign with workspaceId = valid, name = Second, workItems = 1 item {id, name, type=POST, dueDate}</t>
  </si>
  <si>
    <t>1. Prepare the state listed in Pre-conditions.
2. Call MediaCampaignServiceImpl.createCampaign with: workspaceId = valid; name = Second; workItems = 1 item {id, name, type=POST, dueDate}.
3. Check the response / error and the log.</t>
  </si>
  <si>
    <t>201 Created - multiple campaigns allowed</t>
  </si>
  <si>
    <t>- Can connect with server
- Package is APPROVED
- User is MANAGER of workspace
- Workspace already has a campaign</t>
  </si>
  <si>
    <t>FR3.5.5-06</t>
  </si>
  <si>
    <t>[Normal] Create Media Campaign with workspaceId = valid, name = Stable, workItems = 3 items without ids</t>
  </si>
  <si>
    <t>1. Prepare the state listed in Pre-conditions.
2. Call MediaCampaignServiceImpl.createCampaign with: workspaceId = valid; name = Stable; workItems = 3 items without ids.
3. Check the response / error and the log.</t>
  </si>
  <si>
    <t>201 Created - stable work item IDs generated</t>
  </si>
  <si>
    <t>FR3.5.5-07</t>
  </si>
  <si>
    <t>[Normal] Create Media Campaign with workspaceId = valid, name = Preserve, workItems = items with client-supplied ids</t>
  </si>
  <si>
    <t>1. Prepare the state listed in Pre-conditions.
2. Call MediaCampaignServiceImpl.createCampaign with: workspaceId = valid; name = Preserve; workItems = items with client-supplied ids.
3. Check the response / error and the log.</t>
  </si>
  <si>
    <t>201 Created - provided stable IDs preserved</t>
  </si>
  <si>
    <t>FR3.5.5-08</t>
  </si>
  <si>
    <t>[Normal] Create Media Campaign with workspaceId = valid, name = Ordered, workItems = 3 items</t>
  </si>
  <si>
    <t>1. Prepare the state listed in Pre-conditions.
2. Call MediaCampaignServiceImpl.createCampaign with: workspaceId = valid; name = Ordered; workItems = 3 items.
3. Check the response / error and the log.</t>
  </si>
  <si>
    <t>Work items stored as JSONB in given order; no tasks created</t>
  </si>
  <si>
    <t>FR3.5.5-09</t>
  </si>
  <si>
    <t>[Normal] Create Media Campaign with workspaceId = valid, name = Get, op = getCampaign</t>
  </si>
  <si>
    <t>1. Prepare the state listed in Pre-conditions.
2. Call MediaCampaignServiceImpl.createCampaign with: workspaceId = valid; name = Get; op = getCampaign; workItems = 1 item {id, name, type=POST, dueDate}.
3. Check the response / error and the log.</t>
  </si>
  <si>
    <t>200 OK - campaign detail</t>
  </si>
  <si>
    <t>FR3.5.5-10</t>
  </si>
  <si>
    <t>[Normal] Create Media Campaign with workspaceId = valid, op = listByWorkspace</t>
  </si>
  <si>
    <t>1. Prepare the state listed in Pre-conditions.
2. Call MediaCampaignServiceImpl.createCampaign with: workspaceId = valid; op = listByWorkspace.
3. Check the response / error and the log.</t>
  </si>
  <si>
    <t>200 OK - list of campaigns for workspace</t>
  </si>
  <si>
    <t>FR3.5.5-11</t>
  </si>
  <si>
    <t>[Boundary] Create Media Campaign with workspaceId = valid, name = Min, workItems = exactly 1 item</t>
  </si>
  <si>
    <t>1. Prepare the state listed in Pre-conditions.
2. Call MediaCampaignServiceImpl.createCampaign with: workspaceId = valid; name = Min; workItems = exactly 1 item.
3. Check the response / error and the log.</t>
  </si>
  <si>
    <t>201 Created - minimum work item count</t>
  </si>
  <si>
    <t>FR3.5.5-12</t>
  </si>
  <si>
    <t>[Boundary] Create Media Campaign with workspaceId = valid, name = Big, workItems = max allowed items (spec TBD)</t>
  </si>
  <si>
    <t>1. Prepare the state listed in Pre-conditions.
2. Call MediaCampaignServiceImpl.createCampaign with: workspaceId = valid; name = Big; workItems = max allowed items (spec TBD).
3. Check the response / error and the log.</t>
  </si>
  <si>
    <t>201 Created - maximum work item count</t>
  </si>
  <si>
    <t>FR3.5.5-13</t>
  </si>
  <si>
    <t>[Boundary] Create Media Campaign with workspaceId = valid, name = Due today, workItems = item dueDate = today</t>
  </si>
  <si>
    <t>1. Prepare the state listed in Pre-conditions.
2. Call MediaCampaignServiceImpl.createCampaign with: workspaceId = valid; name = Due today; workItems = item dueDate = today.
3. Check the response / error and the log.</t>
  </si>
  <si>
    <t>201 Created - boundary due date accepted</t>
  </si>
  <si>
    <t>FR3.5.5-14</t>
  </si>
  <si>
    <t>[Abnormal] Create Media Campaign with workspaceId = valid, name = X, workItems = 1 item {id, name, type=POST, dueDate}</t>
  </si>
  <si>
    <t>1. Prepare the state listed in Pre-conditions.
2. Call MediaCampaignServiceImpl.createCampaign with: workspaceId = valid; name = X; workItems = 1 item {id, name, type=POST, dueDate}.
3. Check the response / error and the log.</t>
  </si>
  <si>
    <t>Error: PACKAGE_NOT_APPROVED (409)</t>
  </si>
  <si>
    <t>- Can connect with server
- Package is not APPROVED
- User is MANAGER of workspace</t>
  </si>
  <si>
    <t>FR3.5.5-15</t>
  </si>
  <si>
    <t>- Can connect with server
- Workspace has no selected package
- User is MANAGER of workspace</t>
  </si>
  <si>
    <t>FR3.5.5-16</t>
  </si>
  <si>
    <t>[Abnormal] Create Media Campaign with workspaceId = valid, name = empty, workItems = empty list</t>
  </si>
  <si>
    <t>1. Prepare the state listed in Pre-conditions.
2. Call MediaCampaignServiceImpl.createCampaign with: workspaceId = valid; name = empty; workItems = empty list.
3. Check the response / error and the log.</t>
  </si>
  <si>
    <t>Error: Validation error: workItems required</t>
  </si>
  <si>
    <t>FR3.5.5-17</t>
  </si>
  <si>
    <t>[Abnormal] Create Media Campaign with workspaceId = valid, name = X, workItems = item missing name</t>
  </si>
  <si>
    <t>1. Prepare the state listed in Pre-conditions.
2. Call MediaCampaignServiceImpl.createCampaign with: workspaceId = valid; name = X; workItems = item missing name.
3. Check the response / error and the log.</t>
  </si>
  <si>
    <t>Error: Validation error: work item name required</t>
  </si>
  <si>
    <t>FR3.5.5-18</t>
  </si>
  <si>
    <t>[Abnormal] Create Media Campaign with workspaceId = valid, name = X, workItems = item type=INVALID</t>
  </si>
  <si>
    <t>1. Prepare the state listed in Pre-conditions.
2. Call MediaCampaignServiceImpl.createCampaign with: workspaceId = valid; name = X; workItems = item type=INVALID.
3. Check the response / error and the log.</t>
  </si>
  <si>
    <t>Error: Validation error: type must be POST|LIVESTREAM|SURVEY</t>
  </si>
  <si>
    <t>FR3.5.5-19</t>
  </si>
  <si>
    <t>[Abnormal] Create Media Campaign with workspaceId = valid, name = X, workItems = item dueDate null</t>
  </si>
  <si>
    <t>1. Prepare the state listed in Pre-conditions.
2. Call MediaCampaignServiceImpl.createCampaign with: workspaceId = valid; name = X; workItems = item dueDate null.
3. Check the response / error and the log.</t>
  </si>
  <si>
    <t>Error: Validation error: dueDate required</t>
  </si>
  <si>
    <t>FR3.5.5-20</t>
  </si>
  <si>
    <t>- Can connect with server
- Package is APPROVED
- User is CLIENT of workspace</t>
  </si>
  <si>
    <t>FR3.5.5-21</t>
  </si>
  <si>
    <t>- Can connect with server
- Package is APPROVED
- User not a workspace member</t>
  </si>
  <si>
    <t>FR3.5.5-22</t>
  </si>
  <si>
    <t>[Abnormal] Create Media Campaign with workspaceId = non-existent, name = X, workItems = 1 item {id, name, type=POST, dueDate}</t>
  </si>
  <si>
    <t>1. Prepare the state listed in Pre-conditions.
2. Call MediaCampaignServiceImpl.createCampaign with: workspaceId = non-existent; name = X; workItems = 1 item {id, name, type=POST, dueDate}.
3. Check the response / error and the log.</t>
  </si>
  <si>
    <t>FR3.5.5-23</t>
  </si>
  <si>
    <t>[Abnormal] Create Media Campaign with campaignId = non-existent, op = getCampaign</t>
  </si>
  <si>
    <t>1. Prepare the state listed in Pre-conditions.
2. Call MediaCampaignServiceImpl.createCampaign with: campaignId = non-existent; op = getCampaign.
3. Check the response / error and the log.</t>
  </si>
  <si>
    <t>Error: Campaign not found (404)</t>
  </si>
  <si>
    <t>- Can connect with server
- Campaign exists in DRAFT</t>
  </si>
  <si>
    <t>FR3.5.6-01</t>
  </si>
  <si>
    <t>[Normal] Approve Media Campaign with campaignId = valid</t>
  </si>
  <si>
    <t>1. Prepare the state listed in Pre-conditions.
2. Call MediaCampaignServiceImpl.approveCampaign with: campaignId = valid.
3. Check the response / error and the log.</t>
  </si>
  <si>
    <t>Agency timestamp set; campaign not yet deployable</t>
  </si>
  <si>
    <t>- Can connect with server
- Campaign exists in DRAFT
- User is MANAGER of workspace</t>
  </si>
  <si>
    <t>FR3.5.6-02</t>
  </si>
  <si>
    <t>Agency timestamp set; not deployable</t>
  </si>
  <si>
    <t>- Can connect with server
- Campaign exists in DRAFT
- User is OWNER of agency</t>
  </si>
  <si>
    <t>FR3.5.6-03</t>
  </si>
  <si>
    <t>Client timestamp set; not deployable</t>
  </si>
  <si>
    <t>- Can connect with server
- Campaign exists in DRAFT
- User is CLIENT of workspace</t>
  </si>
  <si>
    <t>FR3.5.6-04</t>
  </si>
  <si>
    <t>Both approvals; campaign deployable</t>
  </si>
  <si>
    <t>- Can connect with server
- Campaign exists in DRAFT
- Agency already approved
- User is CLIENT of workspace</t>
  </si>
  <si>
    <t>FR3.5.6-05</t>
  </si>
  <si>
    <t>- Can connect with server
- Campaign exists in DRAFT
- Client already approved
- User is MANAGER of workspace</t>
  </si>
  <si>
    <t>FR3.5.6-06</t>
  </si>
  <si>
    <t>[Normal] Approve Media Campaign with campaignId = valid, op = deploy</t>
  </si>
  <si>
    <t>1. Prepare the state listed in Pre-conditions.
2. Call MediaCampaignServiceImpl.approveCampaign with: campaignId = valid; op = deploy.
3. Check the response / error and the log.</t>
  </si>
  <si>
    <t>3 backlog tasks created with campaignId, no assignee; status IN_PROGRESS</t>
  </si>
  <si>
    <t>- Can connect with server
- Campaign fully approved, 3 work items</t>
  </si>
  <si>
    <t>FR3.5.6-07</t>
  </si>
  <si>
    <t>1 task with workspaceId, type, name, dueDate, status=backlog</t>
  </si>
  <si>
    <t>- Can connect with server
- Campaign fully approved, 1 work item</t>
  </si>
  <si>
    <t>FR3.5.6-08</t>
  </si>
  <si>
    <t>Retry: same task count and identities, no duplicates</t>
  </si>
  <si>
    <t>- Can connect with server
- Campaign already deployed</t>
  </si>
  <si>
    <t>FR3.5.6-09</t>
  </si>
  <si>
    <t>Retry upserts remaining items on {campaignId, workItemId}; no duplicates</t>
  </si>
  <si>
    <t>- Can connect with server
- Deploy partially failed in Mongo</t>
  </si>
  <si>
    <t>FR3.5.6-10</t>
  </si>
  <si>
    <t>Idempotent response; no change</t>
  </si>
  <si>
    <t>- Can connect with server
- Caller already approved this campaign</t>
  </si>
  <si>
    <t>FR3.5.6-11</t>
  </si>
  <si>
    <t>[Boundary] Approve Media Campaign with campaignId = valid, op = deploy, workItems = 1 item</t>
  </si>
  <si>
    <t>1. Prepare the state listed in Pre-conditions.
2. Call MediaCampaignServiceImpl.approveCampaign with: campaignId = valid; op = deploy; workItems = 1 item.
3. Check the response / error and the log.</t>
  </si>
  <si>
    <t>Boundary: single task created</t>
  </si>
  <si>
    <t>FR3.5.6-12</t>
  </si>
  <si>
    <t>[Boundary] Approve Media Campaign with campaignId = valid, op = deploy, workItems = 0 items</t>
  </si>
  <si>
    <t>1. Prepare the state listed in Pre-conditions.
2. Call MediaCampaignServiceImpl.approveCampaign with: campaignId = valid; op = deploy; workItems = 0 items.
3. Check the response / error and the log.</t>
  </si>
  <si>
    <t>No tasks created; status behaviour per spec</t>
  </si>
  <si>
    <t>- Can connect with server
- Campaign fully approved, no work items</t>
  </si>
  <si>
    <t>FR3.5.6-13</t>
  </si>
  <si>
    <t>[Boundary] Approve Media Campaign with campaignId = valid</t>
  </si>
  <si>
    <t>Prior approvals invalidated for new version</t>
  </si>
  <si>
    <t>- Can connect with server
- Campaign exists in DRAFT
- Agency already approved
- Campaign content edited after agency approval</t>
  </si>
  <si>
    <t>FR3.5.6-14</t>
  </si>
  <si>
    <t>[Abnormal] Approve Media Campaign with campaignId = valid, op = deploy</t>
  </si>
  <si>
    <t>Error: Campaign not fully approved (409)</t>
  </si>
  <si>
    <t>- Can connect with server
- Only one party approved</t>
  </si>
  <si>
    <t>FR3.5.6-15</t>
  </si>
  <si>
    <t>[Abnormal] Approve Media Campaign with campaignId = non-existent</t>
  </si>
  <si>
    <t>1. Prepare the state listed in Pre-conditions.
2. Call MediaCampaignServiceImpl.approveCampaign with: campaignId = non-existent.
3. Check the response / error and the log.</t>
  </si>
  <si>
    <t>FR3.5.6-16</t>
  </si>
  <si>
    <t>[Abnormal] Approve Media Campaign with campaignId = valid</t>
  </si>
  <si>
    <t>- Can connect with server
- Campaign exists in DRAFT
- User not a workspace member</t>
  </si>
  <si>
    <t>FR3.5.6-17</t>
  </si>
  <si>
    <t>- Can connect with server
- Campaign exists in DRAFT
- User has other role (e.g. VIEWER)</t>
  </si>
  <si>
    <t>FR3.5.6-18</t>
  </si>
  <si>
    <t>Error: Campaign not approvable in current state (409)</t>
  </si>
  <si>
    <t>- Can connect with server
- Campaign is not DRAFT (e.g. IN_PROGRESS)</t>
  </si>
  <si>
    <t>FR3.5.7-01</t>
  </si>
  <si>
    <t>[Normal] Create Content Request with title = Promo post, description = Describe, type = POST</t>
  </si>
  <si>
    <t>1. Prepare the state listed in Pre-conditions.
2. Call TaskContentServiceImpl.createContentRequest with: title = Promo post; description = Describe; type = POST; dueDate = future date.
3. Check the response / error and the log.</t>
  </si>
  <si>
    <t>201 Created - ContentRequestResponse(status=PENDING)</t>
  </si>
  <si>
    <t>- Can connect with server
- Workspace has Client member
- User is CLIENT of workspace</t>
  </si>
  <si>
    <t>FR3.5.7-02</t>
  </si>
  <si>
    <t>[Normal] Create Content Request with title = Promo post, description = Describe, type = LIVESTREAM</t>
  </si>
  <si>
    <t>1. Prepare the state listed in Pre-conditions.
2. Call TaskContentServiceImpl.createContentRequest with: title = Promo post; description = Describe; type = LIVESTREAM; dueDate = future date.
3. Check the response / error and the log.</t>
  </si>
  <si>
    <t>201 Created - type=LIVESTREAM</t>
  </si>
  <si>
    <t>FR3.5.7-03</t>
  </si>
  <si>
    <t>[Normal] Create Content Request with title = Promo post, description = Describe, type = SURVEY</t>
  </si>
  <si>
    <t>1. Prepare the state listed in Pre-conditions.
2. Call TaskContentServiceImpl.createContentRequest with: title = Promo post; description = Describe; type = SURVEY; dueDate = future date.
3. Check the response / error and the log.</t>
  </si>
  <si>
    <t>201 Created - type=SURVEY</t>
  </si>
  <si>
    <t>FR3.5.7-04</t>
  </si>
  <si>
    <t>[Normal] Create Content Request with title = Promo post, description = null, type = POST</t>
  </si>
  <si>
    <t>1. Prepare the state listed in Pre-conditions.
2. Call TaskContentServiceImpl.createContentRequest with: title = Promo post; description = null; type = POST; dueDate = future date.
3. Check the response / error and the log.</t>
  </si>
  <si>
    <t>201 Created - description optional</t>
  </si>
  <si>
    <t>FR3.5.7-05</t>
  </si>
  <si>
    <t>[Normal] Create Content Request with title = No task check, description = Describe, type = POST</t>
  </si>
  <si>
    <t>1. Prepare the state listed in Pre-conditions.
2. Call TaskContentServiceImpl.createContentRequest with: title = No task check; description = Describe; type = POST; dueDate = future date.
3. Check the response / error and the log.</t>
  </si>
  <si>
    <t>No task created in Mongo at creation</t>
  </si>
  <si>
    <t>FR3.5.7-06</t>
  </si>
  <si>
    <t>[Normal] Create Content Request with title = Second, description = Describe, type = POST</t>
  </si>
  <si>
    <t>1. Prepare the state listed in Pre-conditions.
2. Call TaskContentServiceImpl.createContentRequest with: title = Second; description = Describe; type = POST; dueDate = future date.
3. Check the response / error and the log.</t>
  </si>
  <si>
    <t>201 Created - multiple requests allowed</t>
  </si>
  <si>
    <t>- Can connect with server
- Workspace has Client member
- User is CLIENT of workspace
- Client already has pending request</t>
  </si>
  <si>
    <t>FR3.5.7-07</t>
  </si>
  <si>
    <t>[Normal] Create Content Request with title =   Trim me  , description = Describe, type = POST</t>
  </si>
  <si>
    <t>1. Prepare the state listed in Pre-conditions.
2. Call TaskContentServiceImpl.createContentRequest with: title =   Trim me  ; description = Describe; type = POST; dueDate = future date.
3. Check the response / error and the log.</t>
  </si>
  <si>
    <t>201 Created - title trimmed</t>
  </si>
  <si>
    <t>FR3.5.7-08</t>
  </si>
  <si>
    <t>[Normal] Create Content Request with title = Owner check, description = Describe, type = POST</t>
  </si>
  <si>
    <t>1. Prepare the state listed in Pre-conditions.
2. Call TaskContentServiceImpl.createContentRequest with: title = Owner check; description = Describe; type = POST; dueDate = future date.
3. Check the response / error and the log.</t>
  </si>
  <si>
    <t>createdBy = caller; workspaceId from path</t>
  </si>
  <si>
    <t>FR3.5.7-09</t>
  </si>
  <si>
    <t>[Boundary] Create Content Request with title = Promo post, description = Describe, type = POST</t>
  </si>
  <si>
    <t>1. Prepare the state listed in Pre-conditions.
2. Call TaskContentServiceImpl.createContentRequest with: title = Promo post; description = Describe; type = POST; dueDate = today.
3. Check the response / error and the log.</t>
  </si>
  <si>
    <t>201 Created - due today accepted (if allowed)</t>
  </si>
  <si>
    <t>FR3.5.7-10</t>
  </si>
  <si>
    <t>[Boundary] Create Content Request with title = 1 char, description = Describe, type = POST</t>
  </si>
  <si>
    <t>1. Prepare the state listed in Pre-conditions.
2. Call TaskContentServiceImpl.createContentRequest with: title = 1 char; description = Describe; type = POST; dueDate = future date.
3. Check the response / error and the log.</t>
  </si>
  <si>
    <t>201 Created - minimum title length</t>
  </si>
  <si>
    <t>FR3.5.7-11</t>
  </si>
  <si>
    <t>[Boundary] Create Content Request with title = max length chars, description = Describe, type = POST</t>
  </si>
  <si>
    <t>1. Prepare the state listed in Pre-conditions.
2. Call TaskContentServiceImpl.createContentRequest with: title = max length chars; description = Describe; type = POST; dueDate = future date.
3. Check the response / error and the log.</t>
  </si>
  <si>
    <t>201 Created - maximum title length</t>
  </si>
  <si>
    <t>FR3.5.7-12</t>
  </si>
  <si>
    <t>[Boundary] Create Content Request with title = Promo post, description = max length chars, type = POST</t>
  </si>
  <si>
    <t>1. Prepare the state listed in Pre-conditions.
2. Call TaskContentServiceImpl.createContentRequest with: title = Promo post; description = max length chars; type = POST; dueDate = future date.
3. Check the response / error and the log.</t>
  </si>
  <si>
    <t>201 Created - maximum description length</t>
  </si>
  <si>
    <t>FR3.5.7-13</t>
  </si>
  <si>
    <t>[Abnormal] Create Content Request with title = null, description = Describe, type = POST</t>
  </si>
  <si>
    <t>1. Prepare the state listed in Pre-conditions.
2. Call TaskContentServiceImpl.createContentRequest with: title = null; description = Describe; type = POST; dueDate = future date.
3. Check the response / error and the log.</t>
  </si>
  <si>
    <t>Error: Validation error: title required</t>
  </si>
  <si>
    <t>FR3.5.7-14</t>
  </si>
  <si>
    <t>[Abnormal] Create Content Request with title = empty, description = Describe, type = POST</t>
  </si>
  <si>
    <t>1. Prepare the state listed in Pre-conditions.
2. Call TaskContentServiceImpl.createContentRequest with: title = empty; description = Describe; type = POST; dueDate = future date.
3. Check the response / error and the log.</t>
  </si>
  <si>
    <t>Error: Validation error: title blank</t>
  </si>
  <si>
    <t>FR3.5.7-15</t>
  </si>
  <si>
    <t>[Abnormal] Create Content Request with title = over max length, description = Describe, type = POST</t>
  </si>
  <si>
    <t>1. Prepare the state listed in Pre-conditions.
2. Call TaskContentServiceImpl.createContentRequest with: title = over max length; description = Describe; type = POST; dueDate = future date.
3. Check the response / error and the log.</t>
  </si>
  <si>
    <t>Error: Validation error: title too long</t>
  </si>
  <si>
    <t>FR3.5.7-16</t>
  </si>
  <si>
    <t>[Abnormal] Create Content Request with title = Promo post, description = Describe, type = null</t>
  </si>
  <si>
    <t>1. Prepare the state listed in Pre-conditions.
2. Call TaskContentServiceImpl.createContentRequest with: title = Promo post; description = Describe; type = null; dueDate = future date.
3. Check the response / error and the log.</t>
  </si>
  <si>
    <t>Error: Validation error: type required</t>
  </si>
  <si>
    <t>FR3.5.7-17</t>
  </si>
  <si>
    <t>[Abnormal] Create Content Request with title = Promo post, description = Describe, type = INVALID</t>
  </si>
  <si>
    <t>1. Prepare the state listed in Pre-conditions.
2. Call TaskContentServiceImpl.createContentRequest with: title = Promo post; description = Describe; type = INVALID; dueDate = future date.
3. Check the response / error and the log.</t>
  </si>
  <si>
    <t>FR3.5.7-18</t>
  </si>
  <si>
    <t>[Abnormal] Create Content Request with title = Promo post, description = Describe, type = POST</t>
  </si>
  <si>
    <t>1. Prepare the state listed in Pre-conditions.
2. Call TaskContentServiceImpl.createContentRequest with: title = Promo post; description = Describe; type = POST; dueDate = null.
3. Check the response / error and the log.</t>
  </si>
  <si>
    <t>FR3.5.7-19</t>
  </si>
  <si>
    <t>1. Prepare the state listed in Pre-conditions.
2. Call TaskContentServiceImpl.createContentRequest with: title = Promo post; description = Describe; type = POST; dueDate = past date.
3. Check the response / error and the log.</t>
  </si>
  <si>
    <t>Error: Validation error: dueDate must not be in the past</t>
  </si>
  <si>
    <t>FR3.5.7-20</t>
  </si>
  <si>
    <t>- Can connect with server
- Workspace has Client member
- User is MANAGER of workspace</t>
  </si>
  <si>
    <t>FR3.5.7-21</t>
  </si>
  <si>
    <t>- Can connect with server
- Workspace has Client member
- User is OWNER of agency</t>
  </si>
  <si>
    <t>FR3.5.7-22</t>
  </si>
  <si>
    <t>- Can connect with server
- Workspace has Client member
- External Client not in workspace</t>
  </si>
  <si>
    <t>FR3.5.7-23</t>
  </si>
  <si>
    <t>1. Prepare the state listed in Pre-conditions.
2. Call TaskContentServiceImpl.createContentRequest with: title = Promo post; description = Describe; type = POST; dueDate = future date; workspaceId = non-existent.
3. Check the response / error and the log.</t>
  </si>
  <si>
    <t>FR3.5.8-01</t>
  </si>
  <si>
    <t>[Normal] Track Content Request Status with newStatus = IN_PROGRESS</t>
  </si>
  <si>
    <t>1. Prepare the state listed in Pre-conditions.
2. Call TaskContentServiceImpl.updateRequestStatus with: newStatus = IN_PROGRESS.
3. Check the response / error and the log.</t>
  </si>
  <si>
    <t>200 - status=IN_PROGRESS</t>
  </si>
  <si>
    <t>- Can connect with server
- Content request exists
- User is MANAGER of workspace
- Status PENDING</t>
  </si>
  <si>
    <t>FR3.5.8-02</t>
  </si>
  <si>
    <t>[Normal] Track Content Request Status with newStatus = ACCEPTED</t>
  </si>
  <si>
    <t>1. Prepare the state listed in Pre-conditions.
2. Call TaskContentServiceImpl.updateRequestStatus with: newStatus = ACCEPTED.
3. Check the response / error and the log.</t>
  </si>
  <si>
    <t>200 - ACCEPTED; one backlog task created, campaignId=null</t>
  </si>
  <si>
    <t>FR3.5.8-03</t>
  </si>
  <si>
    <t>200 - ACCEPTED; one backlog task created</t>
  </si>
  <si>
    <t>- Can connect with server
- Content request exists
- User is MANAGER of workspace
- Status IN_PROGRESS</t>
  </si>
  <si>
    <t>FR3.5.8-04</t>
  </si>
  <si>
    <t>[Normal] Track Content Request Status with newStatus = DENIED</t>
  </si>
  <si>
    <t>1. Prepare the state listed in Pre-conditions.
2. Call TaskContentServiceImpl.updateRequestStatus with: newStatus = DENIED.
3. Check the response / error and the log.</t>
  </si>
  <si>
    <t>200 - DENIED; no task created</t>
  </si>
  <si>
    <t>FR3.5.8-05</t>
  </si>
  <si>
    <t>FR3.5.8-06</t>
  </si>
  <si>
    <t>200 - Owner (agency manager) transition allowed</t>
  </si>
  <si>
    <t>- Can connect with server
- Content request exists
- User is OWNER of agency
- Status PENDING</t>
  </si>
  <si>
    <t>FR3.5.8-07</t>
  </si>
  <si>
    <t>[Normal] Track Content Request Status with newStatus = ACCEPTED, op = checkTask</t>
  </si>
  <si>
    <t>1. Prepare the state listed in Pre-conditions.
2. Call TaskContentServiceImpl.updateRequestStatus with: newStatus = ACCEPTED; op = checkTask.
3. Check the response / error and the log.</t>
  </si>
  <si>
    <t>Task has sourceType=CONTENT_REQUEST, sourceRefId, copied type/dueDate</t>
  </si>
  <si>
    <t>FR3.5.8-08</t>
  </si>
  <si>
    <t>Idempotent - no second task created</t>
  </si>
  <si>
    <t>- Can connect with server
- Content request exists
- User is MANAGER of workspace
- Status ACCEPTED, task exists</t>
  </si>
  <si>
    <t>FR3.5.8-09</t>
  </si>
  <si>
    <t>[Normal] Track Content Request Status with op = read</t>
  </si>
  <si>
    <t>1. Prepare the state listed in Pre-conditions.
2. Call TaskContentServiceImpl.updateRequestStatus with: op = read.
3. Check the response / error and the log.</t>
  </si>
  <si>
    <t>200 - request status readable by Client</t>
  </si>
  <si>
    <t>- Can connect with server
- Content request exists
- User is CLIENT of workspace
- Creator of request</t>
  </si>
  <si>
    <t>FR3.5.8-10</t>
  </si>
  <si>
    <t>[Normal] Track Content Request Status with op = list</t>
  </si>
  <si>
    <t>1. Prepare the state listed in Pre-conditions.
2. Call TaskContentServiceImpl.updateRequestStatus with: op = list.
3. Check the response / error and the log.</t>
  </si>
  <si>
    <t>200 - list of workspace requests with status</t>
  </si>
  <si>
    <t>- Can connect with server
- Content request exists
- User is MANAGER of workspace</t>
  </si>
  <si>
    <t>FR3.5.8-11</t>
  </si>
  <si>
    <t>[Boundary] Track Content Request Status with newStatus = PENDING</t>
  </si>
  <si>
    <t>1. Prepare the state listed in Pre-conditions.
2. Call TaskContentServiceImpl.updateRequestStatus with: newStatus = PENDING.
3. Check the response / error and the log.</t>
  </si>
  <si>
    <t>No-op or rejected per spec; no task created</t>
  </si>
  <si>
    <t>FR3.5.8-12</t>
  </si>
  <si>
    <t>[Boundary] Track Content Request Status with newStatus = ACCEPTED</t>
  </si>
  <si>
    <t>Upsert on sourceRefId; still exactly one task</t>
  </si>
  <si>
    <t>- Can connect with server
- Content request exists
- User is MANAGER of workspace
- Mongo task already exists for sourceRefId</t>
  </si>
  <si>
    <t>FR3.5.8-13</t>
  </si>
  <si>
    <t>Rejected - cannot move backwards</t>
  </si>
  <si>
    <t>FR3.5.8-14</t>
  </si>
  <si>
    <t>[Abnormal] Track Content Request Status with newStatus = PENDING</t>
  </si>
  <si>
    <t>Error: Invalid transition: terminal state (409)</t>
  </si>
  <si>
    <t>- Can connect with server
- Content request exists
- User is MANAGER of workspace
- Status ACCEPTED</t>
  </si>
  <si>
    <t>FR3.5.8-15</t>
  </si>
  <si>
    <t>[Abnormal] Track Content Request Status with newStatus = IN_PROGRESS</t>
  </si>
  <si>
    <t>- Can connect with server
- Content request exists
- User is MANAGER of workspace
- Status DENIED</t>
  </si>
  <si>
    <t>FR3.5.8-16</t>
  </si>
  <si>
    <t>[Abnormal] Track Content Request Status with newStatus = ACCEPTED</t>
  </si>
  <si>
    <t>FR3.5.8-17</t>
  </si>
  <si>
    <t>- Can connect with server
- Content request exists
- User is CLIENT of workspace</t>
  </si>
  <si>
    <t>FR3.5.8-18</t>
  </si>
  <si>
    <t>[Abnormal] Track Content Request Status with newStatus = INVALID</t>
  </si>
  <si>
    <t>1. Prepare the state listed in Pre-conditions.
2. Call TaskContentServiceImpl.updateRequestStatus with: newStatus = INVALID.
3. Check the response / error and the log.</t>
  </si>
  <si>
    <t>Error: Validation error: unknown status</t>
  </si>
  <si>
    <t>FR3.5.8-19</t>
  </si>
  <si>
    <t>[Abnormal] Track Content Request Status with newStatus = null</t>
  </si>
  <si>
    <t>1. Prepare the state listed in Pre-conditions.
2. Call TaskContentServiceImpl.updateRequestStatus with: newStatus = null.
3. Check the response / error and the log.</t>
  </si>
  <si>
    <t>Error: Validation error: status required</t>
  </si>
  <si>
    <t>FR3.5.8-20</t>
  </si>
  <si>
    <t>- Can connect with server
- Content request exists
- User not a workspace member</t>
  </si>
  <si>
    <t>FR3.5.8-21</t>
  </si>
  <si>
    <t>[Abnormal] Track Content Request Status with requestId = non-existent, newStatus = IN_PROGRESS</t>
  </si>
  <si>
    <t>1. Prepare the state listed in Pre-conditions.
2. Call TaskContentServiceImpl.updateRequestStatus with: requestId = non-existent; newStatus = IN_PROGRESS.
3. Check the response / error and the log.</t>
  </si>
  <si>
    <t>Error: REQUEST_NOT_FOUND: Content request not found</t>
  </si>
  <si>
    <t>FR3.5.9-01</t>
  </si>
  <si>
    <t>[Normal] Update Request with title = New title</t>
  </si>
  <si>
    <t>1. Prepare the state listed in Pre-conditions.
2. Call TaskContentServiceImpl.updateContentRequest with: title = New title.
3. Check the response / error and the log.</t>
  </si>
  <si>
    <t>200 - title updated</t>
  </si>
  <si>
    <t>- Can connect with server
- Content request exists
- User is creator Client of request
- Status PENDING</t>
  </si>
  <si>
    <t>FR3.5.9-02</t>
  </si>
  <si>
    <t>[Normal] Update Request with description = New desc</t>
  </si>
  <si>
    <t>1. Prepare the state listed in Pre-conditions.
2. Call TaskContentServiceImpl.updateContentRequest with: description = New desc.
3. Check the response / error and the log.</t>
  </si>
  <si>
    <t>FR3.5.9-03</t>
  </si>
  <si>
    <t>[Normal] Update Request with title = New title, description = New desc</t>
  </si>
  <si>
    <t>1. Prepare the state listed in Pre-conditions.
2. Call TaskContentServiceImpl.updateContentRequest with: title = New title; description = New desc.
3. Check the response / error and the log.</t>
  </si>
  <si>
    <t>200 - both fields updated</t>
  </si>
  <si>
    <t>FR3.5.9-04</t>
  </si>
  <si>
    <t xml:space="preserve">[Normal] Update Request with title =   Trim  </t>
  </si>
  <si>
    <t>1. Prepare the state listed in Pre-conditions.
2. Call TaskContentServiceImpl.updateContentRequest with: title =   Trim  .
3. Check the response / error and the log.</t>
  </si>
  <si>
    <t>200 - title trimmed</t>
  </si>
  <si>
    <t>FR3.5.9-05</t>
  </si>
  <si>
    <t>[Normal] Update Request with description = empty</t>
  </si>
  <si>
    <t>1. Prepare the state listed in Pre-conditions.
2. Call TaskContentServiceImpl.updateContentRequest with: description = empty.
3. Check the response / error and the log.</t>
  </si>
  <si>
    <t>200 - description cleared</t>
  </si>
  <si>
    <t>FR3.5.9-06</t>
  </si>
  <si>
    <t>[Normal] Update Request with title = Same title</t>
  </si>
  <si>
    <t>1. Prepare the state listed in Pre-conditions.
2. Call TaskContentServiceImpl.updateContentRequest with: title = Same title.
3. Check the response / error and the log.</t>
  </si>
  <si>
    <t>200 - unchanged value accepted</t>
  </si>
  <si>
    <t>FR3.5.9-07</t>
  </si>
  <si>
    <t>[Normal] Update Request with title = Only title</t>
  </si>
  <si>
    <t>1. Prepare the state listed in Pre-conditions.
2. Call TaskContentServiceImpl.updateContentRequest with: title = Only title.
3. Check the response / error and the log.</t>
  </si>
  <si>
    <t>type, dueDate and status unchanged</t>
  </si>
  <si>
    <t>FR3.5.9-08</t>
  </si>
  <si>
    <t>[Normal] Update Request with title = Touch</t>
  </si>
  <si>
    <t>1. Prepare the state listed in Pre-conditions.
2. Call TaskContentServiceImpl.updateContentRequest with: title = Touch.
3. Check the response / error and the log.</t>
  </si>
  <si>
    <t>updatedAt refreshed</t>
  </si>
  <si>
    <t>FR3.5.9-09</t>
  </si>
  <si>
    <t>[Boundary] Update Request with title = max length chars</t>
  </si>
  <si>
    <t>1. Prepare the state listed in Pre-conditions.
2. Call TaskContentServiceImpl.updateContentRequest with: title = max length chars.
3. Check the response / error and the log.</t>
  </si>
  <si>
    <t>200 - maximum title length</t>
  </si>
  <si>
    <t>FR3.5.9-10</t>
  </si>
  <si>
    <t>[Boundary] Update Request with title = 1 char</t>
  </si>
  <si>
    <t>1. Prepare the state listed in Pre-conditions.
2. Call TaskContentServiceImpl.updateContentRequest with: title = 1 char.
3. Check the response / error and the log.</t>
  </si>
  <si>
    <t>200 - minimum title length</t>
  </si>
  <si>
    <t>FR3.5.9-11</t>
  </si>
  <si>
    <t>[Boundary] Update Request with title = null, description = null</t>
  </si>
  <si>
    <t>1. Prepare the state listed in Pre-conditions.
2. Call TaskContentServiceImpl.updateContentRequest with: title = null; description = null.
3. Check the response / error and the log.</t>
  </si>
  <si>
    <t>No-op or validation per spec</t>
  </si>
  <si>
    <t>FR3.5.9-12</t>
  </si>
  <si>
    <t>[Abnormal] Update Request with title = New</t>
  </si>
  <si>
    <t>1. Prepare the state listed in Pre-conditions.
2. Call TaskContentServiceImpl.updateContentRequest with: title = New.
3. Check the response / error and the log.</t>
  </si>
  <si>
    <t>Error: REQUEST_NOT_EDITABLE (409)</t>
  </si>
  <si>
    <t>- Can connect with server
- Content request exists
- User is creator Client of request
- Status IN_PROGRESS</t>
  </si>
  <si>
    <t>FR3.5.9-13</t>
  </si>
  <si>
    <t>- Can connect with server
- Content request exists
- User is creator Client of request
- Status ACCEPTED</t>
  </si>
  <si>
    <t>FR3.5.9-14</t>
  </si>
  <si>
    <t>- Can connect with server
- Content request exists
- User is creator Client of request
- Status DENIED</t>
  </si>
  <si>
    <t>FR3.5.9-15</t>
  </si>
  <si>
    <t>- Can connect with server
- Content request exists
- User is creator Client of request
- Status CANCELLED</t>
  </si>
  <si>
    <t>FR3.5.9-16</t>
  </si>
  <si>
    <t>[Abnormal] Update Request with title = Stale</t>
  </si>
  <si>
    <t>1. Prepare the state listed in Pre-conditions.
2. Call TaskContentServiceImpl.updateContentRequest with: title = Stale.
3. Check the response / error and the log.</t>
  </si>
  <si>
    <t>Error: REQUEST_NOT_EDITABLE (409) - conditional write fails</t>
  </si>
  <si>
    <t>- Can connect with server
- Content request exists
- User is creator Client of request
- Manager moved request to IN_PROGRESS concurrently</t>
  </si>
  <si>
    <t>FR3.5.9-17</t>
  </si>
  <si>
    <t>- Can connect with server
- Content request exists
- User is another Client
- Status PENDING</t>
  </si>
  <si>
    <t>FR3.5.9-18</t>
  </si>
  <si>
    <t>FR3.5.9-19</t>
  </si>
  <si>
    <t>[Abnormal] Update Request with title = over max length</t>
  </si>
  <si>
    <t>1. Prepare the state listed in Pre-conditions.
2. Call TaskContentServiceImpl.updateContentRequest with: title = over max length.
3. Check the response / error and the log.</t>
  </si>
  <si>
    <t>- Can connect with server
- Content request exists
- User is creator Client of request</t>
  </si>
  <si>
    <t>FR3.5.9-20</t>
  </si>
  <si>
    <t>[Abnormal] Update Request with title = empty</t>
  </si>
  <si>
    <t>1. Prepare the state listed in Pre-conditions.
2. Call TaskContentServiceImpl.updateContentRequest with: title = empty.
3. Check the response / error and the log.</t>
  </si>
  <si>
    <t>FR3.5.9-21</t>
  </si>
  <si>
    <t>[Abnormal] Update Request with requestId = non-existent, title = New</t>
  </si>
  <si>
    <t>1. Prepare the state listed in Pre-conditions.
2. Call TaskContentServiceImpl.updateContentRequest with: requestId = non-existent; title = New.
3. Check the response / error and the log.</t>
  </si>
  <si>
    <t>- Can connect with server
- User is creator Client of request</t>
  </si>
  <si>
    <t>FR3.5.9-22</t>
  </si>
  <si>
    <t>FR3.5.10-01</t>
  </si>
  <si>
    <t>[Normal] Cancel Request with requestId = valid</t>
  </si>
  <si>
    <t>1. Prepare the state listed in Pre-conditions.
2. Call TaskContentServiceImpl.cancelContentRequest with: requestId = valid.
3. Check the response / error and the log.</t>
  </si>
  <si>
    <t>200/204 - status=CANCELLED</t>
  </si>
  <si>
    <t>FR3.5.10-02</t>
  </si>
  <si>
    <t>[Normal] Cancel Request with requestId = valid, op = checkRecord</t>
  </si>
  <si>
    <t>1. Prepare the state listed in Pre-conditions.
2. Call TaskContentServiceImpl.cancelContentRequest with: requestId = valid; op = checkRecord.
3. Check the response / error and the log.</t>
  </si>
  <si>
    <t>Record retained (no hard delete)</t>
  </si>
  <si>
    <t>FR3.5.10-03</t>
  </si>
  <si>
    <t>[Normal] Cancel Request with requestId = valid, op = checkTask</t>
  </si>
  <si>
    <t>1. Prepare the state listed in Pre-conditions.
2. Call TaskContentServiceImpl.cancelContentRequest with: requestId = valid; op = checkTask.
3. Check the response / error and the log.</t>
  </si>
  <si>
    <t>No task created or changed</t>
  </si>
  <si>
    <t>FR3.5.10-04</t>
  </si>
  <si>
    <t>[Normal] Cancel Request with requestId = valid, op = checkTimestamps</t>
  </si>
  <si>
    <t>1. Prepare the state listed in Pre-conditions.
2. Call TaskContentServiceImpl.cancelContentRequest with: requestId = valid; op = checkTimestamps.
3. Check the response / error and the log.</t>
  </si>
  <si>
    <t>cancelledAt / updatedAt set</t>
  </si>
  <si>
    <t>FR3.5.10-05</t>
  </si>
  <si>
    <t>[Normal] Cancel Request with requestId = valid, op = list</t>
  </si>
  <si>
    <t>1. Prepare the state listed in Pre-conditions.
2. Call TaskContentServiceImpl.cancelContentRequest with: requestId = valid; op = list.
3. Check the response / error and the log.</t>
  </si>
  <si>
    <t>Cancelled request still visible in history list</t>
  </si>
  <si>
    <t>FR3.5.10-06</t>
  </si>
  <si>
    <t>Other requests unaffected</t>
  </si>
  <si>
    <t>- Can connect with server
- Content request exists
- User is creator Client of request
- Status PENDING, other requests exist</t>
  </si>
  <si>
    <t>FR3.5.10-07</t>
  </si>
  <si>
    <t>Idempotent repeat cancel returns CANCELLED (if spec allows)</t>
  </si>
  <si>
    <t>FR3.5.10-08</t>
  </si>
  <si>
    <t>[Normal] Cancel Request with requestId = valid, op = audit</t>
  </si>
  <si>
    <t>1. Prepare the state listed in Pre-conditions.
2. Call TaskContentServiceImpl.cancelContentRequest with: requestId = valid; op = audit.
3. Check the response / error and the log.</t>
  </si>
  <si>
    <t>Cancellation audit entry recorded</t>
  </si>
  <si>
    <t>FR3.5.10-09</t>
  </si>
  <si>
    <t>[Boundary] Cancel Request with requestId = valid</t>
  </si>
  <si>
    <t>200 - cancel allowed regardless of due date</t>
  </si>
  <si>
    <t>- Can connect with server
- Content request exists
- User is creator Client of request
- Status PENDING, due date today</t>
  </si>
  <si>
    <t>FR3.5.10-10</t>
  </si>
  <si>
    <t>Conditional write: one wins, loser gets REQUEST_NOT_CANCELLABLE</t>
  </si>
  <si>
    <t>- Can connect with server
- Content request exists
- User is creator Client of request
- Manager moves to IN_PROGRESS concurrently</t>
  </si>
  <si>
    <t>FR3.5.10-11</t>
  </si>
  <si>
    <t>200 - cancel immediately after create</t>
  </si>
  <si>
    <t>- Can connect with server
- Content request exists
- User is creator Client of request
- Just created request</t>
  </si>
  <si>
    <t>FR3.5.10-12</t>
  </si>
  <si>
    <t>[Abnormal] Cancel Request with requestId = valid</t>
  </si>
  <si>
    <t>Error: REQUEST_NOT_CANCELLABLE (409)</t>
  </si>
  <si>
    <t>FR3.5.10-13</t>
  </si>
  <si>
    <t>FR3.5.10-14</t>
  </si>
  <si>
    <t>FR3.5.10-15</t>
  </si>
  <si>
    <t>FR3.5.10-16</t>
  </si>
  <si>
    <t>FR3.5.10-17</t>
  </si>
  <si>
    <t>FR3.5.10-18</t>
  </si>
  <si>
    <t>[Abnormal] Cancel Request with requestId = non-existent</t>
  </si>
  <si>
    <t>1. Prepare the state listed in Pre-conditions.
2. Call TaskContentServiceImpl.cancelContentRequest with: requestId = non-existent.
3. Check the response / error and the log.</t>
  </si>
  <si>
    <t>FR3.5.10-19</t>
  </si>
  <si>
    <t>[Abnormal] Cancel Request with requestId = null</t>
  </si>
  <si>
    <t>1. Prepare the state listed in Pre-conditions.
2. Call TaskContentServiceImpl.cancelContentRequest with: requestId = null.
3. Check the response / error and the log.</t>
  </si>
  <si>
    <t>Functional test of 3.6.1 Identify Task Detail; 3.6.2 Assign Task To Creator; 3.6.3 Add Comments On Task; 3.6.4 List Task View and 32 more</t>
  </si>
  <si>
    <t>FR3.6.1-01</t>
  </si>
  <si>
    <t>[Normal] Identify Task Detail with description = valid text, dueDate = future date, typeSpecificFields = valid post fields</t>
  </si>
  <si>
    <t>1. Prepare the state listed in Pre-conditions.
2. Call TaskServiceImpl.identifyDetail with: description = valid text; dueDate = future date; typeSpecificFields = valid post fields.
3. Check the response / error and the log.</t>
  </si>
  <si>
    <t>200 OK - task status=DETAIL_IDENTIFIED</t>
  </si>
  <si>
    <t>- Can connect with server
- User is MANAGER of workspace
- Task status is BACKLOG
- Task type is POST</t>
  </si>
  <si>
    <t>FR3.6.1-02</t>
  </si>
  <si>
    <t>[Normal] Identify Task Detail with description = valid text, dueDate = future date, typeSpecificFields = valid livestream fields</t>
  </si>
  <si>
    <t>1. Prepare the state listed in Pre-conditions.
2. Call TaskServiceImpl.identifyDetail with: description = valid text; dueDate = future date; typeSpecificFields = valid livestream fields.
3. Check the response / error and the log.</t>
  </si>
  <si>
    <t>- Can connect with server
- User is MANAGER of workspace
- Task status is BACKLOG
- Task type is LIVESTREAM</t>
  </si>
  <si>
    <t>FR3.6.1-03</t>
  </si>
  <si>
    <t>[Normal] Identify Task Detail with description = valid text, dueDate = future date, typeSpecificFields = valid survey fields</t>
  </si>
  <si>
    <t>1. Prepare the state listed in Pre-conditions.
2. Call TaskServiceImpl.identifyDetail with: description = valid text; dueDate = future date; typeSpecificFields = valid survey fields.
3. Check the response / error and the log.</t>
  </si>
  <si>
    <t>- Can connect with server
- User is MANAGER of workspace
- Task status is BACKLOG
- Task type is SURVEY</t>
  </si>
  <si>
    <t>FR3.6.1-04</t>
  </si>
  <si>
    <t>[Normal] Identify Task Detail with description = null (keep original), dueDate = future date</t>
  </si>
  <si>
    <t>1. Prepare the state listed in Pre-conditions.
2. Call TaskServiceImpl.identifyDetail with: description = null (keep original); dueDate = future date.
3. Check the response / error and the log.</t>
  </si>
  <si>
    <t>200 OK - original description kept, DETAIL_IDENTIFIED</t>
  </si>
  <si>
    <t>- Can connect with server
- User is MANAGER of workspace
- Task status is BACKLOG
- Task from Content Request with client description</t>
  </si>
  <si>
    <t>FR3.6.1-05</t>
  </si>
  <si>
    <t>[Normal] Identify Task Detail with description = original + extra notes, dueDate = future date</t>
  </si>
  <si>
    <t>1. Prepare the state listed in Pre-conditions.
2. Call TaskServiceImpl.identifyDetail with: description = original + extra notes; dueDate = future date.
3. Check the response / error and the log.</t>
  </si>
  <si>
    <t>200 OK - description updated, DETAIL_IDENTIFIED</t>
  </si>
  <si>
    <t>FR3.6.1-06</t>
  </si>
  <si>
    <t>[Normal] Identify Task Detail with description = valid text, dueDate = future date, typeSpecificFields = empty object</t>
  </si>
  <si>
    <t>1. Prepare the state listed in Pre-conditions.
2. Call TaskServiceImpl.identifyDetail with: description = valid text; dueDate = future date; typeSpecificFields = empty object.
3. Check the response / error and the log.</t>
  </si>
  <si>
    <t>200 OK - DETAIL_IDENTIFIED</t>
  </si>
  <si>
    <t>FR3.6.1-07</t>
  </si>
  <si>
    <t>[Normal] Identify Task Detail with description = valid text, dueDate = today</t>
  </si>
  <si>
    <t>1. Prepare the state listed in Pre-conditions.
2. Call TaskServiceImpl.identifyDetail with: description = valid text; dueDate = today.
3. Check the response / error and the log.</t>
  </si>
  <si>
    <t>FR3.6.1-08</t>
  </si>
  <si>
    <t>[Boundary] Identify Task Detail with description = 1 char, dueDate = future date</t>
  </si>
  <si>
    <t>1. Prepare the state listed in Pre-conditions.
2. Call TaskServiceImpl.identifyDetail with: description = 1 char; dueDate = future date.
3. Check the response / error and the log.</t>
  </si>
  <si>
    <t>FR3.6.1-09</t>
  </si>
  <si>
    <t>[Boundary] Identify Task Detail with description = max length text, dueDate = future date</t>
  </si>
  <si>
    <t>1. Prepare the state listed in Pre-conditions.
2. Call TaskServiceImpl.identifyDetail with: description = max length text; dueDate = future date.
3. Check the response / error and the log.</t>
  </si>
  <si>
    <t>FR3.6.1-10</t>
  </si>
  <si>
    <t>[Boundary] Identify Task Detail with description = valid text, dueDate = tomorrow (min future)</t>
  </si>
  <si>
    <t>1. Prepare the state listed in Pre-conditions.
2. Call TaskServiceImpl.identifyDetail with: description = valid text; dueDate = tomorrow (min future).
3. Check the response / error and the log.</t>
  </si>
  <si>
    <t>FR3.6.1-11</t>
  </si>
  <si>
    <t>[Boundary] Identify Task Detail with description = valid text, dueDate = far future (1 year)</t>
  </si>
  <si>
    <t>1. Prepare the state listed in Pre-conditions.
2. Call TaskServiceImpl.identifyDetail with: description = valid text; dueDate = far future (1 year).
3. Check the response / error and the log.</t>
  </si>
  <si>
    <t>FR3.6.1-12</t>
  </si>
  <si>
    <t>[Abnormal] Identify Task Detail with description = valid text, dueDate = future date</t>
  </si>
  <si>
    <t>1. Prepare the state listed in Pre-conditions.
2. Call TaskServiceImpl.identifyDetail with: description = valid text; dueDate = future date.
3. Check the response / error and the log.</t>
  </si>
  <si>
    <t>Error: 409 TASK_NOT_IN_BACKLOG</t>
  </si>
  <si>
    <t>- Can connect with server
- User is MANAGER of workspace
- Task status is ASSIGNED</t>
  </si>
  <si>
    <t>FR3.6.1-13</t>
  </si>
  <si>
    <t>- Can connect with server
- User is MANAGER of workspace
- Task status is DETAIL_IDENTIFIED</t>
  </si>
  <si>
    <t>FR3.6.1-14</t>
  </si>
  <si>
    <t>Error: 403 FORBIDDEN - Your role does not have permission to perform this action</t>
  </si>
  <si>
    <t>- Can connect with server
- User is CREATOR of workspace
- Task status is BACKLOG</t>
  </si>
  <si>
    <t>FR3.6.1-15</t>
  </si>
  <si>
    <t>- Can connect with server
- User is CLIENT of workspace
- Task status is BACKLOG</t>
  </si>
  <si>
    <t>FR3.6.1-16</t>
  </si>
  <si>
    <t>Error: 403 WORKSPACE_ACCESS_DENIED - You do not have access to this workspace</t>
  </si>
  <si>
    <t>- Can connect with server
- User is not a member of workspace
- Task status is BACKLOG</t>
  </si>
  <si>
    <t>FR3.6.1-17</t>
  </si>
  <si>
    <t>Error: 404 TASK_NOT_FOUND - Task not found</t>
  </si>
  <si>
    <t>- Can connect with server
- User is MANAGER of workspace
- Task does not exist</t>
  </si>
  <si>
    <t>FR3.6.1-18</t>
  </si>
  <si>
    <t>[Abnormal] Identify Task Detail with description = null, dueDate = null</t>
  </si>
  <si>
    <t>1. Prepare the state listed in Pre-conditions.
2. Call TaskServiceImpl.identifyDetail with: description = null; dueDate = null.
3. Check the response / error and the log.</t>
  </si>
  <si>
    <t>Error: 400 VALIDATION_ERROR - Request validation failed</t>
  </si>
  <si>
    <t>- Can connect with server
- User is MANAGER of workspace
- Task status is BACKLOG</t>
  </si>
  <si>
    <t>FR3.6.2-01</t>
  </si>
  <si>
    <t>[Normal] Assign Task To Creator with assigneeId = valid creator, qcAssigneeId = null, requiresClientApproval = false</t>
  </si>
  <si>
    <t>1. Prepare the state listed in Pre-conditions.
2. Call TaskServiceImpl.assignTask with: assigneeId = valid creator; qcAssigneeId = null; requiresClientApproval = false.
3. Check the response / error and the log.</t>
  </si>
  <si>
    <t>200 OK - status=ASSIGNED, no QC step
Log: Notification sent to assignee</t>
  </si>
  <si>
    <t>- Can connect with server
- User is MANAGER of workspace
- Task status is DETAIL_IDENTIFIED
- assignee is MEMBER of workspace</t>
  </si>
  <si>
    <t>FR3.6.2-02</t>
  </si>
  <si>
    <t>[Normal] Assign Task To Creator with assigneeId = valid creator, qcAssigneeId = other valid creator, requiresClientApproval = false</t>
  </si>
  <si>
    <t>1. Prepare the state listed in Pre-conditions.
2. Call TaskServiceImpl.assignTask with: assigneeId = valid creator; qcAssigneeId = other valid creator; requiresClientApproval = false.
3. Check the response / error and the log.</t>
  </si>
  <si>
    <t>200 OK - status=ASSIGNED, QC step enabled
Log: Notification sent to assignee</t>
  </si>
  <si>
    <t>FR3.6.2-03</t>
  </si>
  <si>
    <t>[Normal] Assign Task To Creator with assigneeId = valid creator, qcAssigneeId = null, requiresClientApproval = true</t>
  </si>
  <si>
    <t>1. Prepare the state listed in Pre-conditions.
2. Call TaskServiceImpl.assignTask with: assigneeId = valid creator; qcAssigneeId = null; requiresClientApproval = true.
3. Check the response / error and the log.</t>
  </si>
  <si>
    <t>200 OK - status=ASSIGNED, client approval required
Log: Notification sent to assignee</t>
  </si>
  <si>
    <t>FR3.6.2-04</t>
  </si>
  <si>
    <t>[Normal] Assign Task To Creator with assigneeId = valid creator, qcAssigneeId = other valid creator, requiresClientApproval = true</t>
  </si>
  <si>
    <t>1. Prepare the state listed in Pre-conditions.
2. Call TaskServiceImpl.assignTask with: assigneeId = valid creator; qcAssigneeId = other valid creator; requiresClientApproval = true.
3. Check the response / error and the log.</t>
  </si>
  <si>
    <t>200 OK - ASSIGNED, QC + client approval
Log: Notification sent to assignee</t>
  </si>
  <si>
    <t>FR3.6.2-05</t>
  </si>
  <si>
    <t>[Normal] Assign Task To Creator with assigneeId = valid creator, requiresClientApproval = false</t>
  </si>
  <si>
    <t>1. Prepare the state listed in Pre-conditions.
2. Call TaskServiceImpl.assignTask with: assigneeId = valid creator; requiresClientApproval = false.
3. Check the response / error and the log.</t>
  </si>
  <si>
    <t>200 OK - ASSIGNED, qcAssigneeId omitted treated as null
Log: Notification sent to assignee</t>
  </si>
  <si>
    <t>FR3.6.2-06</t>
  </si>
  <si>
    <t>[Boundary] Assign Task To Creator with assigneeId = the only creator, requiresClientApproval = false</t>
  </si>
  <si>
    <t>1. Prepare the state listed in Pre-conditions.
2. Call TaskServiceImpl.assignTask with: assigneeId = the only creator; requiresClientApproval = false.
3. Check the response / error and the log.</t>
  </si>
  <si>
    <t>200 OK - status=ASSIGNED
Log: Notification sent to assignee</t>
  </si>
  <si>
    <t>- Can connect with server
- User is MANAGER of workspace
- Task status is DETAIL_IDENTIFIED
- workspace has only 1 creator</t>
  </si>
  <si>
    <t>FR3.6.2-07</t>
  </si>
  <si>
    <t>[Boundary] Assign Task To Creator with assigneeId = creator A, qcAssigneeId = creator B, requiresClientApproval = false</t>
  </si>
  <si>
    <t>1. Prepare the state listed in Pre-conditions.
2. Call TaskServiceImpl.assignTask with: assigneeId = creator A; qcAssigneeId = creator B; requiresClientApproval = false.
3. Check the response / error and the log.</t>
  </si>
  <si>
    <t>200 OK - QC is the last available creator
Log: Notification sent to assignee</t>
  </si>
  <si>
    <t>- Can connect with server
- User is MANAGER of workspace
- Task status is DETAIL_IDENTIFIED
- workspace has 2 creators</t>
  </si>
  <si>
    <t>FR3.6.2-08</t>
  </si>
  <si>
    <t>[Abnormal] Assign Task To Creator with assigneeId = user with role CLIENT, requiresClientApproval = false</t>
  </si>
  <si>
    <t>1. Prepare the state listed in Pre-conditions.
2. Call TaskServiceImpl.assignTask with: assigneeId = user with role CLIENT; requiresClientApproval = false.
3. Check the response / error and the log.</t>
  </si>
  <si>
    <t>Error: 400 INVALID_ASSIGNEE</t>
  </si>
  <si>
    <t>FR3.6.2-09</t>
  </si>
  <si>
    <t>[Abnormal] Assign Task To Creator with assigneeId = user not in workspace, requiresClientApproval = false</t>
  </si>
  <si>
    <t>1. Prepare the state listed in Pre-conditions.
2. Call TaskServiceImpl.assignTask with: assigneeId = user not in workspace; requiresClientApproval = false.
3. Check the response / error and the log.</t>
  </si>
  <si>
    <t>FR3.6.2-10</t>
  </si>
  <si>
    <t>[Abnormal] Assign Task To Creator with assigneeId = manager of workspace, requiresClientApproval = false</t>
  </si>
  <si>
    <t>1. Prepare the state listed in Pre-conditions.
2. Call TaskServiceImpl.assignTask with: assigneeId = manager of workspace; requiresClientApproval = false.
3. Check the response / error and the log.</t>
  </si>
  <si>
    <t>FR3.6.2-11</t>
  </si>
  <si>
    <t>[Abnormal] Assign Task To Creator with assigneeId = null, requiresClientApproval = false</t>
  </si>
  <si>
    <t>1. Prepare the state listed in Pre-conditions.
2. Call TaskServiceImpl.assignTask with: assigneeId = null; requiresClientApproval = false.
3. Check the response / error and the log.</t>
  </si>
  <si>
    <t>FR3.6.2-12</t>
  </si>
  <si>
    <t>[Abnormal] Assign Task To Creator with assigneeId = valid creator, qcAssigneeId = same as assignee, requiresClientApproval = false</t>
  </si>
  <si>
    <t>1. Prepare the state listed in Pre-conditions.
2. Call TaskServiceImpl.assignTask with: assigneeId = valid creator; qcAssigneeId = same as assignee; requiresClientApproval = false.
3. Check the response / error and the log.</t>
  </si>
  <si>
    <t>Error: 400 QC_CANNOT_BE_SAME_AS_ASSIGNEE</t>
  </si>
  <si>
    <t>FR3.6.2-13</t>
  </si>
  <si>
    <t>[Abnormal] Assign Task To Creator with assigneeId = valid creator, qcAssigneeId = user not in workspace, requiresClientApproval = false</t>
  </si>
  <si>
    <t>1. Prepare the state listed in Pre-conditions.
2. Call TaskServiceImpl.assignTask with: assigneeId = valid creator; qcAssigneeId = user not in workspace; requiresClientApproval = false.
3. Check the response / error and the log.</t>
  </si>
  <si>
    <t>FR3.6.2-14</t>
  </si>
  <si>
    <t>[Abnormal] Assign Task To Creator with assigneeId = valid creator, requiresClientApproval = false</t>
  </si>
  <si>
    <t>Error: 409 TASK_DETAIL_NOT_IDENTIFIED</t>
  </si>
  <si>
    <t>FR3.6.2-15</t>
  </si>
  <si>
    <t>- Can connect with server
- User is CREATOR of workspace
- Task status is DETAIL_IDENTIFIED</t>
  </si>
  <si>
    <t>FR3.6.2-16</t>
  </si>
  <si>
    <t>- Can connect with server
- User is CLIENT of workspace
- Task status is DETAIL_IDENTIFIED</t>
  </si>
  <si>
    <t>FR3.6.2-17</t>
  </si>
  <si>
    <t>FR3.6.2-18</t>
  </si>
  <si>
    <t>[Abnormal] Assign Task To Creator with assigneeId = valid creator, requiresClientApproval = null</t>
  </si>
  <si>
    <t>1. Prepare the state listed in Pre-conditions.
2. Call TaskServiceImpl.assignTask with: assigneeId = valid creator; requiresClientApproval = null.
3. Check the response / error and the log.</t>
  </si>
  <si>
    <t>FR3.6.3-01</t>
  </si>
  <si>
    <t>[Normal] Add Comments On Task with content = valid text</t>
  </si>
  <si>
    <t>1. Prepare the state listed in Pre-conditions.
2. Call TaskCommentServiceImpl.addComment with: content = valid text.
3. Check the response / error and the log.</t>
  </si>
  <si>
    <t>201 Created - CommentResponse(id, content, authorId, createdAt)</t>
  </si>
  <si>
    <t>- Can connect with server
- User is MANAGER of workspace
- Task exists in workspace</t>
  </si>
  <si>
    <t>FR3.6.3-02</t>
  </si>
  <si>
    <t>201 Created - CommentResponse</t>
  </si>
  <si>
    <t>- Can connect with server
- User is CREATOR of workspace
- Task exists in workspace</t>
  </si>
  <si>
    <t>FR3.6.3-03</t>
  </si>
  <si>
    <t>- Can connect with server
- User is CLIENT of workspace
- Task exists in workspace</t>
  </si>
  <si>
    <t>FR3.6.3-04</t>
  </si>
  <si>
    <t>201 Created - comment allowed regardless of approval flag</t>
  </si>
  <si>
    <t>- Can connect with server
- User is CLIENT of workspace
- Task exists in workspace
- Task requiresClientApproval=false</t>
  </si>
  <si>
    <t>FR3.6.3-05</t>
  </si>
  <si>
    <t>[Normal] Add Comments On Task with content = text with @mention of member</t>
  </si>
  <si>
    <t>1. Prepare the state listed in Pre-conditions.
2. Call TaskCommentServiceImpl.addComment with: content = text with @mention of member.
3. Check the response / error and the log.</t>
  </si>
  <si>
    <t>201 Created - CommentResponse
Log: Mentioned user notified</t>
  </si>
  <si>
    <t>FR3.6.3-06</t>
  </si>
  <si>
    <t>[Normal] Add Comments On Task with content = valid text, attachments = 1 image URL</t>
  </si>
  <si>
    <t>1. Prepare the state listed in Pre-conditions.
2. Call TaskCommentServiceImpl.addComment with: content = valid text; attachments = 1 image URL.
3. Check the response / error and the log.</t>
  </si>
  <si>
    <t>201 Created - CommentResponse with attachment</t>
  </si>
  <si>
    <t>FR3.6.3-07</t>
  </si>
  <si>
    <t>[Normal] Add Comments On Task with content = valid text, attachments = 2 reference links</t>
  </si>
  <si>
    <t>1. Prepare the state listed in Pre-conditions.
2. Call TaskCommentServiceImpl.addComment with: content = valid text; attachments = 2 reference links.
3. Check the response / error and the log.</t>
  </si>
  <si>
    <t>201 Created - CommentResponse with 2 attachments</t>
  </si>
  <si>
    <t>FR3.6.3-08</t>
  </si>
  <si>
    <t>[Normal] Add Comments On Task with taskId = valid task</t>
  </si>
  <si>
    <t>1. Prepare the state listed in Pre-conditions.
2. Call TaskCommentServiceImpl.addComment with: taskId = valid task.
3. Check the response / error and the log.</t>
  </si>
  <si>
    <t>200 OK - list of 3 comments ordered by createdAt asc</t>
  </si>
  <si>
    <t>- Can connect with server
- User is MANAGER of workspace
- Task exists in workspace
- Task has 3 comments</t>
  </si>
  <si>
    <t>FR3.6.3-09</t>
  </si>
  <si>
    <t>200 OK - empty list</t>
  </si>
  <si>
    <t>- Can connect with server
- User is MANAGER of workspace
- Task exists in workspace
- Task has no comments</t>
  </si>
  <si>
    <t>FR3.6.3-10</t>
  </si>
  <si>
    <t>[Boundary] Add Comments On Task with content = 1 char</t>
  </si>
  <si>
    <t>1. Prepare the state listed in Pre-conditions.
2. Call TaskCommentServiceImpl.addComment with: content = 1 char.
3. Check the response / error and the log.</t>
  </si>
  <si>
    <t>FR3.6.3-11</t>
  </si>
  <si>
    <t>[Boundary] Add Comments On Task with content = max length text</t>
  </si>
  <si>
    <t>1. Prepare the state listed in Pre-conditions.
2. Call TaskCommentServiceImpl.addComment with: content = max length text.
3. Check the response / error and the log.</t>
  </si>
  <si>
    <t>FR3.6.3-12</t>
  </si>
  <si>
    <t>[Boundary] Add Comments On Task with content = max length + 1 chars</t>
  </si>
  <si>
    <t>1. Prepare the state listed in Pre-conditions.
2. Call TaskCommentServiceImpl.addComment with: content = max length + 1 chars.
3. Check the response / error and the log.</t>
  </si>
  <si>
    <t>FR3.6.3-13</t>
  </si>
  <si>
    <t>[Boundary] Add Comments On Task with content = valid text, attachments = empty list</t>
  </si>
  <si>
    <t>1. Prepare the state listed in Pre-conditions.
2. Call TaskCommentServiceImpl.addComment with: content = valid text; attachments = empty list.
3. Check the response / error and the log.</t>
  </si>
  <si>
    <t>201 Created - CommentResponse without attachments</t>
  </si>
  <si>
    <t>FR3.6.3-14</t>
  </si>
  <si>
    <t>[Abnormal] Add Comments On Task with content = null</t>
  </si>
  <si>
    <t>1. Prepare the state listed in Pre-conditions.
2. Call TaskCommentServiceImpl.addComment with: content = null.
3. Check the response / error and the log.</t>
  </si>
  <si>
    <t>FR3.6.3-15</t>
  </si>
  <si>
    <t>[Abnormal] Add Comments On Task with content = empty</t>
  </si>
  <si>
    <t>1. Prepare the state listed in Pre-conditions.
2. Call TaskCommentServiceImpl.addComment with: content = empty.
3. Check the response / error and the log.</t>
  </si>
  <si>
    <t>FR3.6.3-16</t>
  </si>
  <si>
    <t>[Abnormal] Add Comments On Task with content = blank spaces only</t>
  </si>
  <si>
    <t>1. Prepare the state listed in Pre-conditions.
2. Call TaskCommentServiceImpl.addComment with: content = blank spaces only.
3. Check the response / error and the log.</t>
  </si>
  <si>
    <t>FR3.6.3-17</t>
  </si>
  <si>
    <t>[Abnormal] Add Comments On Task with content = valid text</t>
  </si>
  <si>
    <t>- Can connect with server
- User is not a member of workspace
- Task exists in workspace</t>
  </si>
  <si>
    <t>FR3.6.3-18</t>
  </si>
  <si>
    <t>FR3.6.3-19</t>
  </si>
  <si>
    <t>- Can connect with server
- User is MANAGER of workspace
- Task belongs to another workspace</t>
  </si>
  <si>
    <t>FR3.6.4-01</t>
  </si>
  <si>
    <t>[Normal] List Task View with view = list, sort = dueDate, order = asc</t>
  </si>
  <si>
    <t>1. Prepare the state listed in Pre-conditions.
2. Call TaskServiceImpl.listTasks with: view = list; sort = dueDate; order = asc; page = 0; size = 20.
3. Check the response / error and the log.</t>
  </si>
  <si>
    <t>200 OK - tasks sorted by dueDate asc</t>
  </si>
  <si>
    <t>- Can connect with server
- User is MANAGER of workspace
- Workspace has tasks</t>
  </si>
  <si>
    <t>FR3.6.4-02</t>
  </si>
  <si>
    <t>[Normal] List Task View with view = list, sort = dueDate, order = desc</t>
  </si>
  <si>
    <t>1. Prepare the state listed in Pre-conditions.
2. Call TaskServiceImpl.listTasks with: view = list; sort = dueDate; order = desc; page = 0; size = 20.
3. Check the response / error and the log.</t>
  </si>
  <si>
    <t>200 OK - tasks sorted by dueDate desc</t>
  </si>
  <si>
    <t>- Can connect with server
- User is CREATOR of workspace
- Workspace has tasks</t>
  </si>
  <si>
    <t>FR3.6.4-03</t>
  </si>
  <si>
    <t>[Normal] List Task View with view = list, page = 0, size = 20</t>
  </si>
  <si>
    <t>1. Prepare the state listed in Pre-conditions.
2. Call TaskServiceImpl.listTasks with: view = list; page = 0; size = 20.
3. Check the response / error and the log.</t>
  </si>
  <si>
    <t>200 OK - rows(id,title,type,assigneeName,status,dueDate)</t>
  </si>
  <si>
    <t>- Can connect with server
- User is CLIENT of workspace
- Workspace has tasks</t>
  </si>
  <si>
    <t>FR3.6.4-04</t>
  </si>
  <si>
    <t>[Normal] List Task View with view = list, sort = title, order = asc</t>
  </si>
  <si>
    <t>1. Prepare the state listed in Pre-conditions.
2. Call TaskServiceImpl.listTasks with: view = list; sort = title; order = asc; page = 0; size = 20.
3. Check the response / error and the log.</t>
  </si>
  <si>
    <t>200 OK - sorted by title</t>
  </si>
  <si>
    <t>FR3.6.4-05</t>
  </si>
  <si>
    <t>[Normal] List Task View with view = list, sort = status, order = asc</t>
  </si>
  <si>
    <t>1. Prepare the state listed in Pre-conditions.
2. Call TaskServiceImpl.listTasks with: view = list; sort = status; order = asc; page = 0; size = 20.
3. Check the response / error and the log.</t>
  </si>
  <si>
    <t>200 OK - sorted by status</t>
  </si>
  <si>
    <t>FR3.6.4-06</t>
  </si>
  <si>
    <t>200 OK - assigneeName null for backlog task</t>
  </si>
  <si>
    <t>- Can connect with server
- User is MANAGER of workspace
- Workspace has tasks
- Task has no assignee</t>
  </si>
  <si>
    <t>FR3.6.4-07</t>
  </si>
  <si>
    <t>[Normal] List Task View with view = list, page = 1, size = 20</t>
  </si>
  <si>
    <t>1. Prepare the state listed in Pre-conditions.
2. Call TaskServiceImpl.listTasks with: view = list; page = 1; size = 20.
3. Check the response / error and the log.</t>
  </si>
  <si>
    <t>200 OK - second page with 5 tasks</t>
  </si>
  <si>
    <t>- Can connect with server
- User is MANAGER of workspace
- Workspace has tasks
- 25 tasks in workspace</t>
  </si>
  <si>
    <t>FR3.6.4-08</t>
  </si>
  <si>
    <t>[Boundary] List Task View with view = list, page = 0, size = 20</t>
  </si>
  <si>
    <t>200 OK - 20 tasks, totalElements=25</t>
  </si>
  <si>
    <t>FR3.6.4-09</t>
  </si>
  <si>
    <t>200 OK - 20 tasks, 1 page</t>
  </si>
  <si>
    <t>- Can connect with server
- User is MANAGER of workspace
- Workspace has tasks
- Exactly 20 tasks in workspace</t>
  </si>
  <si>
    <t>FR3.6.4-10</t>
  </si>
  <si>
    <t>[Boundary] List Task View with view = list, page = 0, size = 1</t>
  </si>
  <si>
    <t>1. Prepare the state listed in Pre-conditions.
2. Call TaskServiceImpl.listTasks with: view = list; page = 0; size = 1.
3. Check the response / error and the log.</t>
  </si>
  <si>
    <t>200 OK - 1 task</t>
  </si>
  <si>
    <t>FR3.6.4-11</t>
  </si>
  <si>
    <t>[Boundary] List Task View with view = list, page = 99, size = 20</t>
  </si>
  <si>
    <t>1. Prepare the state listed in Pre-conditions.
2. Call TaskServiceImpl.listTasks with: view = list; page = 99; size = 20.
3. Check the response / error and the log.</t>
  </si>
  <si>
    <t>200 OK - empty page</t>
  </si>
  <si>
    <t>FR3.6.4-12</t>
  </si>
  <si>
    <t>200 OK - empty list (empty state)</t>
  </si>
  <si>
    <t>- Can connect with server
- User is MANAGER of workspace
- Workspace has no tasks</t>
  </si>
  <si>
    <t>FR3.6.4-13</t>
  </si>
  <si>
    <t>[Abnormal] List Task View with view = list</t>
  </si>
  <si>
    <t>1. Prepare the state listed in Pre-conditions.
2. Call TaskServiceImpl.listTasks with: view = list.
3. Check the response / error and the log.</t>
  </si>
  <si>
    <t>- Can connect with server
- User is not a member of workspace
- Workspace has tasks</t>
  </si>
  <si>
    <t>FR3.6.4-14</t>
  </si>
  <si>
    <t>[Abnormal] List Task View with view = list, sort = unknownField</t>
  </si>
  <si>
    <t>1. Prepare the state listed in Pre-conditions.
2. Call TaskServiceImpl.listTasks with: view = list; sort = unknownField.
3. Check the response / error and the log.</t>
  </si>
  <si>
    <t>FR3.6.4-15</t>
  </si>
  <si>
    <t>[Abnormal] List Task View with view = list, order = sideways</t>
  </si>
  <si>
    <t>1. Prepare the state listed in Pre-conditions.
2. Call TaskServiceImpl.listTasks with: view = list; order = sideways.
3. Check the response / error and the log.</t>
  </si>
  <si>
    <t>FR3.6.4-16</t>
  </si>
  <si>
    <t>[Abnormal] List Task View with view = list, page = -1, size = 20</t>
  </si>
  <si>
    <t>1. Prepare the state listed in Pre-conditions.
2. Call TaskServiceImpl.listTasks with: view = list; page = -1; size = 20.
3. Check the response / error and the log.</t>
  </si>
  <si>
    <t>FR3.6.4-17</t>
  </si>
  <si>
    <t>[Abnormal] List Task View with view = list, page = 0, size = 0</t>
  </si>
  <si>
    <t>1. Prepare the state listed in Pre-conditions.
2. Call TaskServiceImpl.listTasks with: view = list; page = 0; size = 0.
3. Check the response / error and the log.</t>
  </si>
  <si>
    <t>FR3.6.4-18</t>
  </si>
  <si>
    <t>Error: 404 WORKSPACE_NOT_FOUND - Workspace not found</t>
  </si>
  <si>
    <t>- Can connect with server
- User is MANAGER of workspace
- Workspace does not exist</t>
  </si>
  <si>
    <t>FR3.6.5-01</t>
  </si>
  <si>
    <t>[Normal] Calendar Task View with view = calendar, month = 2026-09</t>
  </si>
  <si>
    <t>1. Prepare the state listed in Pre-conditions.
2. Call TaskServiceImpl.listCalendarTasks / rescheduleTask with: view = calendar; month = 2026-09.
3. Check the response / error and the log.</t>
  </si>
  <si>
    <t>200 OK - tasks with dueDate in 2026-09</t>
  </si>
  <si>
    <t>FR3.6.5-02</t>
  </si>
  <si>
    <t>200 OK - tasks in month</t>
  </si>
  <si>
    <t>FR3.6.5-03</t>
  </si>
  <si>
    <t>200 OK - tasks in month (read only)</t>
  </si>
  <si>
    <t>FR3.6.5-04</t>
  </si>
  <si>
    <t>[Normal] Calendar Task View with view = calendar, month = 2026-01</t>
  </si>
  <si>
    <t>1. Prepare the state listed in Pre-conditions.
2. Call TaskServiceImpl.listCalendarTasks / rescheduleTask with: view = calendar; month = 2026-01.
3. Check the response / error and the log.</t>
  </si>
  <si>
    <t>- Can connect with server
- User is MANAGER of workspace
- Workspace has tasks
- No task due in month</t>
  </si>
  <si>
    <t>FR3.6.5-05</t>
  </si>
  <si>
    <t>[Normal] Calendar Task View with taskId = valid task, dueDate = future date</t>
  </si>
  <si>
    <t>1. Prepare the state listed in Pre-conditions.
2. Call TaskServiceImpl.listCalendarTasks / rescheduleTask with: taskId = valid task; dueDate = future date.
3. Check the response / error and the log.</t>
  </si>
  <si>
    <t>200 OK - dueDate updated</t>
  </si>
  <si>
    <t>- Can connect with server
- User is MANAGER of workspace
- Workspace has tasks
- Task has dueDate</t>
  </si>
  <si>
    <t>FR3.6.5-06</t>
  </si>
  <si>
    <t>- Can connect with server
- User is CREATOR of workspace
- Workspace has tasks
- Task has dueDate</t>
  </si>
  <si>
    <t>FR3.6.5-07</t>
  </si>
  <si>
    <t>[Normal] Calendar Task View with taskId = valid task, dueDate = past date, confirm = true</t>
  </si>
  <si>
    <t>1. Prepare the state listed in Pre-conditions.
2. Call TaskServiceImpl.listCalendarTasks / rescheduleTask with: taskId = valid task; dueDate = past date; confirm = true.
3. Check the response / error and the log.</t>
  </si>
  <si>
    <t>200 OK - dueDate updated after user confirmation</t>
  </si>
  <si>
    <t>FR3.6.5-08</t>
  </si>
  <si>
    <t>[Boundary] Calendar Task View with view = calendar, month = 2026-09</t>
  </si>
  <si>
    <t>200 OK - task on 30th included</t>
  </si>
  <si>
    <t>- Can connect with server
- User is MANAGER of workspace
- Workspace has tasks
- Task due on last day of month</t>
  </si>
  <si>
    <t>FR3.6.5-09</t>
  </si>
  <si>
    <t>200 OK - task on 1st included</t>
  </si>
  <si>
    <t>- Can connect with server
- User is MANAGER of workspace
- Workspace has tasks
- Task due on first day of month</t>
  </si>
  <si>
    <t>FR3.6.5-10</t>
  </si>
  <si>
    <t>[Boundary] Calendar Task View with view = calendar, month = 2028-02</t>
  </si>
  <si>
    <t>1. Prepare the state listed in Pre-conditions.
2. Call TaskServiceImpl.listCalendarTasks / rescheduleTask with: view = calendar; month = 2028-02.
3. Check the response / error and the log.</t>
  </si>
  <si>
    <t>200 OK - leap month handled, 29th included</t>
  </si>
  <si>
    <t>FR3.6.5-11</t>
  </si>
  <si>
    <t>200 OK - next month task excluded</t>
  </si>
  <si>
    <t>- Can connect with server
- User is MANAGER of workspace
- Workspace has tasks
- Task due on first day of next month</t>
  </si>
  <si>
    <t>FR3.6.5-12</t>
  </si>
  <si>
    <t>[Boundary] Calendar Task View with taskId = valid task, dueDate = same as current dueDate</t>
  </si>
  <si>
    <t>1. Prepare the state listed in Pre-conditions.
2. Call TaskServiceImpl.listCalendarTasks / rescheduleTask with: taskId = valid task; dueDate = same as current dueDate.
3. Check the response / error and the log.</t>
  </si>
  <si>
    <t>200 OK - dueDate unchanged</t>
  </si>
  <si>
    <t>FR3.6.5-13</t>
  </si>
  <si>
    <t>[Abnormal] Calendar Task View with taskId = valid task, dueDate = future date</t>
  </si>
  <si>
    <t>- Can connect with server
- User is CLIENT of workspace
- Workspace has tasks
- Task has dueDate</t>
  </si>
  <si>
    <t>FR3.6.5-14</t>
  </si>
  <si>
    <t>[Abnormal] Calendar Task View with view = calendar, month = 2026-13</t>
  </si>
  <si>
    <t>1. Prepare the state listed in Pre-conditions.
2. Call TaskServiceImpl.listCalendarTasks / rescheduleTask with: view = calendar; month = 2026-13.
3. Check the response / error and the log.</t>
  </si>
  <si>
    <t>FR3.6.5-15</t>
  </si>
  <si>
    <t>[Abnormal] Calendar Task View with view = calendar, month = abc</t>
  </si>
  <si>
    <t>1. Prepare the state listed in Pre-conditions.
2. Call TaskServiceImpl.listCalendarTasks / rescheduleTask with: view = calendar; month = abc.
3. Check the response / error and the log.</t>
  </si>
  <si>
    <t>FR3.6.5-16</t>
  </si>
  <si>
    <t>[Abnormal] Calendar Task View with taskId = valid task, dueDate = null</t>
  </si>
  <si>
    <t>1. Prepare the state listed in Pre-conditions.
2. Call TaskServiceImpl.listCalendarTasks / rescheduleTask with: taskId = valid task; dueDate = null.
3. Check the response / error and the log.</t>
  </si>
  <si>
    <t>Error: 400 DATE_REQUIRED - A required date parameter is missing</t>
  </si>
  <si>
    <t>FR3.6.5-17</t>
  </si>
  <si>
    <t>[Abnormal] Calendar Task View with taskId = valid task, dueDate = invalid format</t>
  </si>
  <si>
    <t>1. Prepare the state listed in Pre-conditions.
2. Call TaskServiceImpl.listCalendarTasks / rescheduleTask with: taskId = valid task; dueDate = invalid format.
3. Check the response / error and the log.</t>
  </si>
  <si>
    <t>FR3.6.5-18</t>
  </si>
  <si>
    <t>[Abnormal] Calendar Task View with taskId = non-existing task, dueDate = future date</t>
  </si>
  <si>
    <t>1. Prepare the state listed in Pre-conditions.
2. Call TaskServiceImpl.listCalendarTasks / rescheduleTask with: taskId = non-existing task; dueDate = future date.
3. Check the response / error and the log.</t>
  </si>
  <si>
    <t>FR3.6.5-19</t>
  </si>
  <si>
    <t>[Abnormal] Calendar Task View with view = calendar, month = 2026-09</t>
  </si>
  <si>
    <t>FR3.6.6-01</t>
  </si>
  <si>
    <t>[Normal] Gantt Timeline Task View with view = gantt</t>
  </si>
  <si>
    <t>1. Prepare the state listed in Pre-conditions.
2. Call TaskServiceImpl.listGanttTasks with: view = gantt.
3. Check the response / error and the log.</t>
  </si>
  <si>
    <t>200 OK - tasks(id,title,startDate,dueDate,progressPercent)</t>
  </si>
  <si>
    <t>FR3.6.6-02</t>
  </si>
  <si>
    <t>200 OK - timeline tasks</t>
  </si>
  <si>
    <t>FR3.6.6-03</t>
  </si>
  <si>
    <t>FR3.6.6-04</t>
  </si>
  <si>
    <t>[Normal] Gantt Timeline Task View with view = gantt, campaignId = valid campaign</t>
  </si>
  <si>
    <t>1. Prepare the state listed in Pre-conditions.
2. Call TaskServiceImpl.listGanttTasks with: view = gantt; campaignId = valid campaign.
3. Check the response / error and the log.</t>
  </si>
  <si>
    <t>200 OK - only 3 campaign tasks</t>
  </si>
  <si>
    <t>- Can connect with server
- User is MANAGER of workspace
- Workspace has tasks
- Campaign has 3 tasks</t>
  </si>
  <si>
    <t>FR3.6.6-05</t>
  </si>
  <si>
    <t>200 OK - bar from startDate to dueDate</t>
  </si>
  <si>
    <t>- Can connect with server
- User is MANAGER of workspace
- Workspace has tasks
- Task has startDate and dueDate</t>
  </si>
  <si>
    <t>FR3.6.6-06</t>
  </si>
  <si>
    <t>200 OK - progressPercent mapped from status</t>
  </si>
  <si>
    <t>- Can connect with server
- User is MANAGER of workspace
- Workspace has tasks
- Task status is IN_PROGRESS</t>
  </si>
  <si>
    <t>FR3.6.6-07</t>
  </si>
  <si>
    <t>200 OK - progressPercent=100</t>
  </si>
  <si>
    <t>- Can connect with server
- User is MANAGER of workspace
- Workspace has tasks
- Task status is COMPLETED</t>
  </si>
  <si>
    <t>FR3.6.6-08</t>
  </si>
  <si>
    <t>[Boundary] Gantt Timeline Task View with view = gantt</t>
  </si>
  <si>
    <t>200 OK - milestone (startDate null or = dueDate)</t>
  </si>
  <si>
    <t>- Can connect with server
- User is MANAGER of workspace
- Workspace has tasks
- Task has no startDate</t>
  </si>
  <si>
    <t>FR3.6.6-09</t>
  </si>
  <si>
    <t>200 OK - progressPercent=0</t>
  </si>
  <si>
    <t>- Can connect with server
- User is MANAGER of workspace
- Workspace has tasks
- Task status is BACKLOG</t>
  </si>
  <si>
    <t>FR3.6.6-10</t>
  </si>
  <si>
    <t>200 OK - one-day bar</t>
  </si>
  <si>
    <t>- Can connect with server
- User is MANAGER of workspace
- Workspace has tasks
- Task startDate equals dueDate</t>
  </si>
  <si>
    <t>FR3.6.6-11</t>
  </si>
  <si>
    <t>FR3.6.6-12</t>
  </si>
  <si>
    <t>[Boundary] Gantt Timeline Task View with view = gantt, campaignId = empty campaign</t>
  </si>
  <si>
    <t>1. Prepare the state listed in Pre-conditions.
2. Call TaskServiceImpl.listGanttTasks with: view = gantt; campaignId = empty campaign.
3. Check the response / error and the log.</t>
  </si>
  <si>
    <t>- Can connect with server
- User is MANAGER of workspace
- Workspace has tasks
- Campaign has no tasks</t>
  </si>
  <si>
    <t>FR3.6.6-13</t>
  </si>
  <si>
    <t>[Abnormal] Gantt Timeline Task View with view = gantt</t>
  </si>
  <si>
    <t>FR3.6.6-14</t>
  </si>
  <si>
    <t>[Abnormal] Gantt Timeline Task View with view = gantt, campaignId = non-existing campaign</t>
  </si>
  <si>
    <t>1. Prepare the state listed in Pre-conditions.
2. Call TaskServiceImpl.listGanttTasks with: view = gantt; campaignId = non-existing campaign.
3. Check the response / error and the log.</t>
  </si>
  <si>
    <t>Error: 404 CAMPAIGN_NOT_FOUND</t>
  </si>
  <si>
    <t>FR3.6.6-15</t>
  </si>
  <si>
    <t>[Abnormal] Gantt Timeline Task View with view = gantt, campaignId = malformed id</t>
  </si>
  <si>
    <t>1. Prepare the state listed in Pre-conditions.
2. Call TaskServiceImpl.listGanttTasks with: view = gantt; campaignId = malformed id.
3. Check the response / error and the log.</t>
  </si>
  <si>
    <t>FR3.6.6-16</t>
  </si>
  <si>
    <t>[Abnormal] Gantt Timeline Task View with view = gantt, campaignId = foreign campaign</t>
  </si>
  <si>
    <t>1. Prepare the state listed in Pre-conditions.
2. Call TaskServiceImpl.listGanttTasks with: view = gantt; campaignId = foreign campaign.
3. Check the response / error and the log.</t>
  </si>
  <si>
    <t>FR3.6.6-17</t>
  </si>
  <si>
    <t>FR3.6.7-01</t>
  </si>
  <si>
    <t>[Normal] Kanban Board Task View with view = kanban, groupBy = status</t>
  </si>
  <si>
    <t>1. Prepare the state listed in Pre-conditions.
2. Call TaskServiceImpl.getKanbanBoard / moveTask with: view = kanban; groupBy = status.
3. Check the response / error and the log.</t>
  </si>
  <si>
    <t>200 OK - columns Backlog/Assigned/In Progress/Review/Completed</t>
  </si>
  <si>
    <t>FR3.6.7-02</t>
  </si>
  <si>
    <t>[Normal] Kanban Board Task View with view = kanban, groupBy = assignee</t>
  </si>
  <si>
    <t>1. Prepare the state listed in Pre-conditions.
2. Call TaskServiceImpl.getKanbanBoard / moveTask with: view = kanban; groupBy = assignee.
3. Check the response / error and the log.</t>
  </si>
  <si>
    <t>200 OK - one column per assignee</t>
  </si>
  <si>
    <t>FR3.6.7-03</t>
  </si>
  <si>
    <t>[Normal] Kanban Board Task View with view = kanban, groupBy = type</t>
  </si>
  <si>
    <t>1. Prepare the state listed in Pre-conditions.
2. Call TaskServiceImpl.getKanbanBoard / moveTask with: view = kanban; groupBy = type.
3. Check the response / error and the log.</t>
  </si>
  <si>
    <t>200 OK - columns Post/Livestream/Survey</t>
  </si>
  <si>
    <t>FR3.6.7-04</t>
  </si>
  <si>
    <t>[Normal] Kanban Board Task View with view = kanban, groupBy = campaign</t>
  </si>
  <si>
    <t>1. Prepare the state listed in Pre-conditions.
2. Call TaskServiceImpl.getKanbanBoard / moveTask with: view = kanban; groupBy = campaign.
3. Check the response / error and the log.</t>
  </si>
  <si>
    <t>200 OK - one column per campaign</t>
  </si>
  <si>
    <t>FR3.6.7-05</t>
  </si>
  <si>
    <t>200 OK - read only board</t>
  </si>
  <si>
    <t>FR3.6.7-06</t>
  </si>
  <si>
    <t>[Normal] Kanban Board Task View with taskId = valid task, targetColumn = In Progress</t>
  </si>
  <si>
    <t>1. Prepare the state listed in Pre-conditions.
2. Call TaskServiceImpl.getKanbanBoard / moveTask with: taskId = valid task; targetColumn = In Progress.
3. Check the response / error and the log.</t>
  </si>
  <si>
    <t>200 OK - status=IN_PROGRESS</t>
  </si>
  <si>
    <t>- Can connect with server
- User is MANAGER of workspace
- Workspace has tasks
- Task status is ASSIGNED</t>
  </si>
  <si>
    <t>FR3.6.7-07</t>
  </si>
  <si>
    <t>- Can connect with server
- User is CREATOR of workspace
- Workspace has tasks
- Task status is ASSIGNED, user is assignee</t>
  </si>
  <si>
    <t>FR3.6.7-08</t>
  </si>
  <si>
    <t>[Normal] Kanban Board Task View with taskId = valid task, targetColumn = Completed</t>
  </si>
  <si>
    <t>1. Prepare the state listed in Pre-conditions.
2. Call TaskServiceImpl.getKanbanBoard / moveTask with: taskId = valid task; targetColumn = Completed.
3. Check the response / error and the log.</t>
  </si>
  <si>
    <t>200 OK - client approve, status=COMPLETED</t>
  </si>
  <si>
    <t>- Can connect with server
- User is CLIENT of workspace
- Workspace has tasks
- Task in CLIENT_REVIEW</t>
  </si>
  <si>
    <t>FR3.6.7-09</t>
  </si>
  <si>
    <t>[Normal] Kanban Board Task View with taskId = valid task, targetColumn = Reject</t>
  </si>
  <si>
    <t>1. Prepare the state listed in Pre-conditions.
2. Call TaskServiceImpl.getKanbanBoard / moveTask with: taskId = valid task; targetColumn = Reject.
3. Check the response / error and the log.</t>
  </si>
  <si>
    <t>200 OK - maps to reject, status=ASSIGNED</t>
  </si>
  <si>
    <t>FR3.6.7-10</t>
  </si>
  <si>
    <t>[Boundary] Kanban Board Task View with view = kanban, groupBy = status</t>
  </si>
  <si>
    <t>200 OK - all columns empty</t>
  </si>
  <si>
    <t>FR3.6.7-11</t>
  </si>
  <si>
    <t>[Boundary] Kanban Board Task View with view = kanban, groupBy = assignee</t>
  </si>
  <si>
    <t>200 OK - task placed in Unassigned column</t>
  </si>
  <si>
    <t>FR3.6.7-12</t>
  </si>
  <si>
    <t>[Abnormal] Kanban Board Task View with taskId = valid task, targetColumn = Completed</t>
  </si>
  <si>
    <t>Error: 409 INVALID_STATUS_TRANSITION</t>
  </si>
  <si>
    <t>FR3.6.7-13</t>
  </si>
  <si>
    <t>[Abnormal] Kanban Board Task View with taskId = valid task, targetColumn = Review</t>
  </si>
  <si>
    <t>1. Prepare the state listed in Pre-conditions.
2. Call TaskServiceImpl.getKanbanBoard / moveTask with: taskId = valid task; targetColumn = Review.
3. Check the response / error and the log.</t>
  </si>
  <si>
    <t>FR3.6.7-14</t>
  </si>
  <si>
    <t>[Abnormal] Kanban Board Task View with taskId = valid task, targetColumn = In Progress</t>
  </si>
  <si>
    <t>- Can connect with server
- User is CLIENT of workspace
- Workspace has tasks
- Task status is ASSIGNED</t>
  </si>
  <si>
    <t>FR3.6.7-15</t>
  </si>
  <si>
    <t>Error: 403 WRONG_APPROVAL_STEP</t>
  </si>
  <si>
    <t>- Can connect with server
- User is CLIENT of workspace
- Workspace has tasks
- Task in QC_REVIEW</t>
  </si>
  <si>
    <t>FR3.6.7-16</t>
  </si>
  <si>
    <t>[Abnormal] Kanban Board Task View with view = kanban, groupBy = unknown</t>
  </si>
  <si>
    <t>1. Prepare the state listed in Pre-conditions.
2. Call TaskServiceImpl.getKanbanBoard / moveTask with: view = kanban; groupBy = unknown.
3. Check the response / error and the log.</t>
  </si>
  <si>
    <t>FR3.6.7-17</t>
  </si>
  <si>
    <t>[Abnormal] Kanban Board Task View with taskId = non-existing task, targetColumn = In Progress</t>
  </si>
  <si>
    <t>1. Prepare the state listed in Pre-conditions.
2. Call TaskServiceImpl.getKanbanBoard / moveTask with: taskId = non-existing task; targetColumn = In Progress.
3. Check the response / error and the log.</t>
  </si>
  <si>
    <t>FR3.6.7-18</t>
  </si>
  <si>
    <t>[Abnormal] Kanban Board Task View with view = kanban, groupBy = status</t>
  </si>
  <si>
    <t>FR3.6.8-01</t>
  </si>
  <si>
    <t>[Normal] View Task Filter with type = post</t>
  </si>
  <si>
    <t>1. Prepare the state listed in Pre-conditions.
2. Call TaskServiceImpl.searchTasks with: type = post.
3. Check the response / error and the log.</t>
  </si>
  <si>
    <t>200 OK - only POST tasks</t>
  </si>
  <si>
    <t>FR3.6.8-02</t>
  </si>
  <si>
    <t>[Normal] View Task Filter with status = in_progress</t>
  </si>
  <si>
    <t>1. Prepare the state listed in Pre-conditions.
2. Call TaskServiceImpl.searchTasks with: status = in_progress.
3. Check the response / error and the log.</t>
  </si>
  <si>
    <t>200 OK - only IN_PROGRESS tasks</t>
  </si>
  <si>
    <t>FR3.6.8-03</t>
  </si>
  <si>
    <t>[Normal] View Task Filter with assigneeId = valid creator</t>
  </si>
  <si>
    <t>1. Prepare the state listed in Pre-conditions.
2. Call TaskServiceImpl.searchTasks with: assigneeId = valid creator.
3. Check the response / error and the log.</t>
  </si>
  <si>
    <t>200 OK - only tasks of the assignee</t>
  </si>
  <si>
    <t>FR3.6.8-04</t>
  </si>
  <si>
    <t>[Normal] View Task Filter with dueFrom = 2026-09-01, dueTo = 2026-09-30</t>
  </si>
  <si>
    <t>1. Prepare the state listed in Pre-conditions.
2. Call TaskServiceImpl.searchTasks with: dueFrom = 2026-09-01; dueTo = 2026-09-30.
3. Check the response / error and the log.</t>
  </si>
  <si>
    <t>200 OK - tasks due in range</t>
  </si>
  <si>
    <t>FR3.6.8-05</t>
  </si>
  <si>
    <t>[Normal] View Task Filter with campaignId = valid campaign</t>
  </si>
  <si>
    <t>1. Prepare the state listed in Pre-conditions.
2. Call TaskServiceImpl.searchTasks with: campaignId = valid campaign.
3. Check the response / error and the log.</t>
  </si>
  <si>
    <t>200 OK - only campaign tasks</t>
  </si>
  <si>
    <t>FR3.6.8-06</t>
  </si>
  <si>
    <t>[Normal] View Task Filter with search = launch</t>
  </si>
  <si>
    <t>1. Prepare the state listed in Pre-conditions.
2. Call TaskServiceImpl.searchTasks with: search = launch.
3. Check the response / error and the log.</t>
  </si>
  <si>
    <t>200 OK - tasks whose title/description contains keyword</t>
  </si>
  <si>
    <t>FR3.6.8-07</t>
  </si>
  <si>
    <t>[Normal] View Task Filter with search = LAUNCH</t>
  </si>
  <si>
    <t>1. Prepare the state listed in Pre-conditions.
2. Call TaskServiceImpl.searchTasks with: search = LAUNCH.
3. Check the response / error and the log.</t>
  </si>
  <si>
    <t>200 OK - search is case-insensitive</t>
  </si>
  <si>
    <t>FR3.6.8-08</t>
  </si>
  <si>
    <t>[Normal] View Task Filter with type = post, status = in_progress, search = launch</t>
  </si>
  <si>
    <t>1. Prepare the state listed in Pre-conditions.
2. Call TaskServiceImpl.searchTasks with: type = post; status = in_progress; search = launch.
3. Check the response / error and the log.</t>
  </si>
  <si>
    <t>200 OK - AND logic, tasks matching all filters</t>
  </si>
  <si>
    <t>FR3.6.8-09</t>
  </si>
  <si>
    <t>[Normal] View Task Filter</t>
  </si>
  <si>
    <t>1. Prepare the state listed in Pre-conditions.
2. Call TaskServiceImpl.searchTasks with: no input.
3. Check the response / error and the log.</t>
  </si>
  <si>
    <t>200 OK - all tasks, no filter</t>
  </si>
  <si>
    <t>FR3.6.8-10</t>
  </si>
  <si>
    <t>[Boundary] View Task Filter with dueFrom = 2026-09-15, dueTo = 2026-09-15</t>
  </si>
  <si>
    <t>1. Prepare the state listed in Pre-conditions.
2. Call TaskServiceImpl.searchTasks with: dueFrom = 2026-09-15; dueTo = 2026-09-15.
3. Check the response / error and the log.</t>
  </si>
  <si>
    <t>200 OK - single-day range</t>
  </si>
  <si>
    <t>FR3.6.8-11</t>
  </si>
  <si>
    <t>[Boundary] View Task Filter with search = 1 char</t>
  </si>
  <si>
    <t>1. Prepare the state listed in Pre-conditions.
2. Call TaskServiceImpl.searchTasks with: search = 1 char.
3. Check the response / error and the log.</t>
  </si>
  <si>
    <t>200 OK - matches</t>
  </si>
  <si>
    <t>FR3.6.8-12</t>
  </si>
  <si>
    <t>[Boundary] View Task Filter with search = empty</t>
  </si>
  <si>
    <t>1. Prepare the state listed in Pre-conditions.
2. Call TaskServiceImpl.searchTasks with: search = empty.
3. Check the response / error and the log.</t>
  </si>
  <si>
    <t>200 OK - empty search ignored, all tasks</t>
  </si>
  <si>
    <t>FR3.6.8-13</t>
  </si>
  <si>
    <t>[Boundary] View Task Filter with type = livestream, status = completed, search = no match</t>
  </si>
  <si>
    <t>1. Prepare the state listed in Pre-conditions.
2. Call TaskServiceImpl.searchTasks with: type = livestream; status = completed; search = no match.
3. Check the response / error and the log.</t>
  </si>
  <si>
    <t>FR3.6.8-14</t>
  </si>
  <si>
    <t>[Boundary] View Task Filter with dueFrom = 2026-09-30</t>
  </si>
  <si>
    <t>1. Prepare the state listed in Pre-conditions.
2. Call TaskServiceImpl.searchTasks with: dueFrom = 2026-09-30.
3. Check the response / error and the log.</t>
  </si>
  <si>
    <t>200 OK - open-ended range, tasks due on/after date</t>
  </si>
  <si>
    <t>FR3.6.8-15</t>
  </si>
  <si>
    <t>[Abnormal] View Task Filter with type = unknown</t>
  </si>
  <si>
    <t>1. Prepare the state listed in Pre-conditions.
2. Call TaskServiceImpl.searchTasks with: type = unknown.
3. Check the response / error and the log.</t>
  </si>
  <si>
    <t>FR3.6.8-16</t>
  </si>
  <si>
    <t>[Abnormal] View Task Filter with status = unknown</t>
  </si>
  <si>
    <t>1. Prepare the state listed in Pre-conditions.
2. Call TaskServiceImpl.searchTasks with: status = unknown.
3. Check the response / error and the log.</t>
  </si>
  <si>
    <t>FR3.6.8-17</t>
  </si>
  <si>
    <t>[Abnormal] View Task Filter with dueFrom = 2026-09-30, dueTo = 2026-09-01</t>
  </si>
  <si>
    <t>1. Prepare the state listed in Pre-conditions.
2. Call TaskServiceImpl.searchTasks with: dueFrom = 2026-09-30; dueTo = 2026-09-01.
3. Check the response / error and the log.</t>
  </si>
  <si>
    <t>Error: 400 INVALID_DATE_RANGE - Date range is invalid</t>
  </si>
  <si>
    <t>FR3.6.8-18</t>
  </si>
  <si>
    <t>[Abnormal] View Task Filter with assigneeId = malformed id</t>
  </si>
  <si>
    <t>1. Prepare the state listed in Pre-conditions.
2. Call TaskServiceImpl.searchTasks with: assigneeId = malformed id.
3. Check the response / error and the log.</t>
  </si>
  <si>
    <t>FR3.6.8-19</t>
  </si>
  <si>
    <t>[Abnormal] View Task Filter with type = post</t>
  </si>
  <si>
    <t>FR3.6.9-01</t>
  </si>
  <si>
    <t>[Normal] Approval Sequence (Creator -&gt; Manager -&gt; Client) with action = submit</t>
  </si>
  <si>
    <t>1. Prepare the state listed in Pre-conditions.
2. Call TaskApprovalServiceImpl.approve with: action = submit.
3. Check the response / error and the log.</t>
  </si>
  <si>
    <t>200 OK - status=MANAGER_REVIEW</t>
  </si>
  <si>
    <t>- Can connect with server
- User is CREATOR of workspace
- Task status is ASSIGNED, no QC, no client approval</t>
  </si>
  <si>
    <t>FR3.6.9-02</t>
  </si>
  <si>
    <t>200 OK - status=QC_REVIEW</t>
  </si>
  <si>
    <t>- Can connect with server
- User is CREATOR of workspace
- Task status is ASSIGNED, QC assigned</t>
  </si>
  <si>
    <t>FR3.6.9-03</t>
  </si>
  <si>
    <t>200 OK - status=MANAGER_REVIEW (skip QC)</t>
  </si>
  <si>
    <t>- Can connect with server
- User is CREATOR of workspace
- Task status is ASSIGNED, QC approval already passed</t>
  </si>
  <si>
    <t>FR3.6.9-04</t>
  </si>
  <si>
    <t>200 OK - status=CLIENT_REVIEW (skip QC, Manager)</t>
  </si>
  <si>
    <t>- Can connect with server
- User is CREATOR of workspace
- Task status is ASSIGNED, QC and Manager approvals passed</t>
  </si>
  <si>
    <t>FR3.6.9-05</t>
  </si>
  <si>
    <t>[Normal] Approval Sequence (Creator -&gt; Manager -&gt; Client) with action = approve, step = qc</t>
  </si>
  <si>
    <t>1. Prepare the state listed in Pre-conditions.
2. Call TaskApprovalServiceImpl.approve with: action = approve; step = qc.
3. Check the response / error and the log.</t>
  </si>
  <si>
    <t>- Can connect with server
- User is QC assignee
- Task status is QC_REVIEW</t>
  </si>
  <si>
    <t>FR3.6.9-06</t>
  </si>
  <si>
    <t>[Normal] Approval Sequence (Creator -&gt; Manager -&gt; Client) with action = approve, step = manager</t>
  </si>
  <si>
    <t>1. Prepare the state listed in Pre-conditions.
2. Call TaskApprovalServiceImpl.approve with: action = approve; step = manager.
3. Check the response / error and the log.</t>
  </si>
  <si>
    <t>200 OK - status=COMPLETED</t>
  </si>
  <si>
    <t>- Can connect with server
- User is MANAGER of workspace
- Task status is MANAGER_REVIEW, no client approval</t>
  </si>
  <si>
    <t>FR3.6.9-07</t>
  </si>
  <si>
    <t>200 OK - status=CLIENT_REVIEW</t>
  </si>
  <si>
    <t>- Can connect with server
- User is MANAGER of workspace
- Task status is MANAGER_REVIEW, requiresClientApproval=true</t>
  </si>
  <si>
    <t>FR3.6.9-08</t>
  </si>
  <si>
    <t>[Normal] Approval Sequence (Creator -&gt; Manager -&gt; Client) with action = approve, step = client</t>
  </si>
  <si>
    <t>1. Prepare the state listed in Pre-conditions.
2. Call TaskApprovalServiceImpl.approve with: action = approve; step = client.
3. Check the response / error and the log.</t>
  </si>
  <si>
    <t>- Can connect with server
- User is CLIENT of workspace
- Task status is CLIENT_REVIEW</t>
  </si>
  <si>
    <t>FR3.6.9-09</t>
  </si>
  <si>
    <t>[Normal] Approval Sequence (Creator -&gt; Manager -&gt; Client) with action = reject, step = qc, reason = needs fix</t>
  </si>
  <si>
    <t>1. Prepare the state listed in Pre-conditions.
2. Call TaskApprovalServiceImpl.approve with: action = reject; step = qc; reason = needs fix.
3. Check the response / error and the log.</t>
  </si>
  <si>
    <t>200 OK - status=ASSIGNED</t>
  </si>
  <si>
    <t>FR3.6.9-10</t>
  </si>
  <si>
    <t>[Normal] Approval Sequence (Creator -&gt; Manager -&gt; Client) with action = reject, step = manager, reason = needs fix</t>
  </si>
  <si>
    <t>1. Prepare the state listed in Pre-conditions.
2. Call TaskApprovalServiceImpl.approve with: action = reject; step = manager; reason = needs fix.
3. Check the response / error and the log.</t>
  </si>
  <si>
    <t>200 OK - status=ASSIGNED, QC approval kept</t>
  </si>
  <si>
    <t>- Can connect with server
- User is MANAGER of workspace
- Task status is MANAGER_REVIEW, QC approved</t>
  </si>
  <si>
    <t>FR3.6.9-11</t>
  </si>
  <si>
    <t>[Normal] Approval Sequence (Creator -&gt; Manager -&gt; Client) with action = reject, step = client, reason = needs fix</t>
  </si>
  <si>
    <t>1. Prepare the state listed in Pre-conditions.
2. Call TaskApprovalServiceImpl.approve with: action = reject; step = client; reason = needs fix.
3. Check the response / error and the log.</t>
  </si>
  <si>
    <t>200 OK - status=ASSIGNED, Manager approval kept</t>
  </si>
  <si>
    <t>- Can connect with server
- User is CLIENT of workspace
- Task status is CLIENT_REVIEW, Manager approved</t>
  </si>
  <si>
    <t>FR3.6.9-12</t>
  </si>
  <si>
    <t>[Normal] Approval Sequence (Creator -&gt; Manager -&gt; Client) with action = list approvals</t>
  </si>
  <si>
    <t>1. Prepare the state listed in Pre-conditions.
2. Call TaskApprovalServiceImpl.approve with: action = list approvals.
3. Check the response / error and the log.</t>
  </si>
  <si>
    <t>200 OK - list(step, action, actorId, comment, createdAt)</t>
  </si>
  <si>
    <t>- Can connect with server
- User is MANAGER of workspace
- Task has 3 approval records</t>
  </si>
  <si>
    <t>FR3.6.9-13</t>
  </si>
  <si>
    <t>[Boundary] Approval Sequence (Creator -&gt; Manager -&gt; Client) with action = submit, path = shortest chain</t>
  </si>
  <si>
    <t>1. Prepare the state listed in Pre-conditions.
2. Call TaskApprovalServiceImpl.approve with: action = submit; path = shortest chain.
3. Check the response / error and the log.</t>
  </si>
  <si>
    <t>200 OK - submit then manager approve gives COMPLETED (2 steps)</t>
  </si>
  <si>
    <t>FR3.6.9-14</t>
  </si>
  <si>
    <t>[Boundary] Approval Sequence (Creator -&gt; Manager -&gt; Client) with action = reject, step = manager, reason = 1 char</t>
  </si>
  <si>
    <t>1. Prepare the state listed in Pre-conditions.
2. Call TaskApprovalServiceImpl.approve with: action = reject; step = manager; reason = 1 char.
3. Check the response / error and the log.</t>
  </si>
  <si>
    <t>- Can connect with server
- User is MANAGER of workspace
- Task status is MANAGER_REVIEW</t>
  </si>
  <si>
    <t>FR3.6.9-15</t>
  </si>
  <si>
    <t>[Abnormal] Approval Sequence (Creator -&gt; Manager -&gt; Client) with action = approve, step = client</t>
  </si>
  <si>
    <t>- Can connect with server
- User is CLIENT of workspace
- Task status is QC_REVIEW</t>
  </si>
  <si>
    <t>FR3.6.9-16</t>
  </si>
  <si>
    <t>[Abnormal] Approval Sequence (Creator -&gt; Manager -&gt; Client) with action = approve, step = manager</t>
  </si>
  <si>
    <t>- Can connect with server
- User is MANAGER of workspace
- Task status is QC_REVIEW</t>
  </si>
  <si>
    <t>FR3.6.9-17</t>
  </si>
  <si>
    <t>[Abnormal] Approval Sequence (Creator -&gt; Manager -&gt; Client) with action = approve, step = qc</t>
  </si>
  <si>
    <t>- Can connect with server
- User is another creator (not QC)
- Task status is QC_REVIEW</t>
  </si>
  <si>
    <t>FR3.6.9-18</t>
  </si>
  <si>
    <t>Error: 409 TASK_NOT_SUBMITTED</t>
  </si>
  <si>
    <t>- Can connect with server
- User is MANAGER of workspace
- Task status is ASSIGNED (not submitted)</t>
  </si>
  <si>
    <t>FR3.6.9-19</t>
  </si>
  <si>
    <t>[Abnormal] Approval Sequence (Creator -&gt; Manager -&gt; Client) with action = reject, step = manager, reason = null</t>
  </si>
  <si>
    <t>1. Prepare the state listed in Pre-conditions.
2. Call TaskApprovalServiceImpl.approve with: action = reject; step = manager; reason = null.
3. Check the response / error and the log.</t>
  </si>
  <si>
    <t>FR3.6.9-20</t>
  </si>
  <si>
    <t>[Abnormal] Approval Sequence (Creator -&gt; Manager -&gt; Client) with action = submit</t>
  </si>
  <si>
    <t>- Can connect with server
- User is CREATOR of workspace
- User is not the assignee</t>
  </si>
  <si>
    <t>FR3.6.9-21</t>
  </si>
  <si>
    <t>FR3.6.10-01</t>
  </si>
  <si>
    <t>[Normal] Content Writing View with workspaceId = valid, taskId = valid, snapshotId = valid snapshot</t>
  </si>
  <si>
    <t>1. Prepare the state listed in Pre-conditions.
2. Call TaskContentServiceImpl.restoreVersion with: workspaceId = valid; taskId = valid; snapshotId = valid snapshot.
3. Check the response / error and the log.</t>
  </si>
  <si>
    <t>200 OK - TaskContentResponse(snapshot=old state, ops=[], sequenceNumber=6)</t>
  </si>
  <si>
    <t>- Can connect with server
- User is CREATOR of workspace
- Task type is POST
- Snapshot exists for task, 5 operations logged</t>
  </si>
  <si>
    <t>FR3.6.10-02</t>
  </si>
  <si>
    <t>[Normal] Content Writing View with snapshotId = valid snapshot</t>
  </si>
  <si>
    <t>1. Prepare the state listed in Pre-conditions.
2. Call TaskContentServiceImpl.restoreVersion with: snapshotId = valid snapshot.
3. Check the response / error and the log.</t>
  </si>
  <si>
    <t>200 OK - new snapshot sequenceNumber=121</t>
  </si>
  <si>
    <t>- Can connect with server
- User is CREATOR of workspace
- Task type is POST
- Snapshot exists for task, 120 operations logged</t>
  </si>
  <si>
    <t>FR3.6.10-03</t>
  </si>
  <si>
    <t>200 OK - restored state returned</t>
  </si>
  <si>
    <t>- Can connect with server
- User is MANAGER of workspace
- Task type is POST
- Snapshot exists for task, 5 operations logged</t>
  </si>
  <si>
    <t>FR3.6.10-04</t>
  </si>
  <si>
    <t>[Normal] Content Writing View with snapshotId = oldest snapshot</t>
  </si>
  <si>
    <t>1. Prepare the state listed in Pre-conditions.
2. Call TaskContentServiceImpl.restoreVersion with: snapshotId = oldest snapshot.
3. Check the response / error and the log.</t>
  </si>
  <si>
    <t>200 OK - old yjsState restored, new snapshot appended</t>
  </si>
  <si>
    <t>- Can connect with server
- User is CREATOR of workspace
- Task type is POST
- Task has 2 snapshots</t>
  </si>
  <si>
    <t>FR3.6.10-05</t>
  </si>
  <si>
    <t>[Normal] Content Writing View with snapshotId = latest snapshot</t>
  </si>
  <si>
    <t>1. Prepare the state listed in Pre-conditions.
2. Call TaskContentServiceImpl.restoreVersion with: snapshotId = latest snapshot.
3. Check the response / error and the log.</t>
  </si>
  <si>
    <t>200 OK - same state re-appended as new snapshot</t>
  </si>
  <si>
    <t>FR3.6.10-06</t>
  </si>
  <si>
    <t>[Normal] Content Writing View with snapshotId = valid snapshot, note = restore twice</t>
  </si>
  <si>
    <t>1. Prepare the state listed in Pre-conditions.
2. Call TaskContentServiceImpl.restoreVersion with: snapshotId = valid snapshot; note = restore twice.
3. Check the response / error and the log.</t>
  </si>
  <si>
    <t>200 OK - two new snapshots, history preserved</t>
  </si>
  <si>
    <t>FR3.6.10-07</t>
  </si>
  <si>
    <t>[Boundary] Content Writing View with snapshotId = valid snapshot</t>
  </si>
  <si>
    <t>200 OK - sequenceNumber=1</t>
  </si>
  <si>
    <t>- Can connect with server
- User is CREATOR of workspace
- Task type is POST
- Snapshot exists for task, no operations logged</t>
  </si>
  <si>
    <t>FR3.6.10-08</t>
  </si>
  <si>
    <t>200 OK - sequenceNumber=2</t>
  </si>
  <si>
    <t>- Can connect with server
- User is CREATOR of workspace
- Task type is POST
- Snapshot exists for task, 1 operation logged</t>
  </si>
  <si>
    <t>FR3.6.10-09</t>
  </si>
  <si>
    <t>[Boundary] Content Writing View with snapshotId = first snapshot</t>
  </si>
  <si>
    <t>1. Prepare the state listed in Pre-conditions.
2. Call TaskContentServiceImpl.restoreVersion with: snapshotId = first snapshot.
3. Check the response / error and the log.</t>
  </si>
  <si>
    <t>200 OK - restored</t>
  </si>
  <si>
    <t>- Can connect with server
- User is CREATOR of workspace
- Task type is POST
- Snapshot at sequenceNumber 1</t>
  </si>
  <si>
    <t>FR3.6.10-10</t>
  </si>
  <si>
    <t>[Abnormal] Content Writing View with snapshotId = non-existing id</t>
  </si>
  <si>
    <t>1. Prepare the state listed in Pre-conditions.
2. Call TaskContentServiceImpl.restoreVersion with: snapshotId = non-existing id.
3. Check the response / error and the log.</t>
  </si>
  <si>
    <t>- Can connect with server
- User is CREATOR of workspace
- Task type is POST</t>
  </si>
  <si>
    <t>FR3.6.10-11</t>
  </si>
  <si>
    <t>[Abnormal] Content Writing View with snapshotId = foreign snapshot</t>
  </si>
  <si>
    <t>1. Prepare the state listed in Pre-conditions.
2. Call TaskContentServiceImpl.restoreVersion with: snapshotId = foreign snapshot.
3. Check the response / error and the log.</t>
  </si>
  <si>
    <t>- Can connect with server
- User is CREATOR of workspace
- Task type is POST
- Snapshot belongs to another task</t>
  </si>
  <si>
    <t>FR3.6.10-12</t>
  </si>
  <si>
    <t>[Abnormal] Content Writing View with snapshotId = null</t>
  </si>
  <si>
    <t>1. Prepare the state listed in Pre-conditions.
2. Call TaskContentServiceImpl.restoreVersion with: snapshotId = null.
3. Check the response / error and the log.</t>
  </si>
  <si>
    <t>FR3.6.10-13</t>
  </si>
  <si>
    <t>[Abnormal] Content Writing View with taskId = non-existing task, snapshotId = valid snapshot</t>
  </si>
  <si>
    <t>1. Prepare the state listed in Pre-conditions.
2. Call TaskContentServiceImpl.restoreVersion with: taskId = non-existing task; snapshotId = valid snapshot.
3. Check the response / error and the log.</t>
  </si>
  <si>
    <t>- Can connect with server
- User is CREATOR of workspace
- Task does not exist</t>
  </si>
  <si>
    <t>FR3.6.10-14</t>
  </si>
  <si>
    <t>[Abnormal] Content Writing View with workspaceId = other workspace, snapshotId = valid snapshot</t>
  </si>
  <si>
    <t>1. Prepare the state listed in Pre-conditions.
2. Call TaskContentServiceImpl.restoreVersion with: workspaceId = other workspace; snapshotId = valid snapshot.
3. Check the response / error and the log.</t>
  </si>
  <si>
    <t>- Can connect with server
- User is CREATOR of workspace
- Task belongs to another workspace</t>
  </si>
  <si>
    <t>FR3.6.10-15</t>
  </si>
  <si>
    <t>[Abnormal] Content Writing View with snapshotId = valid snapshot</t>
  </si>
  <si>
    <t>Error: 400 INVALID_TASK_TYPE_FOR_CONTENT_WRITING - Content writing only applies to Post tasks</t>
  </si>
  <si>
    <t>- Can connect with server
- User is CREATOR of workspace
- Task type is LIVESTREAM</t>
  </si>
  <si>
    <t>FR3.6.10-16</t>
  </si>
  <si>
    <t>- Can connect with server
- User is CREATOR of workspace
- Task type is SURVEY</t>
  </si>
  <si>
    <t>FR3.6.10-17</t>
  </si>
  <si>
    <t>[Abnormal] Content Writing View with snapshotId = any id</t>
  </si>
  <si>
    <t>1. Prepare the state listed in Pre-conditions.
2. Call TaskContentServiceImpl.restoreVersion with: snapshotId = any id.
3. Check the response / error and the log.</t>
  </si>
  <si>
    <t>- Can connect with server
- User is CREATOR of workspace
- Task type is POST
- Task has no snapshots</t>
  </si>
  <si>
    <t>FR3.6.11-01</t>
  </si>
  <si>
    <t>[Normal] View Material Repository with type = raw</t>
  </si>
  <si>
    <t>1. Prepare the state listed in Pre-conditions.
2. Call MaterialServiceImpl.listMaterials with: type = raw.
3. Check the response / error and the log.</t>
  </si>
  <si>
    <t>200 OK - only raw materials with raw warning badge flag</t>
  </si>
  <si>
    <t>- Can connect with server
- User is CREATOR of workspace
- Workspace has raw and retouched materials</t>
  </si>
  <si>
    <t>FR3.6.11-02</t>
  </si>
  <si>
    <t>[Normal] View Material Repository with type = retouched</t>
  </si>
  <si>
    <t>1. Prepare the state listed in Pre-conditions.
2. Call MaterialServiceImpl.listMaterials with: type = retouched.
3. Check the response / error and the log.</t>
  </si>
  <si>
    <t>200 OK - only retouched materials</t>
  </si>
  <si>
    <t>FR3.6.11-03</t>
  </si>
  <si>
    <t>[Normal] View Material Repository with type = null (all)</t>
  </si>
  <si>
    <t>1. Prepare the state listed in Pre-conditions.
2. Call MaterialServiceImpl.listMaterials with: type = null (all).
3. Check the response / error and the log.</t>
  </si>
  <si>
    <t>200 OK - all materials (id,url,type,uploadedBy,uploadedAt)</t>
  </si>
  <si>
    <t>FR3.6.11-04</t>
  </si>
  <si>
    <t>200 OK - retouched materials</t>
  </si>
  <si>
    <t>- Can connect with server
- User is CLIENT of workspace
- Workspace has raw and retouched materials</t>
  </si>
  <si>
    <t>FR3.6.11-05</t>
  </si>
  <si>
    <t>[Normal] View Material Repository with tab = brand-collection</t>
  </si>
  <si>
    <t>1. Prepare the state listed in Pre-conditions.
2. Call MaterialServiceImpl.listMaterials with: tab = brand-collection.
3. Check the response / error and the log.</t>
  </si>
  <si>
    <t>200 OK - items(id,url,uploadedByClientId,note)</t>
  </si>
  <si>
    <t>- Can connect with server
- User is CREATOR of workspace
- Brand Collection has 3 items</t>
  </si>
  <si>
    <t>FR3.6.11-06</t>
  </si>
  <si>
    <t>- Can connect with server
- User is CLIENT of workspace
- Brand Collection has 3 items</t>
  </si>
  <si>
    <t>FR3.6.11-07</t>
  </si>
  <si>
    <t>[Normal] View Material Repository with tab = materials</t>
  </si>
  <si>
    <t>1. Prepare the state listed in Pre-conditions.
2. Call MaterialServiceImpl.listMaterials with: tab = materials.
3. Check the response / error and the log.</t>
  </si>
  <si>
    <t>200 OK - Brand Collection items not mixed in</t>
  </si>
  <si>
    <t>FR3.6.11-08</t>
  </si>
  <si>
    <t>[Normal] View Material Repository with type = raw, taskId = valid task</t>
  </si>
  <si>
    <t>1. Prepare the state listed in Pre-conditions.
2. Call MaterialServiceImpl.listMaterials with: type = raw; taskId = valid task.
3. Check the response / error and the log.</t>
  </si>
  <si>
    <t>200 OK - raw usage warning shown, submit not blocked</t>
  </si>
  <si>
    <t>- Can connect with server
- User is CREATOR of workspace
- Raw material used in submitted task</t>
  </si>
  <si>
    <t>FR3.6.11-09</t>
  </si>
  <si>
    <t>[Boundary] View Material Repository with type = raw</t>
  </si>
  <si>
    <t>- Can connect with server
- User is CREATOR of workspace
- Workspace has no materials</t>
  </si>
  <si>
    <t>FR3.6.11-10</t>
  </si>
  <si>
    <t>[Boundary] View Material Repository with type = null (all)</t>
  </si>
  <si>
    <t>200 OK - list of 1</t>
  </si>
  <si>
    <t>- Can connect with server
- User is CREATOR of workspace
- Workspace has 1 material</t>
  </si>
  <si>
    <t>FR3.6.11-11</t>
  </si>
  <si>
    <t>[Boundary] View Material Repository with tab = brand-collection</t>
  </si>
  <si>
    <t>- Can connect with server
- User is CREATOR of workspace
- Brand Collection is empty</t>
  </si>
  <si>
    <t>FR3.6.11-12</t>
  </si>
  <si>
    <t>- Can connect with server
- User is CREATOR of workspace
- Workspace has only retouched materials</t>
  </si>
  <si>
    <t>FR3.6.11-13</t>
  </si>
  <si>
    <t>[Abnormal] View Material Repository with type = raw</t>
  </si>
  <si>
    <t>- Can connect with server
- User is MANAGER of workspace
- Workspace has raw and retouched materials</t>
  </si>
  <si>
    <t>FR3.6.11-14</t>
  </si>
  <si>
    <t>- Can connect with server
- User is not a member of workspace
- Workspace has raw and retouched materials</t>
  </si>
  <si>
    <t>FR3.6.11-15</t>
  </si>
  <si>
    <t>[Abnormal] View Material Repository with type = unknown</t>
  </si>
  <si>
    <t>1. Prepare the state listed in Pre-conditions.
2. Call MaterialServiceImpl.listMaterials with: type = unknown.
3. Check the response / error and the log.</t>
  </si>
  <si>
    <t>FR3.6.11-16</t>
  </si>
  <si>
    <t>- Can connect with server
- User is CREATOR of workspace
- Workspace does not exist</t>
  </si>
  <si>
    <t>FR3.6.11-17</t>
  </si>
  <si>
    <t>[Abnormal] View Material Repository with tab = brand-collection</t>
  </si>
  <si>
    <t>- Can connect with server
- User is not a member of workspace
- Brand Collection has 3 items</t>
  </si>
  <si>
    <t>FR3.6.11-18</t>
  </si>
  <si>
    <t>[Abnormal] View Material Repository with type = null (all)</t>
  </si>
  <si>
    <t>Error: 404 MATERIAL_NOT_FOUND</t>
  </si>
  <si>
    <t>- Can connect with server
- User is CREATOR of workspace
- Material is soft-deleted</t>
  </si>
  <si>
    <t>FR3.6.12-01</t>
  </si>
  <si>
    <t>[Normal] Add Material Repository with file = valid jpg image, type = raw</t>
  </si>
  <si>
    <t>1. Prepare the state listed in Pre-conditions.
2. Call MaterialServiceImpl.uploadMaterial with: file = valid jpg image; type = raw.
3. Check the response / error and the log.</t>
  </si>
  <si>
    <t>201 Created - MaterialResponse(id,url,type=raw)</t>
  </si>
  <si>
    <t>- Can connect with server
- User is CREATOR of workspace</t>
  </si>
  <si>
    <t>FR3.6.12-02</t>
  </si>
  <si>
    <t>[Normal] Add Material Repository with file = valid png image, type = retouched</t>
  </si>
  <si>
    <t>1. Prepare the state listed in Pre-conditions.
2. Call MaterialServiceImpl.uploadMaterial with: file = valid png image; type = retouched.
3. Check the response / error and the log.</t>
  </si>
  <si>
    <t>201 Created - MaterialResponse(type=retouched)</t>
  </si>
  <si>
    <t>FR3.6.12-03</t>
  </si>
  <si>
    <t>[Normal] Add Material Repository with file = valid mp4 video, type = raw</t>
  </si>
  <si>
    <t>1. Prepare the state listed in Pre-conditions.
2. Call MaterialServiceImpl.uploadMaterial with: file = valid mp4 video; type = raw.
3. Check the response / error and the log.</t>
  </si>
  <si>
    <t>201 Created - MaterialResponse(type=raw)</t>
  </si>
  <si>
    <t>FR3.6.12-04</t>
  </si>
  <si>
    <t>[Normal] Add Material Repository with file = valid jpg image, endpoint = brand-collection</t>
  </si>
  <si>
    <t>1. Prepare the state listed in Pre-conditions.
2. Call MaterialServiceImpl.uploadMaterial with: file = valid jpg image; endpoint = brand-collection.
3. Check the response / error and the log.</t>
  </si>
  <si>
    <t>201 Created - saved into Brand Collection</t>
  </si>
  <si>
    <t>FR3.6.12-05</t>
  </si>
  <si>
    <t>[Normal] Add Material Repository with file = same name as existing, type = raw</t>
  </si>
  <si>
    <t>1. Prepare the state listed in Pre-conditions.
2. Call MaterialServiceImpl.uploadMaterial with: file = same name as existing; type = raw.
3. Check the response / error and the log.</t>
  </si>
  <si>
    <t>201 Created - new record, auto-renamed, old kept</t>
  </si>
  <si>
    <t>- Can connect with server
- User is CREATOR of workspace
- File with same name already exists</t>
  </si>
  <si>
    <t>FR3.6.12-06</t>
  </si>
  <si>
    <t>[Normal] Add Material Repository with files = 3 valid images, type = raw</t>
  </si>
  <si>
    <t>1. Prepare the state listed in Pre-conditions.
2. Call MaterialServiceImpl.uploadMaterial with: files = 3 valid images; type = raw.
3. Check the response / error and the log.</t>
  </si>
  <si>
    <t>201 Created - 3 MaterialResponse records</t>
  </si>
  <si>
    <t>FR3.6.12-07</t>
  </si>
  <si>
    <t>[Normal] Add Material Repository with file = valid jpg image, type = retouched</t>
  </si>
  <si>
    <t>1. Prepare the state listed in Pre-conditions.
2. Call MaterialServiceImpl.uploadMaterial with: file = valid jpg image; type = retouched.
3. Check the response / error and the log.</t>
  </si>
  <si>
    <t>201 Created - material appears in list immediately</t>
  </si>
  <si>
    <t>FR3.6.12-08</t>
  </si>
  <si>
    <t>[Boundary] Add Material Repository with file = size = max allowed, type = raw</t>
  </si>
  <si>
    <t>1. Prepare the state listed in Pre-conditions.
2. Call MaterialServiceImpl.uploadMaterial with: file = size = max allowed; type = raw.
3. Check the response / error and the log.</t>
  </si>
  <si>
    <t>201 Created - MaterialResponse</t>
  </si>
  <si>
    <t>FR3.6.12-09</t>
  </si>
  <si>
    <t>[Boundary] Add Material Repository with file = size = max allowed + 1 byte, type = raw</t>
  </si>
  <si>
    <t>1. Prepare the state listed in Pre-conditions.
2. Call MaterialServiceImpl.uploadMaterial with: file = size = max allowed + 1 byte; type = raw.
3. Check the response / error and the log.</t>
  </si>
  <si>
    <t>Error: 400 FILE_TOO_LARGE - File exceeds the maximum allowed size</t>
  </si>
  <si>
    <t>FR3.6.12-10</t>
  </si>
  <si>
    <t>[Boundary] Add Material Repository with file = 1 byte image, type = raw</t>
  </si>
  <si>
    <t>1. Prepare the state listed in Pre-conditions.
2. Call MaterialServiceImpl.uploadMaterial with: file = 1 byte image; type = raw.
3. Check the response / error and the log.</t>
  </si>
  <si>
    <t>FR3.6.12-11</t>
  </si>
  <si>
    <t>[Boundary] Add Material Repository with file = 0 bytes, type = raw</t>
  </si>
  <si>
    <t>1. Prepare the state listed in Pre-conditions.
2. Call MaterialServiceImpl.uploadMaterial with: file = 0 bytes; type = raw.
3. Check the response / error and the log.</t>
  </si>
  <si>
    <t>Error: 400 NO_FILE_PROVIDED - No file was provided</t>
  </si>
  <si>
    <t>FR3.6.12-12</t>
  </si>
  <si>
    <t>[Abnormal] Add Material Repository with file = pdf document, type = raw</t>
  </si>
  <si>
    <t>1. Prepare the state listed in Pre-conditions.
2. Call MaterialServiceImpl.uploadMaterial with: file = pdf document; type = raw.
3. Check the response / error and the log.</t>
  </si>
  <si>
    <t>Error: 400 INVALID_FILE_TYPE - File type is not allowed</t>
  </si>
  <si>
    <t>FR3.6.12-13</t>
  </si>
  <si>
    <t>[Abnormal] Add Material Repository with file = exe file, type = raw</t>
  </si>
  <si>
    <t>1. Prepare the state listed in Pre-conditions.
2. Call MaterialServiceImpl.uploadMaterial with: file = exe file; type = raw.
3. Check the response / error and the log.</t>
  </si>
  <si>
    <t>FR3.6.12-14</t>
  </si>
  <si>
    <t>[Abnormal] Add Material Repository with file = null, type = raw</t>
  </si>
  <si>
    <t>1. Prepare the state listed in Pre-conditions.
2. Call MaterialServiceImpl.uploadMaterial with: file = null; type = raw.
3. Check the response / error and the log.</t>
  </si>
  <si>
    <t>FR3.6.12-15</t>
  </si>
  <si>
    <t>[Abnormal] Add Material Repository with file = valid jpg image, type = null</t>
  </si>
  <si>
    <t>1. Prepare the state listed in Pre-conditions.
2. Call MaterialServiceImpl.uploadMaterial with: file = valid jpg image; type = null.
3. Check the response / error and the log.</t>
  </si>
  <si>
    <t>FR3.6.12-16</t>
  </si>
  <si>
    <t>[Abnormal] Add Material Repository with file = valid jpg image, type = unknown</t>
  </si>
  <si>
    <t>1. Prepare the state listed in Pre-conditions.
2. Call MaterialServiceImpl.uploadMaterial with: file = valid jpg image; type = unknown.
3. Check the response / error and the log.</t>
  </si>
  <si>
    <t>FR3.6.12-17</t>
  </si>
  <si>
    <t>[Abnormal] Add Material Repository with file = valid jpg image, type = raw</t>
  </si>
  <si>
    <t>- Can connect with server
- User is MANAGER of workspace</t>
  </si>
  <si>
    <t>FR3.6.12-18</t>
  </si>
  <si>
    <t>- Can connect with server
- User is not a member of workspace</t>
  </si>
  <si>
    <t>FR3.6.12-19</t>
  </si>
  <si>
    <t>[Abnormal] Add Material Repository with file = unreadable stream, type = raw</t>
  </si>
  <si>
    <t>1. Prepare the state listed in Pre-conditions.
2. Call MaterialServiceImpl.uploadMaterial with: file = unreadable stream; type = raw.
3. Check the response / error and the log.</t>
  </si>
  <si>
    <t>Error: 400 FILE_READ_ERROR - Failed to read uploaded file</t>
  </si>
  <si>
    <t>FR3.6.13-01</t>
  </si>
  <si>
    <t>[Normal] Update Material Repository with workspaceId = valid, materialId = valid, type = retouched</t>
  </si>
  <si>
    <t>1. Prepare the state listed in Pre-conditions.
2. Call MaterialServiceImpl.updateMaterial with: workspaceId = valid; materialId = valid; type = retouched; note = Final retouch done.
3. Check the response / error and the log.</t>
  </si>
  <si>
    <t>200 OK - updated material (type=retouched, note)
Log: Material updated</t>
  </si>
  <si>
    <t>- Can connect with server
- User is the uploader of the material
- Material exists in workspace</t>
  </si>
  <si>
    <t>FR3.6.13-02</t>
  </si>
  <si>
    <t>[Normal] Update Material Repository with workspaceId = valid, materialId = valid, type = raw</t>
  </si>
  <si>
    <t>1. Prepare the state listed in Pre-conditions.
2. Call MaterialServiceImpl.updateMaterial with: workspaceId = valid; materialId = valid; type = raw.
3. Check the response / error and the log.</t>
  </si>
  <si>
    <t>200 OK - updated material (type=raw, note unchanged)</t>
  </si>
  <si>
    <t>FR3.6.13-03</t>
  </si>
  <si>
    <t>[Normal] Update Material Repository with workspaceId = valid, materialId = valid, note = New note only</t>
  </si>
  <si>
    <t>1. Prepare the state listed in Pre-conditions.
2. Call MaterialServiceImpl.updateMaterial with: workspaceId = valid; materialId = valid; note = New note only.
3. Check the response / error and the log.</t>
  </si>
  <si>
    <t>200 OK - updated material (note changed, type unchanged)</t>
  </si>
  <si>
    <t>FR3.6.13-04</t>
  </si>
  <si>
    <t>1. Prepare the state listed in Pre-conditions.
2. Call MaterialServiceImpl.updateMaterial with: workspaceId = valid; materialId = valid; type = retouched; note = Done.
3. Check the response / error and the log.</t>
  </si>
  <si>
    <t>200 OK - file url unchanged</t>
  </si>
  <si>
    <t>FR3.6.13-05</t>
  </si>
  <si>
    <t>1. Prepare the state listed in Pre-conditions.
2. Call MaterialServiceImpl.updateMaterial with: workspaceId = valid; materialId = valid; type = retouched.
3. Check the response / error and the log.</t>
  </si>
  <si>
    <t>200 OK - updated material</t>
  </si>
  <si>
    <t>- Can connect with server
- User is CLIENT with permission
- Material exists in workspace</t>
  </si>
  <si>
    <t>FR3.6.13-06</t>
  </si>
  <si>
    <t>200 OK - past Task usage history unchanged</t>
  </si>
  <si>
    <t>- Can connect with server
- User is the uploader of the material
- Material exists in workspace
- Material already used by a Task as raw</t>
  </si>
  <si>
    <t>FR3.6.13-07</t>
  </si>
  <si>
    <t>[Normal] Update Material Repository with workspaceId = valid, materialId = valid</t>
  </si>
  <si>
    <t>1. Prepare the state listed in Pre-conditions.
2. Call MaterialServiceImpl.updateMaterial with: workspaceId = valid; materialId = valid.
3. Check the response / error and the log.</t>
  </si>
  <si>
    <t>200 OK - material returned unchanged (empty patch)</t>
  </si>
  <si>
    <t>FR3.6.13-08</t>
  </si>
  <si>
    <t>[Boundary] Update Material Repository with workspaceId = valid, materialId = valid, note = empty</t>
  </si>
  <si>
    <t>1. Prepare the state listed in Pre-conditions.
2. Call MaterialServiceImpl.updateMaterial with: workspaceId = valid; materialId = valid; note = empty.
3. Check the response / error and the log.</t>
  </si>
  <si>
    <t>200 OK - note cleared</t>
  </si>
  <si>
    <t>FR3.6.13-09</t>
  </si>
  <si>
    <t>[Boundary] Update Material Repository with workspaceId = valid, materialId = valid, note = max length note</t>
  </si>
  <si>
    <t>1. Prepare the state listed in Pre-conditions.
2. Call MaterialServiceImpl.updateMaterial with: workspaceId = valid; materialId = valid; note = max length note.
3. Check the response / error and the log.</t>
  </si>
  <si>
    <t>200 OK - note saved</t>
  </si>
  <si>
    <t>FR3.6.13-10</t>
  </si>
  <si>
    <t>[Boundary] Update Material Repository with workspaceId = valid, materialId = valid, note = max length + 1 chars</t>
  </si>
  <si>
    <t>1. Prepare the state listed in Pre-conditions.
2. Call MaterialServiceImpl.updateMaterial with: workspaceId = valid; materialId = valid; note = max length + 1 chars.
3. Check the response / error and the log.</t>
  </si>
  <si>
    <t>Error: 400 VALIDATION_ERROR (note too long)</t>
  </si>
  <si>
    <t>FR3.6.13-11</t>
  </si>
  <si>
    <t>[Abnormal] Update Material Repository with workspaceId = valid, materialId = valid, type = retouched</t>
  </si>
  <si>
    <t>Error: 403 FORBIDDEN</t>
  </si>
  <si>
    <t>- Can connect with server
- User is not the uploader and has no permission
- Material exists in workspace</t>
  </si>
  <si>
    <t>FR3.6.13-12</t>
  </si>
  <si>
    <t>[Abnormal] Update Material Repository with workspaceId = valid, materialId = non-existent</t>
  </si>
  <si>
    <t>1. Prepare the state listed in Pre-conditions.
2. Call MaterialServiceImpl.updateMaterial with: workspaceId = valid; materialId = non-existent.
3. Check the response / error and the log.</t>
  </si>
  <si>
    <t>- Can connect with server
- User is the uploader of the material
- Material does not exist</t>
  </si>
  <si>
    <t>FR3.6.13-13</t>
  </si>
  <si>
    <t>[Abnormal] Update Material Repository with workspaceId = valid, materialId = deleted</t>
  </si>
  <si>
    <t>1. Prepare the state listed in Pre-conditions.
2. Call MaterialServiceImpl.updateMaterial with: workspaceId = valid; materialId = deleted.
3. Check the response / error and the log.</t>
  </si>
  <si>
    <t>- Can connect with server
- User is the uploader of the material
- Material is soft-deleted</t>
  </si>
  <si>
    <t>FR3.6.13-14</t>
  </si>
  <si>
    <t>[Abnormal] Update Material Repository with workspaceId = valid, materialId = valid, type = unknown_type</t>
  </si>
  <si>
    <t>1. Prepare the state listed in Pre-conditions.
2. Call MaterialServiceImpl.updateMaterial with: workspaceId = valid; materialId = valid; type = unknown_type.
3. Check the response / error and the log.</t>
  </si>
  <si>
    <t>Error: 400 VALIDATION_ERROR (invalid type)</t>
  </si>
  <si>
    <t>FR3.6.13-15</t>
  </si>
  <si>
    <t>[Abnormal] Update Material Repository with workspaceId = non-existent, materialId = valid</t>
  </si>
  <si>
    <t>1. Prepare the state listed in Pre-conditions.
2. Call MaterialServiceImpl.updateMaterial with: workspaceId = non-existent; materialId = valid.
3. Check the response / error and the log.</t>
  </si>
  <si>
    <t>Error: 404 WORKSPACE_NOT_FOUND</t>
  </si>
  <si>
    <t>- Can connect with server
- User is the uploader of the material
- Workspace does not exist</t>
  </si>
  <si>
    <t>FR3.6.13-16</t>
  </si>
  <si>
    <t>[Abnormal] Update Material Repository with workspaceId = valid, materialId = valid, file = new file</t>
  </si>
  <si>
    <t>1. Prepare the state listed in Pre-conditions.
2. Call MaterialServiceImpl.updateMaterial with: workspaceId = valid; materialId = valid; file = new file.
3. Check the response / error and the log.</t>
  </si>
  <si>
    <t>Error: 400 VALIDATION_ERROR (file cannot be changed)</t>
  </si>
  <si>
    <t>FR3.6.13-17</t>
  </si>
  <si>
    <t>[Abnormal] Update Material Repository with workspaceId = valid, materialId = other workspace material</t>
  </si>
  <si>
    <t>1. Prepare the state listed in Pre-conditions.
2. Call MaterialServiceImpl.updateMaterial with: workspaceId = valid; materialId = other workspace material.
3. Check the response / error and the log.</t>
  </si>
  <si>
    <t>- Can connect with server
- Material belongs to another workspace</t>
  </si>
  <si>
    <t>FR3.6.14-01</t>
  </si>
  <si>
    <t>[Normal] Remove Material Repository with workspaceId = valid, materialId = valid</t>
  </si>
  <si>
    <t>1. Prepare the state listed in Pre-conditions.
2. Call MaterialServiceImpl.removeMaterial with: workspaceId = valid; materialId = valid.
3. Check the response / error and the log.</t>
  </si>
  <si>
    <t>200 OK - success=true, data=null
Log: Material soft-deleted</t>
  </si>
  <si>
    <t>- Can connect with server
- Material exists in workspace
- User is the uploader of the material</t>
  </si>
  <si>
    <t>FR3.6.14-02</t>
  </si>
  <si>
    <t>200 OK - success=true, data=null</t>
  </si>
  <si>
    <t>- Can connect with server
- Material exists in workspace
- User is CLIENT with permission</t>
  </si>
  <si>
    <t>FR3.6.14-03</t>
  </si>
  <si>
    <t>200 OK - removed, Task reference kept</t>
  </si>
  <si>
    <t>- Can connect with server
- Material exists in workspace
- User is the uploader of the material
- Material used in a COMPLETED Task</t>
  </si>
  <si>
    <t>FR3.6.14-04</t>
  </si>
  <si>
    <t>200 OK - removed from Repository</t>
  </si>
  <si>
    <t>- Can connect with server
- Material exists in workspace
- User is the uploader of the material
- Material used in an IN_PROGRESS Task</t>
  </si>
  <si>
    <t>FR3.6.14-05</t>
  </si>
  <si>
    <t>200 OK - material no longer in repository list</t>
  </si>
  <si>
    <t>FR3.6.14-06</t>
  </si>
  <si>
    <t>[Normal] Remove Material Repository with workspaceId = valid, materialId = watermarked copy</t>
  </si>
  <si>
    <t>1. Prepare the state listed in Pre-conditions.
2. Call MaterialServiceImpl.removeMaterial with: workspaceId = valid; materialId = watermarked copy.
3. Check the response / error and the log.</t>
  </si>
  <si>
    <t>200 OK - copy removed, original untouched</t>
  </si>
  <si>
    <t>- Can connect with server
- Material exists in workspace
- User is the uploader of the material
- Material is a watermarked copy</t>
  </si>
  <si>
    <t>FR3.6.14-07</t>
  </si>
  <si>
    <t>[Normal] Remove Material Repository with workspaceId = valid, materialId = valid, confirm = true</t>
  </si>
  <si>
    <t>1. Prepare the state listed in Pre-conditions.
2. Call MaterialServiceImpl.removeMaterial with: workspaceId = valid; materialId = valid; confirm = true.
3. Check the response / error and the log.</t>
  </si>
  <si>
    <t>200 OK - status=deleted</t>
  </si>
  <si>
    <t>FR3.6.14-08</t>
  </si>
  <si>
    <t>[Boundary] Remove Material Repository with workspaceId = valid, materialId = valid</t>
  </si>
  <si>
    <t>200 OK - repository becomes empty</t>
  </si>
  <si>
    <t>- Can connect with server
- Workspace has exactly 1 material
- User is the uploader of the material</t>
  </si>
  <si>
    <t>FR3.6.14-09</t>
  </si>
  <si>
    <t>200 OK - all Task references kept</t>
  </si>
  <si>
    <t>- Can connect with server
- Material exists in workspace
- User is the uploader of the material
- Material referenced by many Tasks</t>
  </si>
  <si>
    <t>FR3.6.14-10</t>
  </si>
  <si>
    <t>200 OK - deletedAt set once</t>
  </si>
  <si>
    <t>FR3.6.14-11</t>
  </si>
  <si>
    <t>[Abnormal] Remove Material Repository with workspaceId = valid, materialId = valid</t>
  </si>
  <si>
    <t>- Can connect with server
- Material exists in workspace
- User is not the uploader and has no permission</t>
  </si>
  <si>
    <t>FR3.6.14-12</t>
  </si>
  <si>
    <t>[Abnormal] Remove Material Repository with workspaceId = valid, materialId = non-existent</t>
  </si>
  <si>
    <t>1. Prepare the state listed in Pre-conditions.
2. Call MaterialServiceImpl.removeMaterial with: workspaceId = valid; materialId = non-existent.
3. Check the response / error and the log.</t>
  </si>
  <si>
    <t>- Can connect with server
- Material does not exist
- User is the uploader of the material</t>
  </si>
  <si>
    <t>FR3.6.14-13</t>
  </si>
  <si>
    <t>[Abnormal] Remove Material Repository with workspaceId = valid, materialId = deleted</t>
  </si>
  <si>
    <t>1. Prepare the state listed in Pre-conditions.
2. Call MaterialServiceImpl.removeMaterial with: workspaceId = valid; materialId = deleted.
3. Check the response / error and the log.</t>
  </si>
  <si>
    <t>- Can connect with server
- Material is already soft-deleted
- User is the uploader of the material</t>
  </si>
  <si>
    <t>FR3.6.14-14</t>
  </si>
  <si>
    <t>[Abnormal] Remove Material Repository with workspaceId = non-existent, materialId = valid</t>
  </si>
  <si>
    <t>1. Prepare the state listed in Pre-conditions.
2. Call MaterialServiceImpl.removeMaterial with: workspaceId = non-existent; materialId = valid.
3. Check the response / error and the log.</t>
  </si>
  <si>
    <t>FR3.6.14-15</t>
  </si>
  <si>
    <t>- Can connect with server
- User is MANAGER without permission
- Material exists in workspace</t>
  </si>
  <si>
    <t>FR3.6.14-16</t>
  </si>
  <si>
    <t>[Abnormal] Remove Material Repository with workspaceId = valid, materialId = other workspace material</t>
  </si>
  <si>
    <t>1. Prepare the state listed in Pre-conditions.
2. Call MaterialServiceImpl.removeMaterial with: workspaceId = valid; materialId = other workspace material.
3. Check the response / error and the log.</t>
  </si>
  <si>
    <t>FR3.6.14-17</t>
  </si>
  <si>
    <t>Error: 401 UNAUTHORIZED</t>
  </si>
  <si>
    <t>- Can connect with server
- Material exists in workspace
- User not authenticated</t>
  </si>
  <si>
    <t>FR3.6.15-01</t>
  </si>
  <si>
    <t>[Normal] Apply Watermark with materialId = valid, logoAssetId = valid, position = bottom-right</t>
  </si>
  <si>
    <t>1. Prepare the state listed in Pre-conditions.
2. Call MaterialServiceImpl.applyWatermark with: materialId = valid; logoAssetId = valid; position = bottom-right; opacity = 0.5.
3. Check the response / error and the log.</t>
  </si>
  <si>
    <t>201 Created - {id, url} of new watermarked file
Log: Watermark applied</t>
  </si>
  <si>
    <t>- Can connect with server
- User is CREATOR in workspace
- Material is an image marked retouched
- Logo exists in Client Brand Collection</t>
  </si>
  <si>
    <t>2026-10-22</t>
  </si>
  <si>
    <t>FR3.6.15-02</t>
  </si>
  <si>
    <t>[Normal] Apply Watermark with materialId = valid, logoAssetId = valid, position = top-left</t>
  </si>
  <si>
    <t>1. Prepare the state listed in Pre-conditions.
2. Call MaterialServiceImpl.applyWatermark with: materialId = valid; logoAssetId = valid; position = top-left; opacity = 0.5.
3. Check the response / error and the log.</t>
  </si>
  <si>
    <t>201 Created - new file with top-left watermark</t>
  </si>
  <si>
    <t>FR3.6.15-03</t>
  </si>
  <si>
    <t>[Normal] Apply Watermark with materialId = valid, logoAssetId = valid, position = center</t>
  </si>
  <si>
    <t>1. Prepare the state listed in Pre-conditions.
2. Call MaterialServiceImpl.applyWatermark with: materialId = valid; logoAssetId = valid; position = center; opacity = 0.5.
3. Check the response / error and the log.</t>
  </si>
  <si>
    <t>201 Created - new file with centered watermark</t>
  </si>
  <si>
    <t>FR3.6.15-04</t>
  </si>
  <si>
    <t>1. Prepare the state listed in Pre-conditions.
2. Call MaterialServiceImpl.applyWatermark with: materialId = valid; logoAssetId = valid; position = bottom-right; opacity = 1.0.
3. Check the response / error and the log.</t>
  </si>
  <si>
    <t>201 Created - fully opaque watermark</t>
  </si>
  <si>
    <t>FR3.6.15-05</t>
  </si>
  <si>
    <t>201 Created - original image not overwritten</t>
  </si>
  <si>
    <t>FR3.6.15-06</t>
  </si>
  <si>
    <t>201 Created - new material id differs from original</t>
  </si>
  <si>
    <t>FR3.6.15-07</t>
  </si>
  <si>
    <t>201 Created - output format kept</t>
  </si>
  <si>
    <t>- Can connect with server
- User is CREATOR in workspace
- Material is an image marked retouched
- Image format is PNG</t>
  </si>
  <si>
    <t>FR3.6.15-08</t>
  </si>
  <si>
    <t>[Boundary] Apply Watermark with materialId = valid, logoAssetId = valid, position = bottom-right</t>
  </si>
  <si>
    <t>1. Prepare the state listed in Pre-conditions.
2. Call MaterialServiceImpl.applyWatermark with: materialId = valid; logoAssetId = valid; position = bottom-right; opacity = 0.
3. Check the response / error and the log.</t>
  </si>
  <si>
    <t>201 Created - fully transparent watermark</t>
  </si>
  <si>
    <t>FR3.6.15-09</t>
  </si>
  <si>
    <t>1. Prepare the state listed in Pre-conditions.
2. Call MaterialServiceImpl.applyWatermark with: materialId = valid; logoAssetId = valid; position = bottom-right; opacity = 1.
3. Check the response / error and the log.</t>
  </si>
  <si>
    <t>201 Created - max opacity accepted</t>
  </si>
  <si>
    <t>FR3.6.15-10</t>
  </si>
  <si>
    <t>1. Prepare the state listed in Pre-conditions.
2. Call MaterialServiceImpl.applyWatermark with: materialId = valid; logoAssetId = valid; position = bottom-right; opacity = 1.01.
3. Check the response / error and the log.</t>
  </si>
  <si>
    <t>Error: 400 VALIDATION_ERROR (opacity &gt; 1)</t>
  </si>
  <si>
    <t>FR3.6.15-11</t>
  </si>
  <si>
    <t>1. Prepare the state listed in Pre-conditions.
2. Call MaterialServiceImpl.applyWatermark with: materialId = valid; logoAssetId = valid; position = bottom-right; opacity = -0.01.
3. Check the response / error and the log.</t>
  </si>
  <si>
    <t>Error: 400 VALIDATION_ERROR (opacity &lt; 0)</t>
  </si>
  <si>
    <t>FR3.6.15-12</t>
  </si>
  <si>
    <t>[Abnormal] Apply Watermark with materialId = valid, logoAssetId = non-existent, position = bottom-right</t>
  </si>
  <si>
    <t>1. Prepare the state listed in Pre-conditions.
2. Call MaterialServiceImpl.applyWatermark with: materialId = valid; logoAssetId = non-existent; position = bottom-right; opacity = 0.5.
3. Check the response / error and the log.</t>
  </si>
  <si>
    <t>Error: 400 LOGO_NOT_FOUND</t>
  </si>
  <si>
    <t>- Can connect with server
- User is CREATOR in workspace
- Material is an image marked retouched</t>
  </si>
  <si>
    <t>FR3.6.15-13</t>
  </si>
  <si>
    <t>[Abnormal] Apply Watermark with materialId = valid, logoAssetId = any, position = bottom-right</t>
  </si>
  <si>
    <t>1. Prepare the state listed in Pre-conditions.
2. Call MaterialServiceImpl.applyWatermark with: materialId = valid; logoAssetId = any; position = bottom-right; opacity = 0.5.
3. Check the response / error and the log.</t>
  </si>
  <si>
    <t>Error: 400 LOGO_NOT_FOUND (client must upload a logo first)</t>
  </si>
  <si>
    <t>- Can connect with server
- User is CREATOR in workspace
- Material is an image marked retouched
- Brand Collection has no logo</t>
  </si>
  <si>
    <t>FR3.6.15-14</t>
  </si>
  <si>
    <t>[Abnormal] Apply Watermark with materialId = non-existent, logoAssetId = valid, position = bottom-right</t>
  </si>
  <si>
    <t>1. Prepare the state listed in Pre-conditions.
2. Call MaterialServiceImpl.applyWatermark with: materialId = non-existent; logoAssetId = valid; position = bottom-right; opacity = 0.5.
3. Check the response / error and the log.</t>
  </si>
  <si>
    <t>- Can connect with server
- User is CREATOR in workspace
- Logo exists in Client Brand Collection
- Material does not exist</t>
  </si>
  <si>
    <t>FR3.6.15-15</t>
  </si>
  <si>
    <t>[Abnormal] Apply Watermark with materialId = video file, logoAssetId = valid, position = bottom-right</t>
  </si>
  <si>
    <t>1. Prepare the state listed in Pre-conditions.
2. Call MaterialServiceImpl.applyWatermark with: materialId = video file; logoAssetId = valid; position = bottom-right; opacity = 0.5.
3. Check the response / error and the log.</t>
  </si>
  <si>
    <t>Error: 400 VALIDATION_ERROR (only images supported)</t>
  </si>
  <si>
    <t>- Can connect with server
- User is CREATOR in workspace
- Logo exists in Client Brand Collection
- Material is a video</t>
  </si>
  <si>
    <t>FR3.6.15-16</t>
  </si>
  <si>
    <t>[Abnormal] Apply Watermark with materialId = valid, logoAssetId = valid, position = bottom-right</t>
  </si>
  <si>
    <t>- Can connect with server
- User is CLIENT
- Material is an image marked retouched
- Logo exists in Client Brand Collection</t>
  </si>
  <si>
    <t>FR3.6.15-17</t>
  </si>
  <si>
    <t>[Abnormal] Apply Watermark with materialId = valid, logoAssetId = valid, position = invalid</t>
  </si>
  <si>
    <t>1. Prepare the state listed in Pre-conditions.
2. Call MaterialServiceImpl.applyWatermark with: materialId = valid; logoAssetId = valid; position = invalid; opacity = 0.5.
3. Check the response / error and the log.</t>
  </si>
  <si>
    <t>Error: 400 VALIDATION_ERROR (invalid position)</t>
  </si>
  <si>
    <t>FR3.6.15-18</t>
  </si>
  <si>
    <t>[Abnormal] Apply Watermark with materialId = valid, logoAssetId = null, position = bottom-right</t>
  </si>
  <si>
    <t>1. Prepare the state listed in Pre-conditions.
2. Call MaterialServiceImpl.applyWatermark with: materialId = valid; logoAssetId = null; position = bottom-right; opacity = 0.5.
3. Check the response / error and the log.</t>
  </si>
  <si>
    <t>Error: 400 VALIDATION_ERROR (logoAssetId required)</t>
  </si>
  <si>
    <t>FR3.6.16-01</t>
  </si>
  <si>
    <t>[Normal] Download Material with workspaceId = valid, materialId = valid</t>
  </si>
  <si>
    <t>1. Prepare the state listed in Pre-conditions.
2. Call MaterialServiceImpl.downloadMaterial with: workspaceId = valid; materialId = valid.
3. Check the response / error and the log.</t>
  </si>
  <si>
    <t>200 OK - binary file stream (original file)</t>
  </si>
  <si>
    <t>- Can connect with server
- User is CREATOR
- Material exists in workspace</t>
  </si>
  <si>
    <t>FR3.6.16-02</t>
  </si>
  <si>
    <t>200 OK - binary file stream</t>
  </si>
  <si>
    <t>- Can connect with server
- User is CLIENT
- Material exists in workspace</t>
  </si>
  <si>
    <t>FR3.6.16-03</t>
  </si>
  <si>
    <t>- Can connect with server
- User is MANAGER
- Material exists in workspace</t>
  </si>
  <si>
    <t>FR3.6.16-04</t>
  </si>
  <si>
    <t>[Normal] Download Material with workspaceId = valid, materialId = watermarked copy</t>
  </si>
  <si>
    <t>1. Prepare the state listed in Pre-conditions.
2. Call MaterialServiceImpl.downloadMaterial with: workspaceId = valid; materialId = watermarked copy.
3. Check the response / error and the log.</t>
  </si>
  <si>
    <t>200 OK - watermarked file stream</t>
  </si>
  <si>
    <t>FR3.6.16-05</t>
  </si>
  <si>
    <t>200 OK - Content-Disposition with original filename</t>
  </si>
  <si>
    <t>FR3.6.16-06</t>
  </si>
  <si>
    <t>200 OK - Content-Type matches file type</t>
  </si>
  <si>
    <t>FR3.6.16-07</t>
  </si>
  <si>
    <t>[Normal] Download Material with workspaceId = valid, materialId = brand collection item</t>
  </si>
  <si>
    <t>1. Prepare the state listed in Pre-conditions.
2. Call MaterialServiceImpl.downloadMaterial with: workspaceId = valid; materialId = brand collection item.
3. Check the response / error and the log.</t>
  </si>
  <si>
    <t>- Can connect with server
- User is CREATOR
- Material is in Brand Collection</t>
  </si>
  <si>
    <t>FR3.6.16-08</t>
  </si>
  <si>
    <t>200 OK - original not watermarked by default</t>
  </si>
  <si>
    <t>FR3.6.16-09</t>
  </si>
  <si>
    <t>[Boundary] Download Material with workspaceId = valid, materialId = empty file</t>
  </si>
  <si>
    <t>1. Prepare the state listed in Pre-conditions.
2. Call MaterialServiceImpl.downloadMaterial with: workspaceId = valid; materialId = empty file.
3. Check the response / error and the log.</t>
  </si>
  <si>
    <t>200 OK - empty stream</t>
  </si>
  <si>
    <t>- Can connect with server
- User is CREATOR
- Material is 0 bytes</t>
  </si>
  <si>
    <t>FR3.6.16-10</t>
  </si>
  <si>
    <t>[Boundary] Download Material with workspaceId = valid, materialId = max size file</t>
  </si>
  <si>
    <t>1. Prepare the state listed in Pre-conditions.
2. Call MaterialServiceImpl.downloadMaterial with: workspaceId = valid; materialId = max size file.
3. Check the response / error and the log.</t>
  </si>
  <si>
    <t>200 OK - full stream</t>
  </si>
  <si>
    <t>- Can connect with server
- User is CREATOR
- Material at max upload size</t>
  </si>
  <si>
    <t>FR3.6.16-11</t>
  </si>
  <si>
    <t>[Boundary] Download Material with workspaceId = valid, materialId = valid</t>
  </si>
  <si>
    <t>- Can connect with server
- User is CREATOR
- Material is the only one in workspace</t>
  </si>
  <si>
    <t>FR3.6.16-12</t>
  </si>
  <si>
    <t>[Abnormal] Download Material with workspaceId = valid, materialId = non-existent</t>
  </si>
  <si>
    <t>1. Prepare the state listed in Pre-conditions.
2. Call MaterialServiceImpl.downloadMaterial with: workspaceId = valid; materialId = non-existent.
3. Check the response / error and the log.</t>
  </si>
  <si>
    <t>- Can connect with server
- User is CREATOR
- Material does not exist</t>
  </si>
  <si>
    <t>FR3.6.16-13</t>
  </si>
  <si>
    <t>[Abnormal] Download Material with workspaceId = valid, materialId = deleted</t>
  </si>
  <si>
    <t>1. Prepare the state listed in Pre-conditions.
2. Call MaterialServiceImpl.downloadMaterial with: workspaceId = valid; materialId = deleted.
3. Check the response / error and the log.</t>
  </si>
  <si>
    <t>- Can connect with server
- User is CREATOR
- Material is soft-deleted</t>
  </si>
  <si>
    <t>FR3.6.16-14</t>
  </si>
  <si>
    <t>[Abnormal] Download Material with workspaceId = valid, materialId = valid</t>
  </si>
  <si>
    <t>- Can connect with server
- User is not a member of workspace
- Material exists in workspace</t>
  </si>
  <si>
    <t>FR3.6.16-15</t>
  </si>
  <si>
    <t>- Can connect with server
- User not authenticated
- Material exists in workspace</t>
  </si>
  <si>
    <t>FR3.6.16-16</t>
  </si>
  <si>
    <t>[Abnormal] Download Material with workspaceId = non-existent, materialId = valid</t>
  </si>
  <si>
    <t>1. Prepare the state listed in Pre-conditions.
2. Call MaterialServiceImpl.downloadMaterial with: workspaceId = non-existent; materialId = valid.
3. Check the response / error and the log.</t>
  </si>
  <si>
    <t>- Can connect with server
- User is CREATOR
- Workspace does not exist</t>
  </si>
  <si>
    <t>FR3.6.16-17</t>
  </si>
  <si>
    <t>[Abnormal] Download Material with workspaceId = valid, materialId = orphan record</t>
  </si>
  <si>
    <t>1. Prepare the state listed in Pre-conditions.
2. Call MaterialServiceImpl.downloadMaterial with: workspaceId = valid; materialId = orphan record.
3. Check the response / error and the log.</t>
  </si>
  <si>
    <t>- Can connect with server
- User is CREATOR
- Stored file missing in storage</t>
  </si>
  <si>
    <t>FR3.6.17-01</t>
  </si>
  <si>
    <t>[Normal] Apply Hashtag with workspaceId = valid, taskId = valid, hashtagIds = 1 existing id</t>
  </si>
  <si>
    <t>1. Prepare the state listed in Pre-conditions.
2. Call HashtagServiceImpl.applyHashtags with: workspaceId = valid; taskId = valid; hashtagIds = 1 existing id.
3. Check the response / error and the log.</t>
  </si>
  <si>
    <t>200 OK - task hashtags list with 1 item
Log: Hashtags applied</t>
  </si>
  <si>
    <t>- Can connect with server
- User is CREATOR or CLIENT of workspace
- Task of type Post exists</t>
  </si>
  <si>
    <t>FR3.6.17-02</t>
  </si>
  <si>
    <t>[Normal] Apply Hashtag with workspaceId = valid, taskId = valid, hashtagIds = 3 existing ids</t>
  </si>
  <si>
    <t>1. Prepare the state listed in Pre-conditions.
2. Call HashtagServiceImpl.applyHashtags with: workspaceId = valid; taskId = valid; hashtagIds = 3 existing ids.
3. Check the response / error and the log.</t>
  </si>
  <si>
    <t>200 OK - task hashtags list with 3 items</t>
  </si>
  <si>
    <t>FR3.6.17-03</t>
  </si>
  <si>
    <t>[Normal] Apply Hashtag with workspaceId = valid, taskId = valid, hashtagIds = 2 existing ids</t>
  </si>
  <si>
    <t>1. Prepare the state listed in Pre-conditions.
2. Call HashtagServiceImpl.applyHashtags with: workspaceId = valid; taskId = valid; hashtagIds = 2 existing ids.
3. Check the response / error and the log.</t>
  </si>
  <si>
    <t>200 OK - task hashtags list with 2 items</t>
  </si>
  <si>
    <t>- Can connect with server
- User is CLIENT
- Task of type Post exists</t>
  </si>
  <si>
    <t>FR3.6.17-04</t>
  </si>
  <si>
    <t>[Normal] Apply Hashtag with workspaceId = valid, taskId = valid, hashtagIds = new tag not in Collection</t>
  </si>
  <si>
    <t>1. Prepare the state listed in Pre-conditions.
2. Call HashtagServiceImpl.applyHashtags with: workspaceId = valid; taskId = valid; hashtagIds = new tag not in Collection.
3. Check the response / error and the log.</t>
  </si>
  <si>
    <t>200 OK - tag auto-created in Collection and attached</t>
  </si>
  <si>
    <t>FR3.6.17-05</t>
  </si>
  <si>
    <t>[Normal] Apply Hashtag with workspaceId = valid, taskId = valid, hashtagIds = mix existing + new tag</t>
  </si>
  <si>
    <t>1. Prepare the state listed in Pre-conditions.
2. Call HashtagServiceImpl.applyHashtags with: workspaceId = valid; taskId = valid; hashtagIds = mix existing + new tag.
3. Check the response / error and the log.</t>
  </si>
  <si>
    <t>200 OK - all attached, new one added to Collection</t>
  </si>
  <si>
    <t>FR3.6.17-06</t>
  </si>
  <si>
    <t>[Normal] Apply Hashtag with workspaceId = valid, taskId = valid, hashtagIds = different ids</t>
  </si>
  <si>
    <t>1. Prepare the state listed in Pre-conditions.
2. Call HashtagServiceImpl.applyHashtags with: workspaceId = valid; taskId = valid; hashtagIds = different ids.
3. Check the response / error and the log.</t>
  </si>
  <si>
    <t>200 OK - hashtags replaced by new list</t>
  </si>
  <si>
    <t>- Can connect with server
- User is CREATOR or CLIENT of workspace
- Task of type Post exists
- Task already has hashtags</t>
  </si>
  <si>
    <t>FR3.6.17-07</t>
  </si>
  <si>
    <t>[Normal] Apply Hashtag with workspaceId = valid, taskId = valid, hashtagIds = required hashtag id</t>
  </si>
  <si>
    <t>1. Prepare the state listed in Pre-conditions.
2. Call HashtagServiceImpl.applyHashtags with: workspaceId = valid; taskId = valid; hashtagIds = required hashtag id.
3. Check the response / error and the log.</t>
  </si>
  <si>
    <t>200 OK - required hashtag attached</t>
  </si>
  <si>
    <t>- Can connect with server
- User is CREATOR or CLIENT of workspace
- Task of type Post exists
- Required hashtag exists in Collection</t>
  </si>
  <si>
    <t>FR3.6.17-08</t>
  </si>
  <si>
    <t>[Boundary] Apply Hashtag with workspaceId = valid, taskId = valid, hashtagIds = empty list</t>
  </si>
  <si>
    <t>1. Prepare the state listed in Pre-conditions.
2. Call HashtagServiceImpl.applyHashtags with: workspaceId = valid; taskId = valid; hashtagIds = empty list.
3. Check the response / error and the log.</t>
  </si>
  <si>
    <t>200 OK - all hashtags cleared</t>
  </si>
  <si>
    <t>FR3.6.17-09</t>
  </si>
  <si>
    <t>[Boundary] Apply Hashtag with workspaceId = valid, taskId = valid, hashtagIds = 1 id</t>
  </si>
  <si>
    <t>1. Prepare the state listed in Pre-conditions.
2. Call HashtagServiceImpl.applyHashtags with: workspaceId = valid; taskId = valid; hashtagIds = 1 id.
3. Check the response / error and the log.</t>
  </si>
  <si>
    <t>200 OK - single hashtag</t>
  </si>
  <si>
    <t>FR3.6.17-10</t>
  </si>
  <si>
    <t>[Boundary] Apply Hashtag with workspaceId = valid, taskId = valid, hashtagIds = max allowed ids</t>
  </si>
  <si>
    <t>1. Prepare the state listed in Pre-conditions.
2. Call HashtagServiceImpl.applyHashtags with: workspaceId = valid; taskId = valid; hashtagIds = max allowed ids.
3. Check the response / error and the log.</t>
  </si>
  <si>
    <t>200 OK - max hashtags attached</t>
  </si>
  <si>
    <t>FR3.6.17-11</t>
  </si>
  <si>
    <t>[Boundary] Apply Hashtag with workspaceId = valid, taskId = valid, hashtagIds = max allowed + 1 ids</t>
  </si>
  <si>
    <t>1. Prepare the state listed in Pre-conditions.
2. Call HashtagServiceImpl.applyHashtags with: workspaceId = valid; taskId = valid; hashtagIds = max allowed + 1 ids.
3. Check the response / error and the log.</t>
  </si>
  <si>
    <t>Error: 400 VALIDATION_ERROR (too many hashtags)</t>
  </si>
  <si>
    <t>FR3.6.17-12</t>
  </si>
  <si>
    <t>[Abnormal] Apply Hashtag with workspaceId = valid, taskId = valid, hashtagIds = id from another workspace</t>
  </si>
  <si>
    <t>1. Prepare the state listed in Pre-conditions.
2. Call HashtagServiceImpl.applyHashtags with: workspaceId = valid; taskId = valid; hashtagIds = id from another workspace.
3. Check the response / error and the log.</t>
  </si>
  <si>
    <t>Error: 400 INVALID_HASHTAG</t>
  </si>
  <si>
    <t>FR3.6.17-13</t>
  </si>
  <si>
    <t>[Abnormal] Apply Hashtag with workspaceId = valid, taskId = valid, hashtagIds = soft-deleted hashtag id</t>
  </si>
  <si>
    <t>1. Prepare the state listed in Pre-conditions.
2. Call HashtagServiceImpl.applyHashtags with: workspaceId = valid; taskId = valid; hashtagIds = soft-deleted hashtag id.
3. Check the response / error and the log.</t>
  </si>
  <si>
    <t>FR3.6.17-14</t>
  </si>
  <si>
    <t>[Abnormal] Apply Hashtag with workspaceId = valid, taskId = valid, hashtagIds = null</t>
  </si>
  <si>
    <t>1. Prepare the state listed in Pre-conditions.
2. Call HashtagServiceImpl.applyHashtags with: workspaceId = valid; taskId = valid; hashtagIds = null.
3. Check the response / error and the log.</t>
  </si>
  <si>
    <t>Error: 400 VALIDATION_ERROR (hashtagIds required)</t>
  </si>
  <si>
    <t>FR3.6.17-15</t>
  </si>
  <si>
    <t>[Abnormal] Apply Hashtag with workspaceId = valid, taskId = non-existent, hashtagIds = 1 existing id</t>
  </si>
  <si>
    <t>1. Prepare the state listed in Pre-conditions.
2. Call HashtagServiceImpl.applyHashtags with: workspaceId = valid; taskId = non-existent; hashtagIds = 1 existing id.
3. Check the response / error and the log.</t>
  </si>
  <si>
    <t>Error: 404 TASK_NOT_FOUND</t>
  </si>
  <si>
    <t>- Can connect with server
- User is CREATOR or CLIENT of workspace
- Task does not exist</t>
  </si>
  <si>
    <t>FR3.6.17-16</t>
  </si>
  <si>
    <t>[Abnormal] Apply Hashtag with workspaceId = valid, taskId = livestream task, hashtagIds = 1 existing id</t>
  </si>
  <si>
    <t>1. Prepare the state listed in Pre-conditions.
2. Call HashtagServiceImpl.applyHashtags with: workspaceId = valid; taskId = livestream task; hashtagIds = 1 existing id.
3. Check the response / error and the log.</t>
  </si>
  <si>
    <t>Error: 400 INVALID_TASK_TYPE</t>
  </si>
  <si>
    <t>- Can connect with server
- User is CREATOR or CLIENT of workspace
- Task is not of type Post</t>
  </si>
  <si>
    <t>FR3.6.17-17</t>
  </si>
  <si>
    <t>[Abnormal] Apply Hashtag with workspaceId = valid, taskId = valid, hashtagIds = 1 existing id</t>
  </si>
  <si>
    <t>- Can connect with server
- User is MANAGER without edit right
- Task of type Post exists</t>
  </si>
  <si>
    <t>FR3.6.17-18</t>
  </si>
  <si>
    <t>[Abnormal] Apply Hashtag with workspaceId = valid, taskId = valid, hashtagIds = duplicate ids</t>
  </si>
  <si>
    <t>1. Prepare the state listed in Pre-conditions.
2. Call HashtagServiceImpl.applyHashtags with: workspaceId = valid; taskId = valid; hashtagIds = duplicate ids.
3. Check the response / error and the log.</t>
  </si>
  <si>
    <t>Error: 400 INVALID_HASHTAG (duplicate)</t>
  </si>
  <si>
    <t>FR3.6.18-01</t>
  </si>
  <si>
    <t>[Normal] View Hashtag Collection with workspaceId = valid</t>
  </si>
  <si>
    <t>1. Prepare the state listed in Pre-conditions.
2. Call HashtagServiceImpl.listHashtags with: workspaceId = valid.
3. Check the response / error and the log.</t>
  </si>
  <si>
    <t>200 OK - list of {id, tag, purpose, addedBy, isRequired}</t>
  </si>
  <si>
    <t>- Can connect with server
- User is CREATOR or CLIENT of workspace
- Workspace has hashtags</t>
  </si>
  <si>
    <t>FR3.6.18-02</t>
  </si>
  <si>
    <t>200 OK - item with isRequired=true</t>
  </si>
  <si>
    <t>- Can connect with server
- User is CLIENT
- Client added a required hashtag</t>
  </si>
  <si>
    <t>FR3.6.18-03</t>
  </si>
  <si>
    <t>200 OK - item with isRequired=false</t>
  </si>
  <si>
    <t>- Can connect with server
- User is CREATOR
- Creator added an optional hashtag</t>
  </si>
  <si>
    <t>FR3.6.18-04</t>
  </si>
  <si>
    <t>200 OK - items include purpose brand/campaign/trending/event-specific</t>
  </si>
  <si>
    <t>- Can connect with server
- User is CREATOR or CLIENT of workspace
- Hashtags of mixed purposes</t>
  </si>
  <si>
    <t>FR3.6.18-05</t>
  </si>
  <si>
    <t>200 OK - addedBy identifies the author</t>
  </si>
  <si>
    <t>FR3.6.18-06</t>
  </si>
  <si>
    <t>[Normal] View Hashtag Collection with workspaceId = valid, purpose = campaign</t>
  </si>
  <si>
    <t>1. Prepare the state listed in Pre-conditions.
2. Call HashtagServiceImpl.listHashtags with: workspaceId = valid; purpose = campaign.
3. Check the response / error and the log.</t>
  </si>
  <si>
    <t>200 OK - only campaign hashtags</t>
  </si>
  <si>
    <t>FR3.6.18-07</t>
  </si>
  <si>
    <t>200 OK - excludes status=removed hashtags</t>
  </si>
  <si>
    <t>- Can connect with server
- User is CREATOR or CLIENT of workspace
- Workspace has removed hashtags</t>
  </si>
  <si>
    <t>FR3.6.18-08</t>
  </si>
  <si>
    <t>200 OK - only this workspace hashtags</t>
  </si>
  <si>
    <t>- Can connect with server
- User is CREATOR or CLIENT of workspace
- Two workspaces have hashtags</t>
  </si>
  <si>
    <t>FR3.6.18-09</t>
  </si>
  <si>
    <t>[Boundary] View Hashtag Collection with workspaceId = valid</t>
  </si>
  <si>
    <t>- Can connect with server
- User is CREATOR or CLIENT of workspace
- Workspace has no hashtags</t>
  </si>
  <si>
    <t>FR3.6.18-10</t>
  </si>
  <si>
    <t>200 OK - list with 1 item</t>
  </si>
  <si>
    <t>- Can connect with server
- User is CREATOR or CLIENT of workspace
- Workspace has exactly 1 hashtag</t>
  </si>
  <si>
    <t>FR3.6.18-11</t>
  </si>
  <si>
    <t>200 OK - full list returned</t>
  </si>
  <si>
    <t>- Can connect with server
- User is CREATOR or CLIENT of workspace
- Workspace has 1000 hashtags</t>
  </si>
  <si>
    <t>FR3.6.18-12</t>
  </si>
  <si>
    <t>- Can connect with server
- User is CREATOR or CLIENT of workspace
- Only removed hashtags exist</t>
  </si>
  <si>
    <t>FR3.6.18-13</t>
  </si>
  <si>
    <t>[Abnormal] View Hashtag Collection with workspaceId = valid</t>
  </si>
  <si>
    <t>FR3.6.18-14</t>
  </si>
  <si>
    <t>- Can connect with server
- User not authenticated</t>
  </si>
  <si>
    <t>FR3.6.18-15</t>
  </si>
  <si>
    <t>[Abnormal] View Hashtag Collection with workspaceId = non-existent</t>
  </si>
  <si>
    <t>1. Prepare the state listed in Pre-conditions.
2. Call HashtagServiceImpl.listHashtags with: workspaceId = non-existent.
3. Check the response / error and the log.</t>
  </si>
  <si>
    <t>- Can connect with server
- User is CREATOR or CLIENT of workspace</t>
  </si>
  <si>
    <t>FR3.6.18-16</t>
  </si>
  <si>
    <t>[Abnormal] View Hashtag Collection with workspaceId = valid, purpose = unknown purpose</t>
  </si>
  <si>
    <t>1. Prepare the state listed in Pre-conditions.
2. Call HashtagServiceImpl.listHashtags with: workspaceId = valid; purpose = unknown purpose.
3. Check the response / error and the log.</t>
  </si>
  <si>
    <t>Error: 400 VALIDATION_ERROR (invalid purpose)</t>
  </si>
  <si>
    <t>FR3.6.18-17</t>
  </si>
  <si>
    <t>- Can connect with server
- User is MANAGER not in workspace</t>
  </si>
  <si>
    <t>FR3.6.19-01</t>
  </si>
  <si>
    <t>[Normal] Add Hashtag Collection with workspaceId = valid, tag = #brandhub, purpose = brand</t>
  </si>
  <si>
    <t>1. Prepare the state listed in Pre-conditions.
2. Call HashtagServiceImpl.addHashtag with: workspaceId = valid; tag = #brandhub; purpose = brand.
3. Check the response / error and the log.</t>
  </si>
  <si>
    <t>201 Created - {id, tag}
Log: Hashtag added</t>
  </si>
  <si>
    <t>- Can connect with server
- User is CREATOR or CLIENT of workspace
- Workspace exists and is active</t>
  </si>
  <si>
    <t>FR3.6.19-02</t>
  </si>
  <si>
    <t>[Normal] Add Hashtag Collection with workspaceId = valid, tag = #brandhub, purpose = event-specific</t>
  </si>
  <si>
    <t>1. Prepare the state listed in Pre-conditions.
2. Call HashtagServiceImpl.addHashtag with: workspaceId = valid; tag = #brandhub; purpose = event-specific; isRequired = true.
3. Check the response / error and the log.</t>
  </si>
  <si>
    <t>201 Created - isRequired=true</t>
  </si>
  <si>
    <t>- Can connect with server
- User is CLIENT
- Workspace exists and is active</t>
  </si>
  <si>
    <t>FR3.6.19-03</t>
  </si>
  <si>
    <t>[Normal] Add Hashtag Collection with workspaceId = valid, tag = #brandhub, purpose = trending</t>
  </si>
  <si>
    <t>1. Prepare the state listed in Pre-conditions.
2. Call HashtagServiceImpl.addHashtag with: workspaceId = valid; tag = #brandhub; purpose = trending.
3. Check the response / error and the log.</t>
  </si>
  <si>
    <t>201 Created - isRequired=false</t>
  </si>
  <si>
    <t>- Can connect with server
- User is CREATOR
- Workspace exists and is active</t>
  </si>
  <si>
    <t>FR3.6.19-04</t>
  </si>
  <si>
    <t>[Normal] Add Hashtag Collection with workspaceId = valid, tag = #brandhub, purpose = campaign</t>
  </si>
  <si>
    <t>1. Prepare the state listed in Pre-conditions.
2. Call HashtagServiceImpl.addHashtag with: workspaceId = valid; tag = #brandhub; purpose = campaign.
3. Check the response / error and the log.</t>
  </si>
  <si>
    <t>201 Created - purpose=campaign</t>
  </si>
  <si>
    <t>FR3.6.19-05</t>
  </si>
  <si>
    <t>201 Created - isRequired=false by default</t>
  </si>
  <si>
    <t>FR3.6.19-06</t>
  </si>
  <si>
    <t>[Normal] Add Hashtag Collection with workspaceId = valid, tag = brandhub, purpose = brand</t>
  </si>
  <si>
    <t>1. Prepare the state listed in Pre-conditions.
2. Call HashtagServiceImpl.addHashtag with: workspaceId = valid; tag = brandhub; purpose = brand.
3. Check the response / error and the log.</t>
  </si>
  <si>
    <t>201 Created - tag normalized with leading #</t>
  </si>
  <si>
    <t>FR3.6.19-07</t>
  </si>
  <si>
    <t>201 Created - allowed per workspace</t>
  </si>
  <si>
    <t>- Can connect with server
- User is CREATOR or CLIENT of workspace
- Workspace exists and is active
- Same tag exists in another workspace</t>
  </si>
  <si>
    <t>FR3.6.19-08</t>
  </si>
  <si>
    <t>201 Created - tag re-added</t>
  </si>
  <si>
    <t>- Can connect with server
- User is CREATOR or CLIENT of workspace
- Workspace exists and is active
- Same tag exists but removed</t>
  </si>
  <si>
    <t>FR3.6.19-09</t>
  </si>
  <si>
    <t>[Boundary] Add Hashtag Collection with workspaceId = valid, tag = 1 char after #, purpose = brand</t>
  </si>
  <si>
    <t>1. Prepare the state listed in Pre-conditions.
2. Call HashtagServiceImpl.addHashtag with: workspaceId = valid; tag = 1 char after #; purpose = brand.
3. Check the response / error and the log.</t>
  </si>
  <si>
    <t>201 Created - shortest tag</t>
  </si>
  <si>
    <t>FR3.6.19-10</t>
  </si>
  <si>
    <t>[Boundary] Add Hashtag Collection with workspaceId = valid, tag = max length tag, purpose = brand</t>
  </si>
  <si>
    <t>1. Prepare the state listed in Pre-conditions.
2. Call HashtagServiceImpl.addHashtag with: workspaceId = valid; tag = max length tag; purpose = brand.
3. Check the response / error and the log.</t>
  </si>
  <si>
    <t>201 Created - longest tag</t>
  </si>
  <si>
    <t>FR3.6.19-11</t>
  </si>
  <si>
    <t>[Boundary] Add Hashtag Collection with workspaceId = valid, tag = max length + 1 chars, purpose = brand</t>
  </si>
  <si>
    <t>1. Prepare the state listed in Pre-conditions.
2. Call HashtagServiceImpl.addHashtag with: workspaceId = valid; tag = max length + 1 chars; purpose = brand.
3. Check the response / error and the log.</t>
  </si>
  <si>
    <t>Error: 400 VALIDATION_ERROR (tag too long)</t>
  </si>
  <si>
    <t>FR3.6.19-12</t>
  </si>
  <si>
    <t>[Boundary] Add Hashtag Collection with workspaceId = valid, tag = empty, purpose = brand</t>
  </si>
  <si>
    <t>1. Prepare the state listed in Pre-conditions.
2. Call HashtagServiceImpl.addHashtag with: workspaceId = valid; tag = empty; purpose = brand.
3. Check the response / error and the log.</t>
  </si>
  <si>
    <t>Error: 400 VALIDATION_ERROR (tag required)</t>
  </si>
  <si>
    <t>FR3.6.19-13</t>
  </si>
  <si>
    <t>[Abnormal] Add Hashtag Collection with workspaceId = valid, tag = #brandhub, purpose = brand</t>
  </si>
  <si>
    <t>Error: 409 HASHTAG_ALREADY_EXISTS</t>
  </si>
  <si>
    <t>- Can connect with server
- User is CREATOR or CLIENT of workspace
- Workspace exists and is active
- Tag already exists in workspace</t>
  </si>
  <si>
    <t>FR3.6.19-14</t>
  </si>
  <si>
    <t>[Abnormal] Add Hashtag Collection with workspaceId = valid, tag = #BrandHub, purpose = brand</t>
  </si>
  <si>
    <t>1. Prepare the state listed in Pre-conditions.
2. Call HashtagServiceImpl.addHashtag with: workspaceId = valid; tag = #BrandHub; purpose = brand.
3. Check the response / error and the log.</t>
  </si>
  <si>
    <t>- Can connect with server
- User is CREATOR or CLIENT of workspace
- Workspace exists and is active
- Same tag exists with different case</t>
  </si>
  <si>
    <t>FR3.6.19-15</t>
  </si>
  <si>
    <t>[Abnormal] Add Hashtag Collection with workspaceId = valid, tag = null, purpose = brand</t>
  </si>
  <si>
    <t>1. Prepare the state listed in Pre-conditions.
2. Call HashtagServiceImpl.addHashtag with: workspaceId = valid; tag = null; purpose = brand.
3. Check the response / error and the log.</t>
  </si>
  <si>
    <t>FR3.6.19-16</t>
  </si>
  <si>
    <t>[Abnormal] Add Hashtag Collection with workspaceId = valid, tag = #brandhub, purpose = null</t>
  </si>
  <si>
    <t>1. Prepare the state listed in Pre-conditions.
2. Call HashtagServiceImpl.addHashtag with: workspaceId = valid; tag = #brandhub; purpose = null.
3. Check the response / error and the log.</t>
  </si>
  <si>
    <t>Error: 400 VALIDATION_ERROR (purpose required)</t>
  </si>
  <si>
    <t>FR3.6.19-17</t>
  </si>
  <si>
    <t>[Abnormal] Add Hashtag Collection with workspaceId = valid, tag = #brandhub, purpose = unknown</t>
  </si>
  <si>
    <t>1. Prepare the state listed in Pre-conditions.
2. Call HashtagServiceImpl.addHashtag with: workspaceId = valid; tag = #brandhub; purpose = unknown.
3. Check the response / error and the log.</t>
  </si>
  <si>
    <t>FR3.6.19-18</t>
  </si>
  <si>
    <t>[Abnormal] Add Hashtag Collection with workspaceId = valid, tag = has space, purpose = brand</t>
  </si>
  <si>
    <t>1. Prepare the state listed in Pre-conditions.
2. Call HashtagServiceImpl.addHashtag with: workspaceId = valid; tag = has space; purpose = brand.
3. Check the response / error and the log.</t>
  </si>
  <si>
    <t>Error: 400 VALIDATION_ERROR (invalid characters)</t>
  </si>
  <si>
    <t>FR3.6.19-19</t>
  </si>
  <si>
    <t>- Can connect with server
- User is MANAGER without permission
- Workspace exists and is active</t>
  </si>
  <si>
    <t>FR3.6.19-20</t>
  </si>
  <si>
    <t>[Abnormal] Add Hashtag Collection with workspaceId = non-existent, tag = #brandhub, purpose = brand</t>
  </si>
  <si>
    <t>1. Prepare the state listed in Pre-conditions.
2. Call HashtagServiceImpl.addHashtag with: workspaceId = non-existent; tag = #brandhub; purpose = brand.
3. Check the response / error and the log.</t>
  </si>
  <si>
    <t>- Can connect with server
- User is CREATOR or CLIENT of workspace
- Workspace does not exist</t>
  </si>
  <si>
    <t>FR3.6.20-01</t>
  </si>
  <si>
    <t>[Normal] Update Hashtag Collection with workspaceId = valid, hashtagId = valid, tag = #newtag</t>
  </si>
  <si>
    <t>1. Prepare the state listed in Pre-conditions.
2. Call HashtagServiceImpl.updateHashtag with: workspaceId = valid; hashtagId = valid; tag = #newtag.
3. Check the response / error and the log.</t>
  </si>
  <si>
    <t>200 OK - updated hashtag (tag changed)
Log: Hashtag updated</t>
  </si>
  <si>
    <t>- Can connect with server
- User is the creator of the hashtag
- Hashtag exists in workspace</t>
  </si>
  <si>
    <t>FR3.6.20-02</t>
  </si>
  <si>
    <t>[Normal] Update Hashtag Collection with workspaceId = valid, hashtagId = valid, purpose = campaign</t>
  </si>
  <si>
    <t>1. Prepare the state listed in Pre-conditions.
2. Call HashtagServiceImpl.updateHashtag with: workspaceId = valid; hashtagId = valid; purpose = campaign.
3. Check the response / error and the log.</t>
  </si>
  <si>
    <t>200 OK - updated hashtag (purpose changed)</t>
  </si>
  <si>
    <t>FR3.6.20-03</t>
  </si>
  <si>
    <t>[Normal] Update Hashtag Collection with workspaceId = valid, hashtagId = valid, isRequired = true</t>
  </si>
  <si>
    <t>1. Prepare the state listed in Pre-conditions.
2. Call HashtagServiceImpl.updateHashtag with: workspaceId = valid; hashtagId = valid; isRequired = true.
3. Check the response / error and the log.</t>
  </si>
  <si>
    <t>200 OK - isRequired=true</t>
  </si>
  <si>
    <t>- Can connect with server
- User is CLIENT who created hashtag
- Hashtag exists in workspace</t>
  </si>
  <si>
    <t>FR3.6.20-04</t>
  </si>
  <si>
    <t>[Normal] Update Hashtag Collection with workspaceId = valid, hashtagId = valid, isRequired = false</t>
  </si>
  <si>
    <t>1. Prepare the state listed in Pre-conditions.
2. Call HashtagServiceImpl.updateHashtag with: workspaceId = valid; hashtagId = valid; isRequired = false.
3. Check the response / error and the log.</t>
  </si>
  <si>
    <t>200 OK - isRequired=false</t>
  </si>
  <si>
    <t>FR3.6.20-05</t>
  </si>
  <si>
    <t>1. Prepare the state listed in Pre-conditions.
2. Call HashtagServiceImpl.updateHashtag with: workspaceId = valid; hashtagId = valid; tag = #newtag; purpose = trending; isRequired = false.
3. Check the response / error and the log.</t>
  </si>
  <si>
    <t>200 OK - all 3 fields updated</t>
  </si>
  <si>
    <t>FR3.6.20-06</t>
  </si>
  <si>
    <t>200 OK - old Tasks keep previous tag value</t>
  </si>
  <si>
    <t>- Can connect with server
- User is the creator of the hashtag
- Hashtag exists in workspace
- Hashtag applied to many old Tasks</t>
  </si>
  <si>
    <t>FR3.6.20-07</t>
  </si>
  <si>
    <t>[Normal] Update Hashtag Collection with workspaceId = valid, hashtagId = valid, tag = same tag as current</t>
  </si>
  <si>
    <t>1. Prepare the state listed in Pre-conditions.
2. Call HashtagServiceImpl.updateHashtag with: workspaceId = valid; hashtagId = valid; tag = same tag as current.
3. Check the response / error and the log.</t>
  </si>
  <si>
    <t>200 OK - unchanged hashtag returned</t>
  </si>
  <si>
    <t>FR3.6.20-08</t>
  </si>
  <si>
    <t>[Normal] Update Hashtag Collection with workspaceId = valid, hashtagId = valid</t>
  </si>
  <si>
    <t>1. Prepare the state listed in Pre-conditions.
2. Call HashtagServiceImpl.updateHashtag with: workspaceId = valid; hashtagId = valid.
3. Check the response / error and the log.</t>
  </si>
  <si>
    <t>200 OK - unchanged hashtag returned (empty patch)</t>
  </si>
  <si>
    <t>FR3.6.20-09</t>
  </si>
  <si>
    <t>[Boundary] Update Hashtag Collection with workspaceId = valid, hashtagId = valid, tag = 1 char after #</t>
  </si>
  <si>
    <t>1. Prepare the state listed in Pre-conditions.
2. Call HashtagServiceImpl.updateHashtag with: workspaceId = valid; hashtagId = valid; tag = 1 char after #.
3. Check the response / error and the log.</t>
  </si>
  <si>
    <t>200 OK - shortest tag</t>
  </si>
  <si>
    <t>FR3.6.20-10</t>
  </si>
  <si>
    <t>[Boundary] Update Hashtag Collection with workspaceId = valid, hashtagId = valid, tag = max length tag</t>
  </si>
  <si>
    <t>1. Prepare the state listed in Pre-conditions.
2. Call HashtagServiceImpl.updateHashtag with: workspaceId = valid; hashtagId = valid; tag = max length tag.
3. Check the response / error and the log.</t>
  </si>
  <si>
    <t>200 OK - longest tag</t>
  </si>
  <si>
    <t>FR3.6.20-11</t>
  </si>
  <si>
    <t>[Boundary] Update Hashtag Collection with workspaceId = valid, hashtagId = valid, tag = max length + 1 chars</t>
  </si>
  <si>
    <t>1. Prepare the state listed in Pre-conditions.
2. Call HashtagServiceImpl.updateHashtag with: workspaceId = valid; hashtagId = valid; tag = max length + 1 chars.
3. Check the response / error and the log.</t>
  </si>
  <si>
    <t>FR3.6.20-12</t>
  </si>
  <si>
    <t>[Boundary] Update Hashtag Collection with workspaceId = valid, hashtagId = valid, tag = empty</t>
  </si>
  <si>
    <t>1. Prepare the state listed in Pre-conditions.
2. Call HashtagServiceImpl.updateHashtag with: workspaceId = valid; hashtagId = valid; tag = empty.
3. Check the response / error and the log.</t>
  </si>
  <si>
    <t>Error: 400 VALIDATION_ERROR (tag cannot be empty)</t>
  </si>
  <si>
    <t>FR3.6.20-13</t>
  </si>
  <si>
    <t>[Abnormal] Update Hashtag Collection with workspaceId = valid, hashtagId = valid, tag = #newtag</t>
  </si>
  <si>
    <t>- Can connect with server
- User is not the creator and has no permission
- Hashtag exists in workspace</t>
  </si>
  <si>
    <t>FR3.6.20-14</t>
  </si>
  <si>
    <t>[Abnormal] Update Hashtag Collection with workspaceId = valid, hashtagId = non-existent</t>
  </si>
  <si>
    <t>1. Prepare the state listed in Pre-conditions.
2. Call HashtagServiceImpl.updateHashtag with: workspaceId = valid; hashtagId = non-existent.
3. Check the response / error and the log.</t>
  </si>
  <si>
    <t>Error: 404 HASHTAG_NOT_FOUND</t>
  </si>
  <si>
    <t>- Can connect with server
- User is the creator of the hashtag
- Hashtag does not exist</t>
  </si>
  <si>
    <t>FR3.6.20-15</t>
  </si>
  <si>
    <t>[Abnormal] Update Hashtag Collection with workspaceId = valid, hashtagId = removed</t>
  </si>
  <si>
    <t>1. Prepare the state listed in Pre-conditions.
2. Call HashtagServiceImpl.updateHashtag with: workspaceId = valid; hashtagId = removed.
3. Check the response / error and the log.</t>
  </si>
  <si>
    <t>- Can connect with server
- User is the creator of the hashtag
- Hashtag is removed</t>
  </si>
  <si>
    <t>FR3.6.20-16</t>
  </si>
  <si>
    <t>[Abnormal] Update Hashtag Collection with workspaceId = valid, hashtagId = valid, tag = duplicate tag</t>
  </si>
  <si>
    <t>1. Prepare the state listed in Pre-conditions.
2. Call HashtagServiceImpl.updateHashtag with: workspaceId = valid; hashtagId = valid; tag = duplicate tag.
3. Check the response / error and the log.</t>
  </si>
  <si>
    <t>- Can connect with server
- User is the creator of the hashtag
- Hashtag exists in workspace
- Another hashtag has the same tag</t>
  </si>
  <si>
    <t>FR3.6.20-17</t>
  </si>
  <si>
    <t>[Abnormal] Update Hashtag Collection with workspaceId = valid, hashtagId = valid, purpose = unknown</t>
  </si>
  <si>
    <t>1. Prepare the state listed in Pre-conditions.
2. Call HashtagServiceImpl.updateHashtag with: workspaceId = valid; hashtagId = valid; purpose = unknown.
3. Check the response / error and the log.</t>
  </si>
  <si>
    <t>FR3.6.20-18</t>
  </si>
  <si>
    <t>[Abnormal] Update Hashtag Collection with workspaceId = non-existent, hashtagId = valid</t>
  </si>
  <si>
    <t>1. Prepare the state listed in Pre-conditions.
2. Call HashtagServiceImpl.updateHashtag with: workspaceId = non-existent; hashtagId = valid.
3. Check the response / error and the log.</t>
  </si>
  <si>
    <t>- Can connect with server
- User is the creator of the hashtag
- Workspace does not exist</t>
  </si>
  <si>
    <t>FR3.6.20-19</t>
  </si>
  <si>
    <t>[Abnormal] Update Hashtag Collection with workspaceId = valid, hashtagId = other workspace hashtag</t>
  </si>
  <si>
    <t>1. Prepare the state listed in Pre-conditions.
2. Call HashtagServiceImpl.updateHashtag with: workspaceId = valid; hashtagId = other workspace hashtag.
3. Check the response / error and the log.</t>
  </si>
  <si>
    <t>- Can connect with server
- User is the creator of the hashtag
- Hashtag belongs to another workspace</t>
  </si>
  <si>
    <t>FR3.6.21-01</t>
  </si>
  <si>
    <t>[Normal] Remove Hashtag Collection with workspaceId = valid, hashtagId = valid</t>
  </si>
  <si>
    <t>1. Prepare the state listed in Pre-conditions.
2. Call HashtagServiceImpl.removeHashtag with: workspaceId = valid; hashtagId = valid.
3. Check the response / error and the log.</t>
  </si>
  <si>
    <t>200 OK - success=true, data=null
Log: Hashtag soft-deleted</t>
  </si>
  <si>
    <t>- Can connect with server
- User is CREATOR or CLIENT of workspace
- Hashtag exists in workspace</t>
  </si>
  <si>
    <t>FR3.6.21-02</t>
  </si>
  <si>
    <t>- Can connect with server
- User is CLIENT
- Hashtag exists in workspace</t>
  </si>
  <si>
    <t>FR3.6.21-03</t>
  </si>
  <si>
    <t>200 OK - old Tasks still show the hashtag</t>
  </si>
  <si>
    <t>- Can connect with server
- User is CREATOR or CLIENT of workspace
- Hashtag exists in workspace
- Hashtag applied to old Tasks</t>
  </si>
  <si>
    <t>FR3.6.21-04</t>
  </si>
  <si>
    <t>200 OK - status=removed</t>
  </si>
  <si>
    <t>FR3.6.21-05</t>
  </si>
  <si>
    <t>200 OK - hashtag no longer in selection list</t>
  </si>
  <si>
    <t>FR3.6.21-06</t>
  </si>
  <si>
    <t>200 OK - required hashtag removed</t>
  </si>
  <si>
    <t>- Can connect with server
- User is CREATOR or MANAGER
- Hashtag exists in workspace
- Hashtag is required, set by Client</t>
  </si>
  <si>
    <t>FR3.6.21-07</t>
  </si>
  <si>
    <t>200 OK - soft-deleted</t>
  </si>
  <si>
    <t>- Can connect with server
- User is CREATOR or CLIENT of workspace
- Hashtag exists in workspace
- Hashtag not used by any Task</t>
  </si>
  <si>
    <t>FR3.6.21-08</t>
  </si>
  <si>
    <t>[Boundary] Remove Hashtag Collection with workspaceId = valid, hashtagId = valid</t>
  </si>
  <si>
    <t>200 OK - collection becomes empty</t>
  </si>
  <si>
    <t>- Can connect with server
- User is CREATOR or CLIENT of workspace
- Collection has exactly 1 hashtag</t>
  </si>
  <si>
    <t>FR3.6.21-09</t>
  </si>
  <si>
    <t>- Can connect with server
- User is CREATOR or CLIENT of workspace
- Hashtag exists in workspace
- Hashtag applied to many Tasks</t>
  </si>
  <si>
    <t>FR3.6.21-10</t>
  </si>
  <si>
    <t>200 OK - removedAt set once</t>
  </si>
  <si>
    <t>FR3.6.21-11</t>
  </si>
  <si>
    <t>[Abnormal] Remove Hashtag Collection with workspaceId = valid, hashtagId = valid</t>
  </si>
  <si>
    <t>- Can connect with server
- User has no permission
- Hashtag exists in workspace</t>
  </si>
  <si>
    <t>FR3.6.21-12</t>
  </si>
  <si>
    <t>[Abnormal] Remove Hashtag Collection with workspaceId = valid, hashtagId = non-existent</t>
  </si>
  <si>
    <t>1. Prepare the state listed in Pre-conditions.
2. Call HashtagServiceImpl.removeHashtag with: workspaceId = valid; hashtagId = non-existent.
3. Check the response / error and the log.</t>
  </si>
  <si>
    <t>- Can connect with server
- User is CREATOR or CLIENT of workspace
- Hashtag does not exist</t>
  </si>
  <si>
    <t>FR3.6.21-13</t>
  </si>
  <si>
    <t>[Abnormal] Remove Hashtag Collection with workspaceId = valid, hashtagId = removed</t>
  </si>
  <si>
    <t>1. Prepare the state listed in Pre-conditions.
2. Call HashtagServiceImpl.removeHashtag with: workspaceId = valid; hashtagId = removed.
3. Check the response / error and the log.</t>
  </si>
  <si>
    <t>- Can connect with server
- User is CREATOR or CLIENT of workspace
- Hashtag already removed</t>
  </si>
  <si>
    <t>FR3.6.21-14</t>
  </si>
  <si>
    <t>[Abnormal] Remove Hashtag Collection with workspaceId = non-existent, hashtagId = valid</t>
  </si>
  <si>
    <t>1. Prepare the state listed in Pre-conditions.
2. Call HashtagServiceImpl.removeHashtag with: workspaceId = non-existent; hashtagId = valid.
3. Check the response / error and the log.</t>
  </si>
  <si>
    <t>FR3.6.21-15</t>
  </si>
  <si>
    <t>[Abnormal] Remove Hashtag Collection with workspaceId = valid, hashtagId = other workspace hashtag</t>
  </si>
  <si>
    <t>1. Prepare the state listed in Pre-conditions.
2. Call HashtagServiceImpl.removeHashtag with: workspaceId = valid; hashtagId = other workspace hashtag.
3. Check the response / error and the log.</t>
  </si>
  <si>
    <t>- Can connect with server
- User is CREATOR or CLIENT of workspace
- Hashtag belongs to another workspace</t>
  </si>
  <si>
    <t>FR3.6.21-16</t>
  </si>
  <si>
    <t>- Can connect with server
- User not authenticated
- Hashtag exists in workspace</t>
  </si>
  <si>
    <t>FR3.6.22-01</t>
  </si>
  <si>
    <t>[Normal] Write Livestream Idea with workspaceId = valid, taskId = valid, idea = Launch new serum live</t>
  </si>
  <si>
    <t>1. Prepare the state listed in Pre-conditions.
2. Call LivestreamServiceImpl.updateIdea with: workspaceId = valid; taskId = valid; idea = Launch new serum live; goal = Product launch.
3. Check the response / error and the log.</t>
  </si>
  <si>
    <t>200 OK - updated livestream session
Log: Livestream idea saved</t>
  </si>
  <si>
    <t>- Can connect with server
- User is MANAGER or CREATOR of workspace
- Task of type livestream exists</t>
  </si>
  <si>
    <t>FR3.6.22-02</t>
  </si>
  <si>
    <t>[Normal] Write Livestream Idea with workspaceId = valid, taskId = valid, idea = Brand story live</t>
  </si>
  <si>
    <t>1. Prepare the state listed in Pre-conditions.
2. Call LivestreamServiceImpl.updateIdea with: workspaceId = valid; taskId = valid; idea = Brand story live; goal = Increase brand awareness.
3. Check the response / error and the log.</t>
  </si>
  <si>
    <t>200 OK - updated livestream session</t>
  </si>
  <si>
    <t>- Can connect with server
- User is MANAGER
- Task of type livestream exists</t>
  </si>
  <si>
    <t>FR3.6.22-03</t>
  </si>
  <si>
    <t>[Normal] Write Livestream Idea with workspaceId = valid, taskId = valid, idea = Q&amp;A with founder</t>
  </si>
  <si>
    <t>1. Prepare the state listed in Pre-conditions.
2. Call LivestreamServiceImpl.updateIdea with: workspaceId = valid; taskId = valid; idea = Q&amp;A with founder; goal = Engagement.
3. Check the response / error and the log.</t>
  </si>
  <si>
    <t>- Can connect with server
- User is CREATOR
- Task of type livestream exists</t>
  </si>
  <si>
    <t>FR3.6.22-04</t>
  </si>
  <si>
    <t>[Normal] Write Livestream Idea with workspaceId = valid, taskId = valid, idea = Revised idea</t>
  </si>
  <si>
    <t>1. Prepare the state listed in Pre-conditions.
2. Call LivestreamServiceImpl.updateIdea with: workspaceId = valid; taskId = valid; idea = Revised idea; goal = Revised goal.
3. Check the response / error and the log.</t>
  </si>
  <si>
    <t>200 OK - idea and goal overwritten</t>
  </si>
  <si>
    <t>- Can connect with server
- User is MANAGER or CREATOR of workspace
- Task of type livestream exists
- Idea already saved</t>
  </si>
  <si>
    <t>FR3.6.22-05</t>
  </si>
  <si>
    <t>[Normal] Write Livestream Idea with workspaceId = valid, taskId = valid, idea = Idea only</t>
  </si>
  <si>
    <t>1. Prepare the state listed in Pre-conditions.
2. Call LivestreamServiceImpl.updateIdea with: workspaceId = valid; taskId = valid; idea = Idea only.
3. Check the response / error and the log.</t>
  </si>
  <si>
    <t>200 OK - idea saved, goal unchanged</t>
  </si>
  <si>
    <t>FR3.6.22-06</t>
  </si>
  <si>
    <t>[Normal] Write Livestream Idea with workspaceId = valid, taskId = valid, goal = Goal only</t>
  </si>
  <si>
    <t>1. Prepare the state listed in Pre-conditions.
2. Call LivestreamServiceImpl.updateIdea with: workspaceId = valid; taskId = valid; goal = Goal only.
3. Check the response / error and the log.</t>
  </si>
  <si>
    <t>200 OK - goal saved, idea unchanged</t>
  </si>
  <si>
    <t>FR3.6.22-07</t>
  </si>
  <si>
    <t>[Normal] Write Livestream Idea with workspaceId = valid, taskId = valid, idea = Idea</t>
  </si>
  <si>
    <t>1. Prepare the state listed in Pre-conditions.
2. Call LivestreamServiceImpl.updateIdea with: workspaceId = valid; taskId = valid; idea = Idea; goal = Goal.
3. Check the response / error and the log.</t>
  </si>
  <si>
    <t>200 OK - status stays PRE_LIVE</t>
  </si>
  <si>
    <t>- Can connect with server
- User is MANAGER or CREATOR of workspace
- Task of type livestream exists
- Livestream status is PRE_LIVE</t>
  </si>
  <si>
    <t>FR3.6.22-08</t>
  </si>
  <si>
    <t>[Boundary] Write Livestream Idea with workspaceId = valid, taskId = valid, idea = 1 char</t>
  </si>
  <si>
    <t>1. Prepare the state listed in Pre-conditions.
2. Call LivestreamServiceImpl.updateIdea with: workspaceId = valid; taskId = valid; idea = 1 char; goal = 1 char.
3. Check the response / error and the log.</t>
  </si>
  <si>
    <t>200 OK - shortest values saved</t>
  </si>
  <si>
    <t>FR3.6.22-09</t>
  </si>
  <si>
    <t>[Boundary] Write Livestream Idea with workspaceId = valid, taskId = valid, idea = max length</t>
  </si>
  <si>
    <t>1. Prepare the state listed in Pre-conditions.
2. Call LivestreamServiceImpl.updateIdea with: workspaceId = valid; taskId = valid; idea = max length; goal = max length.
3. Check the response / error and the log.</t>
  </si>
  <si>
    <t>200 OK - longest values saved</t>
  </si>
  <si>
    <t>FR3.6.22-10</t>
  </si>
  <si>
    <t>[Boundary] Write Livestream Idea with workspaceId = valid, taskId = valid, idea = max length + 1 chars</t>
  </si>
  <si>
    <t>1. Prepare the state listed in Pre-conditions.
2. Call LivestreamServiceImpl.updateIdea with: workspaceId = valid; taskId = valid; idea = max length + 1 chars; goal = Goal.
3. Check the response / error and the log.</t>
  </si>
  <si>
    <t>Error: 400 VALIDATION_ERROR (idea too long)</t>
  </si>
  <si>
    <t>FR3.6.22-11</t>
  </si>
  <si>
    <t>[Boundary] Write Livestream Idea with workspaceId = valid, taskId = valid, idea = empty</t>
  </si>
  <si>
    <t>1. Prepare the state listed in Pre-conditions.
2. Call LivestreamServiceImpl.updateIdea with: workspaceId = valid; taskId = valid; idea = empty; goal = Goal.
3. Check the response / error and the log.</t>
  </si>
  <si>
    <t>Error: 400 VALIDATION_ERROR (idea required)</t>
  </si>
  <si>
    <t>FR3.6.22-12</t>
  </si>
  <si>
    <t>[Abnormal] Write Livestream Idea with workspaceId = valid, taskId = post task, idea = Idea</t>
  </si>
  <si>
    <t>1. Prepare the state listed in Pre-conditions.
2. Call LivestreamServiceImpl.updateIdea with: workspaceId = valid; taskId = post task; idea = Idea; goal = Goal.
3. Check the response / error and the log.</t>
  </si>
  <si>
    <t>- Can connect with server
- User is MANAGER or CREATOR of workspace
- Task is of type Post</t>
  </si>
  <si>
    <t>FR3.6.22-13</t>
  </si>
  <si>
    <t>[Abnormal] Write Livestream Idea with workspaceId = valid, taskId = non-existent, idea = Idea</t>
  </si>
  <si>
    <t>1. Prepare the state listed in Pre-conditions.
2. Call LivestreamServiceImpl.updateIdea with: workspaceId = valid; taskId = non-existent; idea = Idea; goal = Goal.
3. Check the response / error and the log.</t>
  </si>
  <si>
    <t>- Can connect with server
- User is MANAGER or CREATOR of workspace
- Task does not exist</t>
  </si>
  <si>
    <t>FR3.6.22-14</t>
  </si>
  <si>
    <t>[Abnormal] Write Livestream Idea with workspaceId = valid, taskId = valid, idea = Idea</t>
  </si>
  <si>
    <t>- Can connect with server
- User is CLIENT
- Task of type livestream exists</t>
  </si>
  <si>
    <t>FR3.6.22-15</t>
  </si>
  <si>
    <t>[Abnormal] Write Livestream Idea with workspaceId = valid, taskId = valid, idea = null</t>
  </si>
  <si>
    <t>1. Prepare the state listed in Pre-conditions.
2. Call LivestreamServiceImpl.updateIdea with: workspaceId = valid; taskId = valid; idea = null; goal = null.
3. Check the response / error and the log.</t>
  </si>
  <si>
    <t>FR3.6.22-16</t>
  </si>
  <si>
    <t>1. Prepare the state listed in Pre-conditions.
2. Call LivestreamServiceImpl.updateIdea with: workspaceId = valid; taskId = valid; idea = Idea; goal = empty.
3. Check the response / error and the log.</t>
  </si>
  <si>
    <t>Error: 400 VALIDATION_ERROR (goal required)</t>
  </si>
  <si>
    <t>FR3.6.22-17</t>
  </si>
  <si>
    <t>[Abnormal] Write Livestream Idea with workspaceId = non-existent, taskId = valid, idea = Idea</t>
  </si>
  <si>
    <t>1. Prepare the state listed in Pre-conditions.
2. Call LivestreamServiceImpl.updateIdea with: workspaceId = non-existent; taskId = valid; idea = Idea; goal = Goal.
3. Check the response / error and the log.</t>
  </si>
  <si>
    <t>- Can connect with server
- User is MANAGER or CREATOR of workspace
- Workspace does not exist</t>
  </si>
  <si>
    <t>FR3.6.22-18</t>
  </si>
  <si>
    <t>[Abnormal] Write Livestream Idea with workspaceId = valid, taskId = deleted, idea = Idea</t>
  </si>
  <si>
    <t>1. Prepare the state listed in Pre-conditions.
2. Call LivestreamServiceImpl.updateIdea with: workspaceId = valid; taskId = deleted; idea = Idea; goal = Goal.
3. Check the response / error and the log.</t>
  </si>
  <si>
    <t>- Can connect with server
- User is MANAGER or CREATOR of workspace
- Task is soft-deleted</t>
  </si>
  <si>
    <t>FR3.6.23-01</t>
  </si>
  <si>
    <t>[Normal] Write Livestream Script with workspaceId = valid, taskId = valid, segments = 1 segment 0:10 intro</t>
  </si>
  <si>
    <t>1. Prepare the state listed in Pre-conditions.
2. Call LivestreamServiceImpl.updateScript with: workspaceId = valid; taskId = valid; segments = 1 segment 0:10 intro.
3. Check the response / error and the log.</t>
  </si>
  <si>
    <t>200 OK - updated script with 1 segment
Log: Livestream script saved</t>
  </si>
  <si>
    <t>- Can connect with server
- User is CREATOR of workspace
- Task of type livestream exists</t>
  </si>
  <si>
    <t>FR3.6.23-02</t>
  </si>
  <si>
    <t>[Normal] Write Livestream Script with workspaceId = valid, taskId = valid, segments = 3 segments 0:10, 15:20, 21:30</t>
  </si>
  <si>
    <t>1. Prepare the state listed in Pre-conditions.
2. Call LivestreamServiceImpl.updateScript with: workspaceId = valid; taskId = valid; segments = 3 segments 0:10, 15:20, 21:30.
3. Check the response / error and the log.</t>
  </si>
  <si>
    <t>200 OK - updated script with 3 segments in order</t>
  </si>
  <si>
    <t>FR3.6.23-03</t>
  </si>
  <si>
    <t>[Normal] Write Livestream Script with workspaceId = valid, taskId = valid, segments = 2 new segments</t>
  </si>
  <si>
    <t>1. Prepare the state listed in Pre-conditions.
2. Call LivestreamServiceImpl.updateScript with: workspaceId = valid; taskId = valid; segments = 2 new segments.
3. Check the response / error and the log.</t>
  </si>
  <si>
    <t>200 OK - script replaced by new segments</t>
  </si>
  <si>
    <t>- Can connect with server
- User is CREATOR of workspace
- Task of type livestream exists
- Script already saved</t>
  </si>
  <si>
    <t>FR3.6.23-04</t>
  </si>
  <si>
    <t>[Normal] Write Livestream Script with workspaceId = valid, taskId = valid, segments = AI-generated draft edited</t>
  </si>
  <si>
    <t>1. Prepare the state listed in Pre-conditions.
2. Call LivestreamServiceImpl.updateScript with: workspaceId = valid; taskId = valid; segments = AI-generated draft edited.
3. Check the response / error and the log.</t>
  </si>
  <si>
    <t>200 OK - updated script</t>
  </si>
  <si>
    <t>FR3.6.23-05</t>
  </si>
  <si>
    <t>[Normal] Write Livestream Script with workspaceId = valid, taskId = valid, segments = segments given out of order</t>
  </si>
  <si>
    <t>1. Prepare the state listed in Pre-conditions.
2. Call LivestreamServiceImpl.updateScript with: workspaceId = valid; taskId = valid; segments = segments given out of order.
3. Check the response / error and the log.</t>
  </si>
  <si>
    <t>200 OK - segments sorted by timeMark</t>
  </si>
  <si>
    <t>FR3.6.23-06</t>
  </si>
  <si>
    <t>[Normal] Write Livestream Script with workspaceId = valid, taskId = valid, segments = segment with multi-line content</t>
  </si>
  <si>
    <t>1. Prepare the state listed in Pre-conditions.
2. Call LivestreamServiceImpl.updateScript with: workspaceId = valid; taskId = valid; segments = segment with multi-line content.
3. Check the response / error and the log.</t>
  </si>
  <si>
    <t>200 OK - content preserved</t>
  </si>
  <si>
    <t>FR3.6.23-07</t>
  </si>
  <si>
    <t>[Normal] Write Livestream Script with workspaceId = valid, taskId = valid, segments = 1 segment</t>
  </si>
  <si>
    <t>1. Prepare the state listed in Pre-conditions.
2. Call LivestreamServiceImpl.updateScript with: workspaceId = valid; taskId = valid; segments = 1 segment.
3. Check the response / error and the log.</t>
  </si>
  <si>
    <t>200 OK - idea unchanged</t>
  </si>
  <si>
    <t>- Can connect with server
- User is CREATOR of workspace
- Task of type livestream exists
- Livestream idea saved</t>
  </si>
  <si>
    <t>FR3.6.23-08</t>
  </si>
  <si>
    <t>[Boundary] Write Livestream Script with workspaceId = valid, taskId = valid, segments = empty list</t>
  </si>
  <si>
    <t>1. Prepare the state listed in Pre-conditions.
2. Call LivestreamServiceImpl.updateScript with: workspaceId = valid; taskId = valid; segments = empty list.
3. Check the response / error and the log.</t>
  </si>
  <si>
    <t>200 OK - script cleared</t>
  </si>
  <si>
    <t>FR3.6.23-09</t>
  </si>
  <si>
    <t>[Boundary] Write Livestream Script with workspaceId = valid, taskId = valid, segments = timeMark 0:00</t>
  </si>
  <si>
    <t>1. Prepare the state listed in Pre-conditions.
2. Call LivestreamServiceImpl.updateScript with: workspaceId = valid; taskId = valid; segments = timeMark 0:00.
3. Check the response / error and the log.</t>
  </si>
  <si>
    <t>200 OK - first possible mark</t>
  </si>
  <si>
    <t>FR3.6.23-10</t>
  </si>
  <si>
    <t>[Boundary] Write Livestream Script with workspaceId = valid, taskId = valid, segments = max allowed segments</t>
  </si>
  <si>
    <t>1. Prepare the state listed in Pre-conditions.
2. Call LivestreamServiceImpl.updateScript with: workspaceId = valid; taskId = valid; segments = max allowed segments.
3. Check the response / error and the log.</t>
  </si>
  <si>
    <t>200 OK - all segments saved</t>
  </si>
  <si>
    <t>FR3.6.23-11</t>
  </si>
  <si>
    <t>[Boundary] Write Livestream Script with workspaceId = valid, taskId = valid, segments = max allowed + 1 segments</t>
  </si>
  <si>
    <t>1. Prepare the state listed in Pre-conditions.
2. Call LivestreamServiceImpl.updateScript with: workspaceId = valid; taskId = valid; segments = max allowed + 1 segments.
3. Check the response / error and the log.</t>
  </si>
  <si>
    <t>Error: 400 VALIDATION_ERROR (too many segments)</t>
  </si>
  <si>
    <t>FR3.6.23-12</t>
  </si>
  <si>
    <t>[Boundary] Write Livestream Script with workspaceId = valid, taskId = valid, segments = content max length + 1 chars</t>
  </si>
  <si>
    <t>1. Prepare the state listed in Pre-conditions.
2. Call LivestreamServiceImpl.updateScript with: workspaceId = valid; taskId = valid; segments = content max length + 1 chars.
3. Check the response / error and the log.</t>
  </si>
  <si>
    <t>Error: 400 VALIDATION_ERROR (content too long)</t>
  </si>
  <si>
    <t>FR3.6.23-13</t>
  </si>
  <si>
    <t>[Abnormal] Write Livestream Script with workspaceId = valid, taskId = post task, segments = 1 segment</t>
  </si>
  <si>
    <t>1. Prepare the state listed in Pre-conditions.
2. Call LivestreamServiceImpl.updateScript with: workspaceId = valid; taskId = post task; segments = 1 segment.
3. Check the response / error and the log.</t>
  </si>
  <si>
    <t>- Can connect with server
- User is CREATOR of workspace
- Task is of type Post</t>
  </si>
  <si>
    <t>FR3.6.23-14</t>
  </si>
  <si>
    <t>[Abnormal] Write Livestream Script with workspaceId = valid, taskId = non-existent, segments = 1 segment</t>
  </si>
  <si>
    <t>1. Prepare the state listed in Pre-conditions.
2. Call LivestreamServiceImpl.updateScript with: workspaceId = valid; taskId = non-existent; segments = 1 segment.
3. Check the response / error and the log.</t>
  </si>
  <si>
    <t>FR3.6.23-15</t>
  </si>
  <si>
    <t>[Abnormal] Write Livestream Script with workspaceId = valid, taskId = valid, segments = 1 segment</t>
  </si>
  <si>
    <t>- Can connect with server
- User is MANAGER or CLIENT
- Task of type livestream exists</t>
  </si>
  <si>
    <t>FR3.6.23-16</t>
  </si>
  <si>
    <t>[Abnormal] Write Livestream Script with workspaceId = valid, taskId = valid, segments = null</t>
  </si>
  <si>
    <t>1. Prepare the state listed in Pre-conditions.
2. Call LivestreamServiceImpl.updateScript with: workspaceId = valid; taskId = valid; segments = null.
3. Check the response / error and the log.</t>
  </si>
  <si>
    <t>Error: 400 VALIDATION_ERROR (segments required)</t>
  </si>
  <si>
    <t>FR3.6.23-17</t>
  </si>
  <si>
    <t>[Abnormal] Write Livestream Script with workspaceId = valid, taskId = valid, segments = timeMark invalid format abc</t>
  </si>
  <si>
    <t>1. Prepare the state listed in Pre-conditions.
2. Call LivestreamServiceImpl.updateScript with: workspaceId = valid; taskId = valid; segments = timeMark invalid format abc.
3. Check the response / error and the log.</t>
  </si>
  <si>
    <t>Error: 400 VALIDATION_ERROR (invalid timeMark)</t>
  </si>
  <si>
    <t>FR3.6.23-18</t>
  </si>
  <si>
    <t>[Abnormal] Write Livestream Script with workspaceId = valid, taskId = valid, segments = duplicate timeMark</t>
  </si>
  <si>
    <t>1. Prepare the state listed in Pre-conditions.
2. Call LivestreamServiceImpl.updateScript with: workspaceId = valid; taskId = valid; segments = duplicate timeMark.
3. Check the response / error and the log.</t>
  </si>
  <si>
    <t>Error: 400 VALIDATION_ERROR (duplicate timeMark)</t>
  </si>
  <si>
    <t>FR3.6.23-19</t>
  </si>
  <si>
    <t>[Abnormal] Write Livestream Script with workspaceId = valid, taskId = valid, segments = segment with empty content</t>
  </si>
  <si>
    <t>1. Prepare the state listed in Pre-conditions.
2. Call LivestreamServiceImpl.updateScript with: workspaceId = valid; taskId = valid; segments = segment with empty content.
3. Check the response / error and the log.</t>
  </si>
  <si>
    <t>Error: 400 VALIDATION_ERROR (content required)</t>
  </si>
  <si>
    <t>FR3.6.24-01</t>
  </si>
  <si>
    <t>[Normal] Track Livestream Status with workspaceId = valid, taskId = valid, status = live</t>
  </si>
  <si>
    <t>1. Prepare the state listed in Pre-conditions.
2. Call LivestreamServiceImpl.updateStatus with: workspaceId = valid; taskId = valid; status = live.
3. Check the response / error and the log.</t>
  </si>
  <si>
    <t>200 OK - status=live
Log: Livestream status changed</t>
  </si>
  <si>
    <t>- Can connect with server
- User is CREATOR of workspace
- Task of type livestream exists
- Livestream status is PRE_LIVE</t>
  </si>
  <si>
    <t>FR3.6.24-02</t>
  </si>
  <si>
    <t>[Normal] Track Livestream Status with workspaceId = valid, taskId = valid, status = post_live</t>
  </si>
  <si>
    <t>1. Prepare the state listed in Pre-conditions.
2. Call LivestreamServiceImpl.updateStatus with: workspaceId = valid; taskId = valid; status = post_live.
3. Check the response / error and the log.</t>
  </si>
  <si>
    <t>200 OK - status=post_live</t>
  </si>
  <si>
    <t>- Can connect with server
- User is CREATOR of workspace
- Task of type livestream exists
- Livestream status is LIVE</t>
  </si>
  <si>
    <t>FR3.6.24-03</t>
  </si>
  <si>
    <t>[Normal] Track Livestream Status with workspaceId = valid, taskId = valid, status = done</t>
  </si>
  <si>
    <t>1. Prepare the state listed in Pre-conditions.
2. Call LivestreamServiceImpl.updateStatus with: workspaceId = valid; taskId = valid; status = done.
3. Check the response / error and the log.</t>
  </si>
  <si>
    <t>200 OK - status=done; parent Task goes to Approval Sequence</t>
  </si>
  <si>
    <t>- Can connect with server
- User is CREATOR of workspace
- Task of type livestream exists
- Livestream status is POST_LIVE</t>
  </si>
  <si>
    <t>FR3.6.24-04</t>
  </si>
  <si>
    <t>[Normal] Track Livestream Status with workspaceId = valid, taskId = valid, status = cancel</t>
  </si>
  <si>
    <t>1. Prepare the state listed in Pre-conditions.
2. Call LivestreamServiceImpl.updateStatus with: workspaceId = valid; taskId = valid; status = cancel.
3. Check the response / error and the log.</t>
  </si>
  <si>
    <t>200 OK - status=cancel</t>
  </si>
  <si>
    <t>FR3.6.24-05</t>
  </si>
  <si>
    <t>FR3.6.24-06</t>
  </si>
  <si>
    <t>[Normal] Track Livestream Status with workspaceId = valid, taskId = valid, status = pre_live</t>
  </si>
  <si>
    <t>1. Prepare the state listed in Pre-conditions.
2. Call LivestreamServiceImpl.updateStatus with: workspaceId = valid; taskId = valid; status = pre_live.
3. Check the response / error and the log.</t>
  </si>
  <si>
    <t>200 OK - status unchanged (same state)</t>
  </si>
  <si>
    <t>FR3.6.24-07</t>
  </si>
  <si>
    <t>200 OK - status unchanged (idempotent)</t>
  </si>
  <si>
    <t>- Can connect with server
- User is CREATOR of workspace
- Task of type livestream exists
- Livestream status is DONE</t>
  </si>
  <si>
    <t>FR3.6.24-08</t>
  </si>
  <si>
    <t>[Boundary] Track Livestream Status with workspaceId = valid, taskId = valid, status = live</t>
  </si>
  <si>
    <t>200 OK - first transition from default PRE_LIVE</t>
  </si>
  <si>
    <t>- Can connect with server
- User is CREATOR of workspace
- Task of type livestream exists
- New livestream just created</t>
  </si>
  <si>
    <t>FR3.6.24-09</t>
  </si>
  <si>
    <t>[Boundary] Track Livestream Status with workspaceId = valid, taskId = valid, status = done</t>
  </si>
  <si>
    <t>200 OK - last transition reaches DONE</t>
  </si>
  <si>
    <t>FR3.6.24-10</t>
  </si>
  <si>
    <t>[Boundary] Track Livestream Status with workspaceId = valid, taskId = valid, status = cancel</t>
  </si>
  <si>
    <t>Error: 409 INVALID_LIVESTREAM_TRANSITION</t>
  </si>
  <si>
    <t>FR3.6.24-11</t>
  </si>
  <si>
    <t>[Abnormal] Track Livestream Status with workspaceId = valid, taskId = valid, status = live</t>
  </si>
  <si>
    <t>FR3.6.24-12</t>
  </si>
  <si>
    <t>[Abnormal] Track Livestream Status with workspaceId = valid, taskId = valid, status = post_live</t>
  </si>
  <si>
    <t>FR3.6.24-13</t>
  </si>
  <si>
    <t>[Abnormal] Track Livestream Status with workspaceId = valid, taskId = valid, status = done</t>
  </si>
  <si>
    <t>FR3.6.24-14</t>
  </si>
  <si>
    <t>- Can connect with server
- User is CREATOR of workspace
- Task of type livestream exists
- Livestream status is CANCEL</t>
  </si>
  <si>
    <t>FR3.6.24-15</t>
  </si>
  <si>
    <t>[Abnormal] Track Livestream Status with workspaceId = valid, taskId = valid, status = pre_live</t>
  </si>
  <si>
    <t>FR3.6.24-16</t>
  </si>
  <si>
    <t>[Abnormal] Track Livestream Status with workspaceId = valid, taskId = valid, status = unknown</t>
  </si>
  <si>
    <t>1. Prepare the state listed in Pre-conditions.
2. Call LivestreamServiceImpl.updateStatus with: workspaceId = valid; taskId = valid; status = unknown.
3. Check the response / error and the log.</t>
  </si>
  <si>
    <t>Error: 400 VALIDATION_ERROR (invalid status)</t>
  </si>
  <si>
    <t>FR3.6.24-17</t>
  </si>
  <si>
    <t>[Abnormal] Track Livestream Status with workspaceId = valid, taskId = valid, status = null</t>
  </si>
  <si>
    <t>1. Prepare the state listed in Pre-conditions.
2. Call LivestreamServiceImpl.updateStatus with: workspaceId = valid; taskId = valid; status = null.
3. Check the response / error and the log.</t>
  </si>
  <si>
    <t>Error: 400 VALIDATION_ERROR (status required)</t>
  </si>
  <si>
    <t>FR3.6.24-18</t>
  </si>
  <si>
    <t>[Abnormal] Track Livestream Status with workspaceId = valid, taskId = post task, status = live</t>
  </si>
  <si>
    <t>1. Prepare the state listed in Pre-conditions.
2. Call LivestreamServiceImpl.updateStatus with: workspaceId = valid; taskId = post task; status = live.
3. Check the response / error and the log.</t>
  </si>
  <si>
    <t>FR3.6.24-19</t>
  </si>
  <si>
    <t>[Abnormal] Track Livestream Status with workspaceId = valid, taskId = non-existent, status = live</t>
  </si>
  <si>
    <t>1. Prepare the state listed in Pre-conditions.
2. Call LivestreamServiceImpl.updateStatus with: workspaceId = valid; taskId = non-existent; status = live.
3. Check the response / error and the log.</t>
  </si>
  <si>
    <t>FR3.6.24-20</t>
  </si>
  <si>
    <t>FR3.6.25-01</t>
  </si>
  <si>
    <t>[Normal] Create Survey with questions = 3 valid questions (text, multiple choice, rating)</t>
  </si>
  <si>
    <t>1. Prepare the state listed in Pre-conditions.
2. Call SurveyServiceImpl.createSurvey with: questions = 3 valid questions (text, multiple choice, rating).
3. Check the response / error and the log.</t>
  </si>
  <si>
    <t>201 Created - surveyId, publicLink
Log: Survey created</t>
  </si>
  <si>
    <t>- Can connect with server
- User is CREATOR of workspace
- Task type is survey</t>
  </si>
  <si>
    <t>FR3.6.25-02</t>
  </si>
  <si>
    <t>[Normal] Create Survey with questions = 1 text question</t>
  </si>
  <si>
    <t>1. Prepare the state listed in Pre-conditions.
2. Call SurveyServiceImpl.createSurvey with: questions = 1 text question.
3. Check the response / error and the log.</t>
  </si>
  <si>
    <t>201 Created - surveyId, publicLink</t>
  </si>
  <si>
    <t>FR3.6.25-03</t>
  </si>
  <si>
    <t>[Normal] Create Survey with questions = multiple choice question with 4 options</t>
  </si>
  <si>
    <t>1. Prepare the state listed in Pre-conditions.
2. Call SurveyServiceImpl.createSurvey with: questions = multiple choice question with 4 options.
3. Check the response / error and the log.</t>
  </si>
  <si>
    <t>FR3.6.25-04</t>
  </si>
  <si>
    <t>[Normal] Create Survey with questions = rating question</t>
  </si>
  <si>
    <t>1. Prepare the state listed in Pre-conditions.
2. Call SurveyServiceImpl.createSurvey with: questions = rating question.
3. Check the response / error and the log.</t>
  </si>
  <si>
    <t>FR3.6.25-05</t>
  </si>
  <si>
    <t>[Normal] Create Survey with questions = questions with timeSlot 0:10, 15:20, 21:30</t>
  </si>
  <si>
    <t>1. Prepare the state listed in Pre-conditions.
2. Call SurveyServiceImpl.createSurvey with: questions = questions with timeSlot 0:10, 15:20, 21:30.
3. Check the response / error and the log.</t>
  </si>
  <si>
    <t>201 Created - questions ordered by time slot</t>
  </si>
  <si>
    <t>FR3.6.25-06</t>
  </si>
  <si>
    <t>[Normal] Create Survey with questions = question without timeSlot</t>
  </si>
  <si>
    <t>1. Prepare the state listed in Pre-conditions.
2. Call SurveyServiceImpl.createSurvey with: questions = question without timeSlot.
3. Check the response / error and the log.</t>
  </si>
  <si>
    <t>201 Created - timeSlot optional</t>
  </si>
  <si>
    <t>FR3.6.25-07</t>
  </si>
  <si>
    <t>[Normal] Create Survey with questions = valid questions</t>
  </si>
  <si>
    <t>1. Prepare the state listed in Pre-conditions.
2. Call SurveyServiceImpl.createSurvey with: questions = valid questions.
3. Check the response / error and the log.</t>
  </si>
  <si>
    <t>201 Created - publicLink is unique per survey</t>
  </si>
  <si>
    <t>FR3.6.25-08</t>
  </si>
  <si>
    <t>201 Created - task survey reference set</t>
  </si>
  <si>
    <t>FR3.6.25-09</t>
  </si>
  <si>
    <t>[Boundary] Create Survey with questions = exactly 1 question</t>
  </si>
  <si>
    <t>1. Prepare the state listed in Pre-conditions.
2. Call SurveyServiceImpl.createSurvey with: questions = exactly 1 question.
3. Check the response / error and the log.</t>
  </si>
  <si>
    <t>201 Created - minimum question count</t>
  </si>
  <si>
    <t>FR3.6.25-10</t>
  </si>
  <si>
    <t>[Boundary] Create Survey with questions = 100 questions</t>
  </si>
  <si>
    <t>1. Prepare the state listed in Pre-conditions.
2. Call SurveyServiceImpl.createSurvey with: questions = 100 questions.
3. Check the response / error and the log.</t>
  </si>
  <si>
    <t>201 Created - large survey stored</t>
  </si>
  <si>
    <t>FR3.6.25-11</t>
  </si>
  <si>
    <t>[Boundary] Create Survey with questions = label with 1 char</t>
  </si>
  <si>
    <t>1. Prepare the state listed in Pre-conditions.
2. Call SurveyServiceImpl.createSurvey with: questions = label with 1 char.
3. Check the response / error and the log.</t>
  </si>
  <si>
    <t>201 Created</t>
  </si>
  <si>
    <t>FR3.6.25-12</t>
  </si>
  <si>
    <t>[Boundary] Create Survey with questions = label with 500 chars</t>
  </si>
  <si>
    <t>1. Prepare the state listed in Pre-conditions.
2. Call SurveyServiceImpl.createSurvey with: questions = label with 500 chars.
3. Check the response / error and the log.</t>
  </si>
  <si>
    <t>FR3.6.25-13</t>
  </si>
  <si>
    <t>[Abnormal] Create Survey with questions = valid questions</t>
  </si>
  <si>
    <t>Error: INVALID_TASK_TYPE (400)</t>
  </si>
  <si>
    <t>- Can connect with server
- User is CREATOR of workspace
- Task type is not survey</t>
  </si>
  <si>
    <t>FR3.6.25-14</t>
  </si>
  <si>
    <t>[Abnormal] Create Survey with questions = empty list</t>
  </si>
  <si>
    <t>1. Prepare the state listed in Pre-conditions.
2. Call SurveyServiceImpl.createSurvey with: questions = empty list.
3. Check the response / error and the log.</t>
  </si>
  <si>
    <t>Error: SURVEY_MUST_HAVE_QUESTIONS (400)</t>
  </si>
  <si>
    <t>FR3.6.25-15</t>
  </si>
  <si>
    <t>[Abnormal] Create Survey with questions = null</t>
  </si>
  <si>
    <t>1. Prepare the state listed in Pre-conditions.
2. Call SurveyServiceImpl.createSurvey with: questions = null.
3. Check the response / error and the log.</t>
  </si>
  <si>
    <t>FR3.6.25-16</t>
  </si>
  <si>
    <t>[Abnormal] Create Survey with taskId = non-existent task</t>
  </si>
  <si>
    <t>1. Prepare the state listed in Pre-conditions.
2. Call SurveyServiceImpl.createSurvey with: taskId = non-existent task.
3. Check the response / error and the log.</t>
  </si>
  <si>
    <t>Error: TASK_NOT_FOUND (404)</t>
  </si>
  <si>
    <t>FR3.6.25-17</t>
  </si>
  <si>
    <t>Error: WORKSPACE_ACCESS_DENIED (403)</t>
  </si>
  <si>
    <t>- Can connect with server
- User is not a member of workspace
- Task type is survey</t>
  </si>
  <si>
    <t>FR3.6.25-18</t>
  </si>
  <si>
    <t>Error: FORBIDDEN (403)</t>
  </si>
  <si>
    <t>- Can connect with server
- User is CLIENT of workspace
- Task type is survey</t>
  </si>
  <si>
    <t>FR3.6.25-19</t>
  </si>
  <si>
    <t>[Abnormal] Create Survey with questions = question with unsupported type</t>
  </si>
  <si>
    <t>1. Prepare the state listed in Pre-conditions.
2. Call SurveyServiceImpl.createSurvey with: questions = question with unsupported type.
3. Check the response / error and the log.</t>
  </si>
  <si>
    <t>Error: VALIDATION_ERROR (400)</t>
  </si>
  <si>
    <t>FR3.6.26-01</t>
  </si>
  <si>
    <t>[Normal] View Survey Analysis with taskId = survey task</t>
  </si>
  <si>
    <t>1. Prepare the state listed in Pre-conditions.
2. Call SurveyServiceImpl.getAnalysis with: taskId = survey task.
3. Check the response / error and the log.</t>
  </si>
  <si>
    <t>200 OK - responseCount, questionBreakdown</t>
  </si>
  <si>
    <t>- Can connect with server
- User is MANAGER of workspace
- Survey has responses</t>
  </si>
  <si>
    <t>FR3.6.26-02</t>
  </si>
  <si>
    <t>- Can connect with server
- User is CREATOR of workspace
- Survey has responses</t>
  </si>
  <si>
    <t>FR3.6.26-03</t>
  </si>
  <si>
    <t>[Normal] View Survey Analysis with questionType = multiple choice</t>
  </si>
  <si>
    <t>1. Prepare the state listed in Pre-conditions.
2. Call SurveyServiceImpl.getAnalysis with: questionType = multiple choice.
3. Check the response / error and the log.</t>
  </si>
  <si>
    <t>200 OK - option counts for chart</t>
  </si>
  <si>
    <t>FR3.6.26-04</t>
  </si>
  <si>
    <t>[Normal] View Survey Analysis with questionType = text</t>
  </si>
  <si>
    <t>1. Prepare the state listed in Pre-conditions.
2. Call SurveyServiceImpl.getAnalysis with: questionType = text.
3. Check the response / error and the log.</t>
  </si>
  <si>
    <t>200 OK - list of text answers</t>
  </si>
  <si>
    <t>FR3.6.26-05</t>
  </si>
  <si>
    <t>[Normal] View Survey Analysis with questionType = rating</t>
  </si>
  <si>
    <t>1. Prepare the state listed in Pre-conditions.
2. Call SurveyServiceImpl.getAnalysis with: questionType = rating.
3. Check the response / error and the log.</t>
  </si>
  <si>
    <t>200 OK - rating distribution</t>
  </si>
  <si>
    <t>FR3.6.26-06</t>
  </si>
  <si>
    <t>200 OK - responseCount equals stored responses</t>
  </si>
  <si>
    <t>FR3.6.26-07</t>
  </si>
  <si>
    <t>[Normal] View Survey Analysis with taskId = survey task with mixed question types</t>
  </si>
  <si>
    <t>1. Prepare the state listed in Pre-conditions.
2. Call SurveyServiceImpl.getAnalysis with: taskId = survey task with mixed question types.
3. Check the response / error and the log.</t>
  </si>
  <si>
    <t>200 OK - one breakdown entry per question</t>
  </si>
  <si>
    <t>FR3.6.26-08</t>
  </si>
  <si>
    <t>200 OK - responseCount 0, empty breakdown data</t>
  </si>
  <si>
    <t>- Can connect with server
- User is MANAGER of workspace
- Survey has no responses</t>
  </si>
  <si>
    <t>FR3.6.26-09</t>
  </si>
  <si>
    <t>[Boundary] View Survey Analysis with responses = exactly 1 response</t>
  </si>
  <si>
    <t>1. Prepare the state listed in Pre-conditions.
2. Call SurveyServiceImpl.getAnalysis with: responses = exactly 1 response.
3. Check the response / error and the log.</t>
  </si>
  <si>
    <t>200 OK - responseCount 1</t>
  </si>
  <si>
    <t>FR3.6.26-10</t>
  </si>
  <si>
    <t>[Boundary] View Survey Analysis with responses = 10000 responses</t>
  </si>
  <si>
    <t>1. Prepare the state listed in Pre-conditions.
2. Call SurveyServiceImpl.getAnalysis with: responses = 10000 responses.
3. Check the response / error and the log.</t>
  </si>
  <si>
    <t>200 OK - aggregated counts correct</t>
  </si>
  <si>
    <t>FR3.6.26-11</t>
  </si>
  <si>
    <t>[Boundary] View Survey Analysis with questionType = multiple choice with option never chosen</t>
  </si>
  <si>
    <t>1. Prepare the state listed in Pre-conditions.
2. Call SurveyServiceImpl.getAnalysis with: questionType = multiple choice with option never chosen.
3. Check the response / error and the log.</t>
  </si>
  <si>
    <t>200 OK - option count 0</t>
  </si>
  <si>
    <t>FR3.6.26-12</t>
  </si>
  <si>
    <t>[Boundary] View Survey Analysis with questions = survey with 0 questions answered</t>
  </si>
  <si>
    <t>1. Prepare the state listed in Pre-conditions.
2. Call SurveyServiceImpl.getAnalysis with: questions = survey with 0 questions answered.
3. Check the response / error and the log.</t>
  </si>
  <si>
    <t>200 OK - empty questionBreakdown</t>
  </si>
  <si>
    <t>FR3.6.26-13</t>
  </si>
  <si>
    <t>[Abnormal] View Survey Analysis with taskId = non-existent task</t>
  </si>
  <si>
    <t>1. Prepare the state listed in Pre-conditions.
2. Call SurveyServiceImpl.getAnalysis with: taskId = non-existent task.
3. Check the response / error and the log.</t>
  </si>
  <si>
    <t>FR3.6.26-14</t>
  </si>
  <si>
    <t>[Abnormal] View Survey Analysis with taskId = task not of type survey</t>
  </si>
  <si>
    <t>1. Prepare the state listed in Pre-conditions.
2. Call SurveyServiceImpl.getAnalysis with: taskId = task not of type survey.
3. Check the response / error and the log.</t>
  </si>
  <si>
    <t>FR3.6.26-15</t>
  </si>
  <si>
    <t>[Abnormal] View Survey Analysis with taskId = survey task never created</t>
  </si>
  <si>
    <t>1. Prepare the state listed in Pre-conditions.
2. Call SurveyServiceImpl.getAnalysis with: taskId = survey task never created.
3. Check the response / error and the log.</t>
  </si>
  <si>
    <t>Error: SURVEY_NOT_FOUND (404)</t>
  </si>
  <si>
    <t>FR3.6.26-16</t>
  </si>
  <si>
    <t>[Abnormal] View Survey Analysis with taskId = survey task</t>
  </si>
  <si>
    <t>- Can connect with server
- User is not a member of workspace
- Survey has responses</t>
  </si>
  <si>
    <t>FR3.6.26-17</t>
  </si>
  <si>
    <t>- Can connect with server
- User is CLIENT of workspace
- Survey has responses</t>
  </si>
  <si>
    <t>FR3.6.26-18</t>
  </si>
  <si>
    <t>[Abnormal] View Survey Analysis with workspaceId = workspace of another agency</t>
  </si>
  <si>
    <t>1. Prepare the state listed in Pre-conditions.
2. Call SurveyServiceImpl.getAnalysis with: workspaceId = workspace of another agency.
3. Check the response / error and the log.</t>
  </si>
  <si>
    <t>FR3.6.27-01</t>
  </si>
  <si>
    <t>[Normal] Generate Meeting Link with taskId = survey task</t>
  </si>
  <si>
    <t>1. Prepare the state listed in Pre-conditions.
2. Call MeetingServiceImpl.generateMeetingLink with: taskId = survey task.
3. Check the response / error and the log.</t>
  </si>
  <si>
    <t>201 Created - meetingUrl
Log: Meet link created</t>
  </si>
  <si>
    <t>- Can connect with server
- User is CREATOR of workspace
- Task exists in workspace
- Google Meet API available</t>
  </si>
  <si>
    <t>FR3.6.27-02</t>
  </si>
  <si>
    <t>[Normal] Generate Meeting Link with taskId = post task</t>
  </si>
  <si>
    <t>1. Prepare the state listed in Pre-conditions.
2. Call MeetingServiceImpl.generateMeetingLink with: taskId = post task.
3. Check the response / error and the log.</t>
  </si>
  <si>
    <t>201 Created - meetingUrl</t>
  </si>
  <si>
    <t>FR3.6.27-03</t>
  </si>
  <si>
    <t>[Normal] Generate Meeting Link with taskId = task without meeting link</t>
  </si>
  <si>
    <t>1. Prepare the state listed in Pre-conditions.
2. Call MeetingServiceImpl.generateMeetingLink with: taskId = task without meeting link.
3. Check the response / error and the log.</t>
  </si>
  <si>
    <t>201 Created - meetingUrl attached to task</t>
  </si>
  <si>
    <t>FR3.6.27-04</t>
  </si>
  <si>
    <t>[Normal] Generate Meeting Link with taskId = task with existing meeting link</t>
  </si>
  <si>
    <t>1. Prepare the state listed in Pre-conditions.
2. Call MeetingServiceImpl.generateMeetingLink with: taskId = task with existing meeting link.
3. Check the response / error and the log.</t>
  </si>
  <si>
    <t>201 Created - new meetingUrl replaces old</t>
  </si>
  <si>
    <t>FR3.6.27-05</t>
  </si>
  <si>
    <t>[Normal] Generate Meeting Link with calls = 2 calls in same session</t>
  </si>
  <si>
    <t>1. Prepare the state listed in Pre-conditions.
2. Call MeetingServiceImpl.generateMeetingLink with: calls = 2 calls in same session.
3. Check the response / error and the log.</t>
  </si>
  <si>
    <t>201 Created - new link each time unless session cache</t>
  </si>
  <si>
    <t>FR3.6.27-06</t>
  </si>
  <si>
    <t>[Normal] Generate Meeting Link with taskId = valid task</t>
  </si>
  <si>
    <t>1. Prepare the state listed in Pre-conditions.
2. Call MeetingServiceImpl.generateMeetingLink with: taskId = valid task.
3. Check the response / error and the log.</t>
  </si>
  <si>
    <t>201 Created - meetingUrl starts with https://meet.google.com</t>
  </si>
  <si>
    <t>FR3.6.27-07</t>
  </si>
  <si>
    <t>[Normal] Generate Meeting Link with taskId = task with assignee</t>
  </si>
  <si>
    <t>1. Prepare the state listed in Pre-conditions.
2. Call MeetingServiceImpl.generateMeetingLink with: taskId = task with assignee.
3. Check the response / error and the log.</t>
  </si>
  <si>
    <t>201 Created - link saved on task</t>
  </si>
  <si>
    <t>FR3.6.27-08</t>
  </si>
  <si>
    <t>201 Created - Calendar event created via API</t>
  </si>
  <si>
    <t>FR3.6.27-09</t>
  </si>
  <si>
    <t>[Boundary] Generate Meeting Link with calls = first call for task</t>
  </si>
  <si>
    <t>1. Prepare the state listed in Pre-conditions.
2. Call MeetingServiceImpl.generateMeetingLink with: calls = first call for task.
3. Check the response / error and the log.</t>
  </si>
  <si>
    <t>201 Created - first link generated</t>
  </si>
  <si>
    <t>FR3.6.27-10</t>
  </si>
  <si>
    <t>[Boundary] Generate Meeting Link with calls = 10 consecutive calls</t>
  </si>
  <si>
    <t>1. Prepare the state listed in Pre-conditions.
2. Call MeetingServiceImpl.generateMeetingLink with: calls = 10 consecutive calls.
3. Check the response / error and the log.</t>
  </si>
  <si>
    <t>201 Created - 10 distinct links</t>
  </si>
  <si>
    <t>FR3.6.27-11</t>
  </si>
  <si>
    <t>[Boundary] Generate Meeting Link with taskTitle = 1 char</t>
  </si>
  <si>
    <t>1. Prepare the state listed in Pre-conditions.
2. Call MeetingServiceImpl.generateMeetingLink with: taskTitle = 1 char.
3. Check the response / error and the log.</t>
  </si>
  <si>
    <t>201 Created - event title fallback</t>
  </si>
  <si>
    <t>FR3.6.27-12</t>
  </si>
  <si>
    <t>[Boundary] Generate Meeting Link with taskTitle = 255 chars</t>
  </si>
  <si>
    <t>1. Prepare the state listed in Pre-conditions.
2. Call MeetingServiceImpl.generateMeetingLink with: taskTitle = 255 chars.
3. Check the response / error and the log.</t>
  </si>
  <si>
    <t>201 Created - event title accepted</t>
  </si>
  <si>
    <t>FR3.6.27-13</t>
  </si>
  <si>
    <t>[Abnormal] Generate Meeting Link with taskId = valid task</t>
  </si>
  <si>
    <t>Error: GOOGLE_MEET_UNAVAILABLE (502)</t>
  </si>
  <si>
    <t>- Can connect with server
- User is CREATOR of workspace
- Task exists in workspace
- Google Meet API down</t>
  </si>
  <si>
    <t>FR3.6.27-14</t>
  </si>
  <si>
    <t>[Abnormal] Generate Meeting Link with taskId = non-existent task</t>
  </si>
  <si>
    <t>1. Prepare the state listed in Pre-conditions.
2. Call MeetingServiceImpl.generateMeetingLink with: taskId = non-existent task.
3. Check the response / error and the log.</t>
  </si>
  <si>
    <t>FR3.6.27-15</t>
  </si>
  <si>
    <t>[Abnormal] Generate Meeting Link with taskId = soft-deleted task</t>
  </si>
  <si>
    <t>1. Prepare the state listed in Pre-conditions.
2. Call MeetingServiceImpl.generateMeetingLink with: taskId = soft-deleted task.
3. Check the response / error and the log.</t>
  </si>
  <si>
    <t>FR3.6.27-16</t>
  </si>
  <si>
    <t>- Can connect with server
- User is not a member of workspace
- Task exists in workspace
- Google Meet API available</t>
  </si>
  <si>
    <t>FR3.6.27-17</t>
  </si>
  <si>
    <t>- Can connect with server
- User is CLIENT of workspace
- Task exists in workspace
- Google Meet API available</t>
  </si>
  <si>
    <t>FR3.6.27-18</t>
  </si>
  <si>
    <t>[Abnormal] Generate Meeting Link with taskId = null</t>
  </si>
  <si>
    <t>1. Prepare the state listed in Pre-conditions.
2. Call MeetingServiceImpl.generateMeetingLink with: taskId = null.
3. Check the response / error and the log.</t>
  </si>
  <si>
    <t>FR3.6.28-01</t>
  </si>
  <si>
    <t>[Normal] View Mail Template with workspaceId = valid workspace</t>
  </si>
  <si>
    <t>1. Prepare the state listed in Pre-conditions.
2. Call MailTemplateServiceImpl.listTemplates with: workspaceId = valid workspace.
3. Check the response / error and the log.</t>
  </si>
  <si>
    <t>200 OK - list of templates</t>
  </si>
  <si>
    <t>- Can connect with server
- User is MANAGER of workspace
- Workspace exists
- Mail template exists in workspace</t>
  </si>
  <si>
    <t>FR3.6.28-02</t>
  </si>
  <si>
    <t>[Normal] View Mail Template with templates = 3 templates</t>
  </si>
  <si>
    <t>1. Prepare the state listed in Pre-conditions.
2. Call MailTemplateServiceImpl.listTemplates with: templates = 3 templates.
3. Check the response / error and the log.</t>
  </si>
  <si>
    <t>200 OK - 3 items with id, name, subject</t>
  </si>
  <si>
    <t>FR3.6.28-03</t>
  </si>
  <si>
    <t>- Can connect with server
- User is CREATOR of workspace
- Workspace exists
- Mail template exists in workspace</t>
  </si>
  <si>
    <t>FR3.6.28-04</t>
  </si>
  <si>
    <t>[Normal] View Mail Template with order = default</t>
  </si>
  <si>
    <t>1. Prepare the state listed in Pre-conditions.
2. Call MailTemplateServiceImpl.listTemplates with: order = default.
3. Check the response / error and the log.</t>
  </si>
  <si>
    <t>200 OK - sorted by createdAt desc</t>
  </si>
  <si>
    <t>FR3.6.28-05</t>
  </si>
  <si>
    <t>[Normal] View Mail Template with templates = template with long subject</t>
  </si>
  <si>
    <t>1. Prepare the state listed in Pre-conditions.
2. Call MailTemplateServiceImpl.listTemplates with: templates = template with long subject.
3. Check the response / error and the log.</t>
  </si>
  <si>
    <t>200 OK - subject preview returned</t>
  </si>
  <si>
    <t>FR3.6.28-06</t>
  </si>
  <si>
    <t>[Normal] View Mail Template with templates = 1 template</t>
  </si>
  <si>
    <t>1. Prepare the state listed in Pre-conditions.
2. Call MailTemplateServiceImpl.listTemplates with: templates = 1 template.
3. Check the response / error and the log.</t>
  </si>
  <si>
    <t>200 OK - 1 item</t>
  </si>
  <si>
    <t>FR3.6.28-07</t>
  </si>
  <si>
    <t>[Normal] View Mail Template with templates = none</t>
  </si>
  <si>
    <t>1. Prepare the state listed in Pre-conditions.
2. Call MailTemplateServiceImpl.listTemplates with: templates = none.
3. Check the response / error and the log.</t>
  </si>
  <si>
    <t>- Can connect with server
- User is MANAGER of workspace
- Workspace exists</t>
  </si>
  <si>
    <t>FR3.6.28-08</t>
  </si>
  <si>
    <t>[Normal] View Mail Template with templates = one soft-deleted, 2 active</t>
  </si>
  <si>
    <t>1. Prepare the state listed in Pre-conditions.
2. Call MailTemplateServiceImpl.listTemplates with: templates = one soft-deleted, 2 active.
3. Check the response / error and the log.</t>
  </si>
  <si>
    <t>200 OK - only 2 active templates</t>
  </si>
  <si>
    <t>FR3.6.28-09</t>
  </si>
  <si>
    <t>[Boundary] View Mail Template with templates = 0 templates</t>
  </si>
  <si>
    <t>1. Prepare the state listed in Pre-conditions.
2. Call MailTemplateServiceImpl.listTemplates with: templates = 0 templates.
3. Check the response / error and the log.</t>
  </si>
  <si>
    <t>200 OK - data []</t>
  </si>
  <si>
    <t>FR3.6.28-10</t>
  </si>
  <si>
    <t>[Boundary] View Mail Template with templates = exactly 1 template</t>
  </si>
  <si>
    <t>1. Prepare the state listed in Pre-conditions.
2. Call MailTemplateServiceImpl.listTemplates with: templates = exactly 1 template.
3. Check the response / error and the log.</t>
  </si>
  <si>
    <t>200 OK - single item</t>
  </si>
  <si>
    <t>FR3.6.28-11</t>
  </si>
  <si>
    <t>[Boundary] View Mail Template with templates = 1000 templates</t>
  </si>
  <si>
    <t>1. Prepare the state listed in Pre-conditions.
2. Call MailTemplateServiceImpl.listTemplates with: templates = 1000 templates.
3. Check the response / error and the log.</t>
  </si>
  <si>
    <t>200 OK - all or paged list</t>
  </si>
  <si>
    <t>FR3.6.28-12</t>
  </si>
  <si>
    <t>[Boundary] View Mail Template with subject = 255 chars</t>
  </si>
  <si>
    <t>1. Prepare the state listed in Pre-conditions.
2. Call MailTemplateServiceImpl.listTemplates with: subject = 255 chars.
3. Check the response / error and the log.</t>
  </si>
  <si>
    <t>200 OK - subject not truncated in data</t>
  </si>
  <si>
    <t>FR3.6.28-13</t>
  </si>
  <si>
    <t>[Abnormal] View Mail Template with workspaceId = valid workspace</t>
  </si>
  <si>
    <t>- Can connect with server
- User is not a member of workspace
- Workspace exists</t>
  </si>
  <si>
    <t>FR3.6.28-14</t>
  </si>
  <si>
    <t>- Can connect with server
- User is CLIENT of workspace
- Workspace exists</t>
  </si>
  <si>
    <t>FR3.6.28-15</t>
  </si>
  <si>
    <t>[Abnormal] View Mail Template with workspaceId = non-existent workspace</t>
  </si>
  <si>
    <t>1. Prepare the state listed in Pre-conditions.
2. Call MailTemplateServiceImpl.listTemplates with: workspaceId = non-existent workspace.
3. Check the response / error and the log.</t>
  </si>
  <si>
    <t>Error: WORKSPACE_NOT_FOUND (404)</t>
  </si>
  <si>
    <t>FR3.6.28-16</t>
  </si>
  <si>
    <t>[Abnormal] View Mail Template with workspaceId = other workspace</t>
  </si>
  <si>
    <t>1. Prepare the state listed in Pre-conditions.
2. Call MailTemplateServiceImpl.listTemplates with: workspaceId = other workspace.
3. Check the response / error and the log.</t>
  </si>
  <si>
    <t>FR3.6.28-17</t>
  </si>
  <si>
    <t>[Abnormal] View Mail Template with workspaceId = null</t>
  </si>
  <si>
    <t>1. Prepare the state listed in Pre-conditions.
2. Call MailTemplateServiceImpl.listTemplates with: workspaceId = null.
3. Check the response / error and the log.</t>
  </si>
  <si>
    <t>FR3.6.29-01</t>
  </si>
  <si>
    <t>[Normal] Create Mail Template with name = Welcome, subject = Hello {{clientName}}, body = &lt;p&gt;Hi&lt;/p&gt;</t>
  </si>
  <si>
    <t>1. Prepare the state listed in Pre-conditions.
2. Call MailTemplateServiceImpl.createTemplate with: name = Welcome; subject = Hello {{clientName}}; body = &lt;p&gt;Hi&lt;/p&gt;.
3. Check the response / error and the log.</t>
  </si>
  <si>
    <t>201 Created - id
Log: Template created</t>
  </si>
  <si>
    <t>FR3.6.29-02</t>
  </si>
  <si>
    <t>[Normal] Create Mail Template with name = Welcome, subject = Hello, body = plain text</t>
  </si>
  <si>
    <t>1. Prepare the state listed in Pre-conditions.
2. Call MailTemplateServiceImpl.createTemplate with: name = Welcome; subject = Hello; body = plain text.
3. Check the response / error and the log.</t>
  </si>
  <si>
    <t>201 Created - id</t>
  </si>
  <si>
    <t>- Can connect with server
- User is CREATOR of workspace
- Workspace exists</t>
  </si>
  <si>
    <t>FR3.6.29-03</t>
  </si>
  <si>
    <t>[Normal] Create Mail Template with body = HTML body</t>
  </si>
  <si>
    <t>1. Prepare the state listed in Pre-conditions.
2. Call MailTemplateServiceImpl.createTemplate with: body = HTML body.
3. Check the response / error and the log.</t>
  </si>
  <si>
    <t>201 Created - body stored as HTML</t>
  </si>
  <si>
    <t>FR3.6.29-04</t>
  </si>
  <si>
    <t>[Normal] Create Mail Template with body = body with {{clientName}} placeholder</t>
  </si>
  <si>
    <t>1. Prepare the state listed in Pre-conditions.
2. Call MailTemplateServiceImpl.createTemplate with: body = body with {{clientName}} placeholder.
3. Check the response / error and the log.</t>
  </si>
  <si>
    <t>201 Created - placeholder kept</t>
  </si>
  <si>
    <t>FR3.6.29-05</t>
  </si>
  <si>
    <t>[Normal] Create Mail Template with cloneFrom = sample template id</t>
  </si>
  <si>
    <t>1. Prepare the state listed in Pre-conditions.
2. Call MailTemplateServiceImpl.createTemplate with: cloneFrom = sample template id.
3. Check the response / error and the log.</t>
  </si>
  <si>
    <t>201 Created - fields copied from sample</t>
  </si>
  <si>
    <t>- Can connect with server
- User is MANAGER of workspace
- Workspace exists
- Admin sample template exists</t>
  </si>
  <si>
    <t>FR3.6.29-06</t>
  </si>
  <si>
    <t>[Normal] Create Mail Template with name = Welcome</t>
  </si>
  <si>
    <t>1. Prepare the state listed in Pre-conditions.
2. Call MailTemplateServiceImpl.createTemplate with: name = Welcome.
3. Check the response / error and the log.</t>
  </si>
  <si>
    <t>201 Created - workspaceId set</t>
  </si>
  <si>
    <t>FR3.6.29-07</t>
  </si>
  <si>
    <t>201 Created - createdBy is current user</t>
  </si>
  <si>
    <t>FR3.6.29-08</t>
  </si>
  <si>
    <t>[Normal] Create Mail Template with name = Vietnamese text 'Chao mung'</t>
  </si>
  <si>
    <t>1. Prepare the state listed in Pre-conditions.
2. Call MailTemplateServiceImpl.createTemplate with: name = Vietnamese text 'Chao mung'.
3. Check the response / error and the log.</t>
  </si>
  <si>
    <t>201 Created - unicode stored</t>
  </si>
  <si>
    <t>FR3.6.29-09</t>
  </si>
  <si>
    <t>[Boundary] Create Mail Template with name = 1 char, subject = 1 char, body = 1 char</t>
  </si>
  <si>
    <t>1. Prepare the state listed in Pre-conditions.
2. Call MailTemplateServiceImpl.createTemplate with: name = 1 char; subject = 1 char; body = 1 char.
3. Check the response / error and the log.</t>
  </si>
  <si>
    <t>201 Created - minimum values</t>
  </si>
  <si>
    <t>FR3.6.29-10</t>
  </si>
  <si>
    <t>[Boundary] Create Mail Template with name = 255 chars</t>
  </si>
  <si>
    <t>1. Prepare the state listed in Pre-conditions.
2. Call MailTemplateServiceImpl.createTemplate with: name = 255 chars.
3. Check the response / error and the log.</t>
  </si>
  <si>
    <t>201 Created - max name length</t>
  </si>
  <si>
    <t>FR3.6.29-11</t>
  </si>
  <si>
    <t>[Boundary] Create Mail Template with name = 256 chars</t>
  </si>
  <si>
    <t>1. Prepare the state listed in Pre-conditions.
2. Call MailTemplateServiceImpl.createTemplate with: name = 256 chars.
3. Check the response / error and the log.</t>
  </si>
  <si>
    <t>FR3.6.29-12</t>
  </si>
  <si>
    <t>[Boundary] Create Mail Template with subject = 998 chars</t>
  </si>
  <si>
    <t>1. Prepare the state listed in Pre-conditions.
2. Call MailTemplateServiceImpl.createTemplate with: subject = 998 chars.
3. Check the response / error and the log.</t>
  </si>
  <si>
    <t>201 Created - long subject</t>
  </si>
  <si>
    <t>FR3.6.29-13</t>
  </si>
  <si>
    <t>[Abnormal] Create Mail Template with subject = empty</t>
  </si>
  <si>
    <t>1. Prepare the state listed in Pre-conditions.
2. Call MailTemplateServiceImpl.createTemplate with: subject = empty.
3. Check the response / error and the log.</t>
  </si>
  <si>
    <t>FR3.6.29-14</t>
  </si>
  <si>
    <t>[Abnormal] Create Mail Template with body = empty</t>
  </si>
  <si>
    <t>1. Prepare the state listed in Pre-conditions.
2. Call MailTemplateServiceImpl.createTemplate with: body = empty.
3. Check the response / error and the log.</t>
  </si>
  <si>
    <t>FR3.6.29-15</t>
  </si>
  <si>
    <t>[Abnormal] Create Mail Template with subject = null</t>
  </si>
  <si>
    <t>1. Prepare the state listed in Pre-conditions.
2. Call MailTemplateServiceImpl.createTemplate with: subject = null.
3. Check the response / error and the log.</t>
  </si>
  <si>
    <t>FR3.6.29-16</t>
  </si>
  <si>
    <t>[Abnormal] Create Mail Template with body = null</t>
  </si>
  <si>
    <t>1. Prepare the state listed in Pre-conditions.
2. Call MailTemplateServiceImpl.createTemplate with: body = null.
3. Check the response / error and the log.</t>
  </si>
  <si>
    <t>FR3.6.29-17</t>
  </si>
  <si>
    <t>[Abnormal] Create Mail Template with name = null</t>
  </si>
  <si>
    <t>1. Prepare the state listed in Pre-conditions.
2. Call MailTemplateServiceImpl.createTemplate with: name = null.
3. Check the response / error and the log.</t>
  </si>
  <si>
    <t>FR3.6.29-18</t>
  </si>
  <si>
    <t>[Abnormal] Create Mail Template with cloneFrom = non-existent template id</t>
  </si>
  <si>
    <t>1. Prepare the state listed in Pre-conditions.
2. Call MailTemplateServiceImpl.createTemplate with: cloneFrom = non-existent template id.
3. Check the response / error and the log.</t>
  </si>
  <si>
    <t>Error: MAIL_TEMPLATE_NOT_FOUND (404)</t>
  </si>
  <si>
    <t>FR3.6.29-19</t>
  </si>
  <si>
    <t>[Abnormal] Create Mail Template with name = Welcome</t>
  </si>
  <si>
    <t>FR3.6.30-01</t>
  </si>
  <si>
    <t>[Normal] Update Mail Template with name = New name</t>
  </si>
  <si>
    <t>1. Prepare the state listed in Pre-conditions.
2. Call MailTemplateServiceImpl.updateTemplate with: name = New name.
3. Check the response / error and the log.</t>
  </si>
  <si>
    <t>200 OK - name updated</t>
  </si>
  <si>
    <t>- Can connect with server
- User is MANAGER of workspace
- Mail template exists in workspace</t>
  </si>
  <si>
    <t>FR3.6.30-02</t>
  </si>
  <si>
    <t>[Normal] Update Mail Template with subject = New subject</t>
  </si>
  <si>
    <t>1. Prepare the state listed in Pre-conditions.
2. Call MailTemplateServiceImpl.updateTemplate with: subject = New subject.
3. Check the response / error and the log.</t>
  </si>
  <si>
    <t>200 OK - subject updated</t>
  </si>
  <si>
    <t>FR3.6.30-03</t>
  </si>
  <si>
    <t>[Normal] Update Mail Template with body = New body</t>
  </si>
  <si>
    <t>1. Prepare the state listed in Pre-conditions.
2. Call MailTemplateServiceImpl.updateTemplate with: body = New body.
3. Check the response / error and the log.</t>
  </si>
  <si>
    <t>200 OK - body updated</t>
  </si>
  <si>
    <t>FR3.6.30-04</t>
  </si>
  <si>
    <t>[Normal] Update Mail Template with name = New name, subject = New subject, body = New body</t>
  </si>
  <si>
    <t>1. Prepare the state listed in Pre-conditions.
2. Call MailTemplateServiceImpl.updateTemplate with: name = New name; subject = New subject; body = New body.
3. Check the response / error and the log.</t>
  </si>
  <si>
    <t>200 OK - all fields updated</t>
  </si>
  <si>
    <t>FR3.6.30-05</t>
  </si>
  <si>
    <t>200 OK - updated template</t>
  </si>
  <si>
    <t>- Can connect with server
- User is CREATOR of workspace
- Mail template exists in workspace</t>
  </si>
  <si>
    <t>FR3.6.30-06</t>
  </si>
  <si>
    <t>[Normal] Update Mail Template with name = null, subject = null, body = null</t>
  </si>
  <si>
    <t>1. Prepare the state listed in Pre-conditions.
2. Call MailTemplateServiceImpl.updateTemplate with: name = null; subject = null; body = null.
3. Check the response / error and the log.</t>
  </si>
  <si>
    <t>200 OK - template unchanged</t>
  </si>
  <si>
    <t>FR3.6.30-07</t>
  </si>
  <si>
    <t>[Normal] Update Mail Template with name = same as current</t>
  </si>
  <si>
    <t>1. Prepare the state listed in Pre-conditions.
2. Call MailTemplateServiceImpl.updateTemplate with: name = same as current.
3. Check the response / error and the log.</t>
  </si>
  <si>
    <t>200 OK - no change</t>
  </si>
  <si>
    <t>FR3.6.30-08</t>
  </si>
  <si>
    <t>[Normal] Update Mail Template with body = body with {{clientName}}</t>
  </si>
  <si>
    <t>1. Prepare the state listed in Pre-conditions.
2. Call MailTemplateServiceImpl.updateTemplate with: body = body with {{clientName}}.
3. Check the response / error and the log.</t>
  </si>
  <si>
    <t>200 OK - placeholder kept</t>
  </si>
  <si>
    <t>FR3.6.30-09</t>
  </si>
  <si>
    <t>[Boundary] Update Mail Template with name = 1 char</t>
  </si>
  <si>
    <t>1. Prepare the state listed in Pre-conditions.
2. Call MailTemplateServiceImpl.updateTemplate with: name = 1 char.
3. Check the response / error and the log.</t>
  </si>
  <si>
    <t>200 OK</t>
  </si>
  <si>
    <t>FR3.6.30-10</t>
  </si>
  <si>
    <t>[Boundary] Update Mail Template with name = 255 chars</t>
  </si>
  <si>
    <t>1. Prepare the state listed in Pre-conditions.
2. Call MailTemplateServiceImpl.updateTemplate with: name = 255 chars.
3. Check the response / error and the log.</t>
  </si>
  <si>
    <t>FR3.6.30-11</t>
  </si>
  <si>
    <t>[Boundary] Update Mail Template with name = 256 chars</t>
  </si>
  <si>
    <t>1. Prepare the state listed in Pre-conditions.
2. Call MailTemplateServiceImpl.updateTemplate with: name = 256 chars.
3. Check the response / error and the log.</t>
  </si>
  <si>
    <t>FR3.6.30-12</t>
  </si>
  <si>
    <t>[Boundary] Update Mail Template with subject = empty</t>
  </si>
  <si>
    <t>1. Prepare the state listed in Pre-conditions.
2. Call MailTemplateServiceImpl.updateTemplate with: subject = empty.
3. Check the response / error and the log.</t>
  </si>
  <si>
    <t>FR3.6.30-13</t>
  </si>
  <si>
    <t>[Abnormal] Update Mail Template with body = empty</t>
  </si>
  <si>
    <t>1. Prepare the state listed in Pre-conditions.
2. Call MailTemplateServiceImpl.updateTemplate with: body = empty.
3. Check the response / error and the log.</t>
  </si>
  <si>
    <t>FR3.6.30-14</t>
  </si>
  <si>
    <t>[Abnormal] Update Mail Template with templateId = non-existent template</t>
  </si>
  <si>
    <t>1. Prepare the state listed in Pre-conditions.
2. Call MailTemplateServiceImpl.updateTemplate with: templateId = non-existent template.
3. Check the response / error and the log.</t>
  </si>
  <si>
    <t>FR3.6.30-15</t>
  </si>
  <si>
    <t>[Abnormal] Update Mail Template with templateId = soft-deleted template</t>
  </si>
  <si>
    <t>1. Prepare the state listed in Pre-conditions.
2. Call MailTemplateServiceImpl.updateTemplate with: templateId = soft-deleted template.
3. Check the response / error and the log.</t>
  </si>
  <si>
    <t>FR3.6.30-16</t>
  </si>
  <si>
    <t>[Abnormal] Update Mail Template with templateId = template of another workspace</t>
  </si>
  <si>
    <t>1. Prepare the state listed in Pre-conditions.
2. Call MailTemplateServiceImpl.updateTemplate with: templateId = template of another workspace.
3. Check the response / error and the log.</t>
  </si>
  <si>
    <t>FR3.6.30-17</t>
  </si>
  <si>
    <t>[Abnormal] Update Mail Template with name = New name</t>
  </si>
  <si>
    <t>- Can connect with server
- User is not a member of workspace
- Mail template exists in workspace</t>
  </si>
  <si>
    <t>FR3.6.30-18</t>
  </si>
  <si>
    <t>- Can connect with server
- User is CLIENT of workspace
- Mail template exists in workspace</t>
  </si>
  <si>
    <t>FR3.6.31-01</t>
  </si>
  <si>
    <t>[Normal] Delete Mail Template with templateId = valid template</t>
  </si>
  <si>
    <t>1. Prepare the state listed in Pre-conditions.
2. Call MailTemplateServiceImpl.deleteTemplate with: templateId = valid template.
3. Check the response / error and the log.</t>
  </si>
  <si>
    <t>200 OK - data null
Log: Template deleted</t>
  </si>
  <si>
    <t>FR3.6.31-02</t>
  </si>
  <si>
    <t>200 OK - data null</t>
  </si>
  <si>
    <t>FR3.6.31-03</t>
  </si>
  <si>
    <t>200 OK - deletedAt set (soft delete)</t>
  </si>
  <si>
    <t>FR3.6.31-04</t>
  </si>
  <si>
    <t>200 OK - row kept in DB</t>
  </si>
  <si>
    <t>FR3.6.31-05</t>
  </si>
  <si>
    <t>[Normal] Delete Mail Template with templateId = template created by another member</t>
  </si>
  <si>
    <t>1. Prepare the state listed in Pre-conditions.
2. Call MailTemplateServiceImpl.deleteTemplate with: templateId = template created by another member.
3. Check the response / error and the log.</t>
  </si>
  <si>
    <t>200 OK - deleted</t>
  </si>
  <si>
    <t>FR3.6.31-06</t>
  </si>
  <si>
    <t>[Normal] Delete Mail Template with templateId = template previously used to send email</t>
  </si>
  <si>
    <t>1. Prepare the state listed in Pre-conditions.
2. Call MailTemplateServiceImpl.deleteTemplate with: templateId = template previously used to send email.
3. Check the response / error and the log.</t>
  </si>
  <si>
    <t>200 OK - send history kept</t>
  </si>
  <si>
    <t>FR3.6.31-07</t>
  </si>
  <si>
    <t>[Normal] Delete Mail Template with templateId = cloned template</t>
  </si>
  <si>
    <t>1. Prepare the state listed in Pre-conditions.
2. Call MailTemplateServiceImpl.deleteTemplate with: templateId = cloned template.
3. Check the response / error and the log.</t>
  </si>
  <si>
    <t>200 OK - sample unaffected</t>
  </si>
  <si>
    <t>- Can connect with server
- User is MANAGER of workspace
- Mail template exists in workspace
- Admin sample template cloned</t>
  </si>
  <si>
    <t>FR3.6.31-08</t>
  </si>
  <si>
    <t>200 OK - not returned by list afterwards</t>
  </si>
  <si>
    <t>FR3.6.31-09</t>
  </si>
  <si>
    <t>[Boundary] Delete Mail Template with templates = only 1 template in workspace</t>
  </si>
  <si>
    <t>1. Prepare the state listed in Pre-conditions.
2. Call MailTemplateServiceImpl.deleteTemplate with: templates = only 1 template in workspace.
3. Check the response / error and the log.</t>
  </si>
  <si>
    <t>200 OK - list becomes empty</t>
  </si>
  <si>
    <t>FR3.6.31-10</t>
  </si>
  <si>
    <t>[Boundary] Delete Mail Template with templates = last of 100 templates</t>
  </si>
  <si>
    <t>1. Prepare the state listed in Pre-conditions.
2. Call MailTemplateServiceImpl.deleteTemplate with: templates = last of 100 templates.
3. Check the response / error and the log.</t>
  </si>
  <si>
    <t>200 OK - 99 remain</t>
  </si>
  <si>
    <t>FR3.6.31-11</t>
  </si>
  <si>
    <t>[Boundary] Delete Mail Template with templateId = just-created template</t>
  </si>
  <si>
    <t>1. Prepare the state listed in Pre-conditions.
2. Call MailTemplateServiceImpl.deleteTemplate with: templateId = just-created template.
3. Check the response / error and the log.</t>
  </si>
  <si>
    <t>FR3.6.31-12</t>
  </si>
  <si>
    <t>[Boundary] Delete Mail Template with templateId = template updated 1 ms ago</t>
  </si>
  <si>
    <t>1. Prepare the state listed in Pre-conditions.
2. Call MailTemplateServiceImpl.deleteTemplate with: templateId = template updated 1 ms ago.
3. Check the response / error and the log.</t>
  </si>
  <si>
    <t>FR3.6.31-13</t>
  </si>
  <si>
    <t>[Abnormal] Delete Mail Template with templateId = non-existent template</t>
  </si>
  <si>
    <t>1. Prepare the state listed in Pre-conditions.
2. Call MailTemplateServiceImpl.deleteTemplate with: templateId = non-existent template.
3. Check the response / error and the log.</t>
  </si>
  <si>
    <t>FR3.6.31-14</t>
  </si>
  <si>
    <t>[Abnormal] Delete Mail Template with templateId = already soft-deleted template</t>
  </si>
  <si>
    <t>1. Prepare the state listed in Pre-conditions.
2. Call MailTemplateServiceImpl.deleteTemplate with: templateId = already soft-deleted template.
3. Check the response / error and the log.</t>
  </si>
  <si>
    <t>FR3.6.31-15</t>
  </si>
  <si>
    <t>[Abnormal] Delete Mail Template with templateId = template of another workspace</t>
  </si>
  <si>
    <t>1. Prepare the state listed in Pre-conditions.
2. Call MailTemplateServiceImpl.deleteTemplate with: templateId = template of another workspace.
3. Check the response / error and the log.</t>
  </si>
  <si>
    <t>FR3.6.31-16</t>
  </si>
  <si>
    <t>[Abnormal] Delete Mail Template with templateId = valid template</t>
  </si>
  <si>
    <t>FR3.6.31-17</t>
  </si>
  <si>
    <t>FR3.6.31-18</t>
  </si>
  <si>
    <t>[Abnormal] Delete Mail Template with templateId = null</t>
  </si>
  <si>
    <t>1. Prepare the state listed in Pre-conditions.
2. Call MailTemplateServiceImpl.deleteTemplate with: templateId = null.
3. Check the response / error and the log.</t>
  </si>
  <si>
    <t>FR3.6.32-01</t>
  </si>
  <si>
    <t>[Normal] Send Email via Template with recipientEmail = client@brandhub.vn, variables = clientName=An</t>
  </si>
  <si>
    <t>1. Prepare the state listed in Pre-conditions.
2. Call MailTemplateServiceImpl.sendEmail with: recipientEmail = client@brandhub.vn; variables = clientName=An.
3. Check the response / error and the log.</t>
  </si>
  <si>
    <t>200 OK - messageId
Log: Email sent, history logged</t>
  </si>
  <si>
    <t>- Can connect with server
- User is MANAGER of workspace
- Mail template exists in workspace
- Email service available</t>
  </si>
  <si>
    <t>FR3.6.32-02</t>
  </si>
  <si>
    <t>[Normal] Send Email via Template with recipientEmail = client@brandhub.vn, variables = null</t>
  </si>
  <si>
    <t>1. Prepare the state listed in Pre-conditions.
2. Call MailTemplateServiceImpl.sendEmail with: recipientEmail = client@brandhub.vn; variables = null.
3. Check the response / error and the log.</t>
  </si>
  <si>
    <t>200 OK - messageId</t>
  </si>
  <si>
    <t>FR3.6.32-03</t>
  </si>
  <si>
    <t>- Can connect with server
- User is CREATOR of workspace
- Mail template exists in workspace
- Email service available</t>
  </si>
  <si>
    <t>FR3.6.32-04</t>
  </si>
  <si>
    <t>[Normal] Send Email via Template with variables = {{clientName}} replaced in subject and body</t>
  </si>
  <si>
    <t>1. Prepare the state listed in Pre-conditions.
2. Call MailTemplateServiceImpl.sendEmail with: variables = {{clientName}} replaced in subject and body.
3. Check the response / error and the log.</t>
  </si>
  <si>
    <t>200 OK - placeholders rendered</t>
  </si>
  <si>
    <t>FR3.6.32-05</t>
  </si>
  <si>
    <t>[Normal] Send Email via Template with variables = extra unused variable</t>
  </si>
  <si>
    <t>1. Prepare the state listed in Pre-conditions.
2. Call MailTemplateServiceImpl.sendEmail with: variables = extra unused variable.
3. Check the response / error and the log.</t>
  </si>
  <si>
    <t>200 OK - extra ignored</t>
  </si>
  <si>
    <t>FR3.6.32-06</t>
  </si>
  <si>
    <t>[Normal] Send Email via Template with recipientEmail = workspace client email</t>
  </si>
  <si>
    <t>1. Prepare the state listed in Pre-conditions.
2. Call MailTemplateServiceImpl.sendEmail with: recipientEmail = workspace client email.
3. Check the response / error and the log.</t>
  </si>
  <si>
    <t>- Can connect with server
- User is MANAGER of workspace
- Mail template exists in workspace
- Email service available
- Recipient is client in workspace</t>
  </si>
  <si>
    <t>FR3.6.32-07</t>
  </si>
  <si>
    <t>[Normal] Send Email via Template with recipientEmail = client@brandhub.vn</t>
  </si>
  <si>
    <t>1. Prepare the state listed in Pre-conditions.
2. Call MailTemplateServiceImpl.sendEmail with: recipientEmail = client@brandhub.vn.
3. Check the response / error and the log.</t>
  </si>
  <si>
    <t>200 OK - send history row saved</t>
  </si>
  <si>
    <t>FR3.6.32-08</t>
  </si>
  <si>
    <t>[Normal] Send Email via Template with variables = empty object</t>
  </si>
  <si>
    <t>1. Prepare the state listed in Pre-conditions.
2. Call MailTemplateServiceImpl.sendEmail with: variables = empty object.
3. Check the response / error and the log.</t>
  </si>
  <si>
    <t>200 OK - unreplaced placeholder left empty</t>
  </si>
  <si>
    <t>FR3.6.32-09</t>
  </si>
  <si>
    <t>[Boundary] Send Email via Template with recipientEmail = 254 chars valid email</t>
  </si>
  <si>
    <t>1. Prepare the state listed in Pre-conditions.
2. Call MailTemplateServiceImpl.sendEmail with: recipientEmail = 254 chars valid email.
3. Check the response / error and the log.</t>
  </si>
  <si>
    <t>FR3.6.32-10</t>
  </si>
  <si>
    <t>[Boundary] Send Email via Template with recipientEmail = 255 chars email</t>
  </si>
  <si>
    <t>1. Prepare the state listed in Pre-conditions.
2. Call MailTemplateServiceImpl.sendEmail with: recipientEmail = 255 chars email.
3. Check the response / error and the log.</t>
  </si>
  <si>
    <t>FR3.6.32-11</t>
  </si>
  <si>
    <t>[Boundary] Send Email via Template with variables = 1 variable</t>
  </si>
  <si>
    <t>1. Prepare the state listed in Pre-conditions.
2. Call MailTemplateServiceImpl.sendEmail with: variables = 1 variable.
3. Check the response / error and the log.</t>
  </si>
  <si>
    <t>FR3.6.32-12</t>
  </si>
  <si>
    <t>[Boundary] Send Email via Template with variables = 50 variables</t>
  </si>
  <si>
    <t>1. Prepare the state listed in Pre-conditions.
2. Call MailTemplateServiceImpl.sendEmail with: variables = 50 variables.
3. Check the response / error and the log.</t>
  </si>
  <si>
    <t>FR3.6.32-13</t>
  </si>
  <si>
    <t>[Abnormal] Send Email via Template with recipientEmail = client@brandhub.vn</t>
  </si>
  <si>
    <t>Error: EMAIL_SERVICE_UNAVAILABLE (502)</t>
  </si>
  <si>
    <t>- Can connect with server
- User is MANAGER of workspace
- Mail template exists in workspace
- Email service down</t>
  </si>
  <si>
    <t>FR3.6.32-14</t>
  </si>
  <si>
    <t>[Abnormal] Send Email via Template with recipientEmail = null</t>
  </si>
  <si>
    <t>1. Prepare the state listed in Pre-conditions.
2. Call MailTemplateServiceImpl.sendEmail with: recipientEmail = null.
3. Check the response / error and the log.</t>
  </si>
  <si>
    <t>FR3.6.32-15</t>
  </si>
  <si>
    <t>[Abnormal] Send Email via Template with recipientEmail = empty</t>
  </si>
  <si>
    <t>1. Prepare the state listed in Pre-conditions.
2. Call MailTemplateServiceImpl.sendEmail with: recipientEmail = empty.
3. Check the response / error and the log.</t>
  </si>
  <si>
    <t>FR3.6.32-16</t>
  </si>
  <si>
    <t>[Abnormal] Send Email via Template with recipientEmail = invalid format 'abc'</t>
  </si>
  <si>
    <t>1. Prepare the state listed in Pre-conditions.
2. Call MailTemplateServiceImpl.sendEmail with: recipientEmail = invalid format 'abc'.
3. Check the response / error and the log.</t>
  </si>
  <si>
    <t>FR3.6.32-17</t>
  </si>
  <si>
    <t>[Abnormal] Send Email via Template with templateId = non-existent template</t>
  </si>
  <si>
    <t>1. Prepare the state listed in Pre-conditions.
2. Call MailTemplateServiceImpl.sendEmail with: templateId = non-existent template.
3. Check the response / error and the log.</t>
  </si>
  <si>
    <t>- Can connect with server
- User is MANAGER of workspace
- Email service available</t>
  </si>
  <si>
    <t>FR3.6.32-18</t>
  </si>
  <si>
    <t>[Abnormal] Send Email via Template with templateId = soft-deleted template</t>
  </si>
  <si>
    <t>1. Prepare the state listed in Pre-conditions.
2. Call MailTemplateServiceImpl.sendEmail with: templateId = soft-deleted template.
3. Check the response / error and the log.</t>
  </si>
  <si>
    <t>FR3.6.32-19</t>
  </si>
  <si>
    <t>- Can connect with server
- User is not a member of workspace
- Mail template exists in workspace
- Email service available</t>
  </si>
  <si>
    <t>FR3.6.33-01</t>
  </si>
  <si>
    <t>[Normal] Check Compliance Content with content = clean text and image</t>
  </si>
  <si>
    <t>1. Prepare the state listed in Pre-conditions.
2. Call ContentCheckServiceImpl.checkCompliance with: content = clean text and image.
3. Check the response / error and the log.</t>
  </si>
  <si>
    <t>200 OK - violations []
Log: Badge: passed moderation</t>
  </si>
  <si>
    <t>- Can connect with server
- User is CREATOR of workspace
- Task type is post with content
- Moderation service available</t>
  </si>
  <si>
    <t>FR3.6.33-02</t>
  </si>
  <si>
    <t>[Normal] Check Compliance Content with content = text with plagiarism</t>
  </si>
  <si>
    <t>1. Prepare the state listed in Pre-conditions.
2. Call ContentCheckServiceImpl.checkCompliance with: content = text with plagiarism.
3. Check the response / error and the log.</t>
  </si>
  <si>
    <t>200 OK - violation type=plagiarism, excerpt, severity, suggestion</t>
  </si>
  <si>
    <t>FR3.6.33-03</t>
  </si>
  <si>
    <t>[Normal] Check Compliance Content with content = image with violence</t>
  </si>
  <si>
    <t>1. Prepare the state listed in Pre-conditions.
2. Call ContentCheckServiceImpl.checkCompliance with: content = image with violence.
3. Check the response / error and the log.</t>
  </si>
  <si>
    <t>200 OK - violation type=violence</t>
  </si>
  <si>
    <t>FR3.6.33-04</t>
  </si>
  <si>
    <t>[Normal] Check Compliance Content with content = image with obscene content</t>
  </si>
  <si>
    <t>1. Prepare the state listed in Pre-conditions.
2. Call ContentCheckServiceImpl.checkCompliance with: content = image with obscene content.
3. Check the response / error and the log.</t>
  </si>
  <si>
    <t>200 OK - violation type=obscene</t>
  </si>
  <si>
    <t>FR3.6.33-05</t>
  </si>
  <si>
    <t>200 OK - violations []</t>
  </si>
  <si>
    <t>- Can connect with server
- User is CLIENT of workspace
- Task type is post with content
- Moderation service available</t>
  </si>
  <si>
    <t>FR3.6.33-06</t>
  </si>
  <si>
    <t>[Normal] Check Compliance Content with content = text only, no image</t>
  </si>
  <si>
    <t>1. Prepare the state listed in Pre-conditions.
2. Call ContentCheckServiceImpl.checkCompliance with: content = text only, no image.
3. Check the response / error and the log.</t>
  </si>
  <si>
    <t>200 OK - only text checked</t>
  </si>
  <si>
    <t>FR3.6.33-07</t>
  </si>
  <si>
    <t>[Normal] Check Compliance Content with content = image only, no text</t>
  </si>
  <si>
    <t>1. Prepare the state listed in Pre-conditions.
2. Call ContentCheckServiceImpl.checkCompliance with: content = image only, no text.
3. Check the response / error and the log.</t>
  </si>
  <si>
    <t>200 OK - only image checked</t>
  </si>
  <si>
    <t>FR3.6.33-08</t>
  </si>
  <si>
    <t>[Normal] Check Compliance Content with content = severe violation</t>
  </si>
  <si>
    <t>1. Prepare the state listed in Pre-conditions.
2. Call ContentCheckServiceImpl.checkCompliance with: content = severe violation.
3. Check the response / error and the log.</t>
  </si>
  <si>
    <t>200 OK - added to Content Moderation Queue
Log: Moderation queue entry created</t>
  </si>
  <si>
    <t>FR3.6.33-09</t>
  </si>
  <si>
    <t>[Normal] Check Compliance Content with content = multiple violations</t>
  </si>
  <si>
    <t>1. Prepare the state listed in Pre-conditions.
2. Call ContentCheckServiceImpl.checkCompliance with: content = multiple violations.
3. Check the response / error and the log.</t>
  </si>
  <si>
    <t>200 OK - violations list with all items</t>
  </si>
  <si>
    <t>FR3.6.33-10</t>
  </si>
  <si>
    <t>[Boundary] Check Compliance Content with content = 1 char text</t>
  </si>
  <si>
    <t>1. Prepare the state listed in Pre-conditions.
2. Call ContentCheckServiceImpl.checkCompliance with: content = 1 char text.
3. Check the response / error and the log.</t>
  </si>
  <si>
    <t>FR3.6.33-11</t>
  </si>
  <si>
    <t>[Boundary] Check Compliance Content with content = max length text</t>
  </si>
  <si>
    <t>1. Prepare the state listed in Pre-conditions.
2. Call ContentCheckServiceImpl.checkCompliance with: content = max length text.
3. Check the response / error and the log.</t>
  </si>
  <si>
    <t>200 OK - violations computed</t>
  </si>
  <si>
    <t>FR3.6.33-12</t>
  </si>
  <si>
    <t>[Boundary] Check Compliance Content with content = exactly 1 violation</t>
  </si>
  <si>
    <t>1. Prepare the state listed in Pre-conditions.
2. Call ContentCheckServiceImpl.checkCompliance with: content = exactly 1 violation.
3. Check the response / error and the log.</t>
  </si>
  <si>
    <t>200 OK - 1 violation item</t>
  </si>
  <si>
    <t>FR3.6.33-13</t>
  </si>
  <si>
    <t>[Boundary] Check Compliance Content with content = minor severity only</t>
  </si>
  <si>
    <t>1. Prepare the state listed in Pre-conditions.
2. Call ContentCheckServiceImpl.checkCompliance with: content = minor severity only.
3. Check the response / error and the log.</t>
  </si>
  <si>
    <t>200 OK - not sent to moderation queue</t>
  </si>
  <si>
    <t>FR3.6.33-14</t>
  </si>
  <si>
    <t>[Abnormal] Check Compliance Content with content = valid content</t>
  </si>
  <si>
    <t>1. Prepare the state listed in Pre-conditions.
2. Call ContentCheckServiceImpl.checkCompliance with: content = valid content.
3. Check the response / error and the log.</t>
  </si>
  <si>
    <t>Error: COMPLIANCE_SERVICE_UNAVAILABLE (502)</t>
  </si>
  <si>
    <t>- Can connect with server
- User is CREATOR of workspace
- Task type is post with content
- Moderation service down</t>
  </si>
  <si>
    <t>FR3.6.33-15</t>
  </si>
  <si>
    <t>[Abnormal] Check Compliance Content with content = empty text and no image</t>
  </si>
  <si>
    <t>1. Prepare the state listed in Pre-conditions.
2. Call ContentCheckServiceImpl.checkCompliance with: content = empty text and no image.
3. Check the response / error and the log.</t>
  </si>
  <si>
    <t>FR3.6.33-16</t>
  </si>
  <si>
    <t>[Abnormal] Check Compliance Content with taskId = task not of type post</t>
  </si>
  <si>
    <t>1. Prepare the state listed in Pre-conditions.
2. Call ContentCheckServiceImpl.checkCompliance with: taskId = task not of type post.
3. Check the response / error and the log.</t>
  </si>
  <si>
    <t>- Can connect with server
- User is CREATOR of workspace
- Moderation service available</t>
  </si>
  <si>
    <t>FR3.6.33-17</t>
  </si>
  <si>
    <t>[Abnormal] Check Compliance Content with taskId = non-existent task</t>
  </si>
  <si>
    <t>1. Prepare the state listed in Pre-conditions.
2. Call ContentCheckServiceImpl.checkCompliance with: taskId = non-existent task.
3. Check the response / error and the log.</t>
  </si>
  <si>
    <t>FR3.6.33-18</t>
  </si>
  <si>
    <t>- Can connect with server
- User is not a member of workspace
- Task type is post with content
- Moderation service available</t>
  </si>
  <si>
    <t>FR3.6.33-19</t>
  </si>
  <si>
    <t>- Can connect with server
- User is MANAGER of workspace
- Task type is post with content
- Moderation service available</t>
  </si>
  <si>
    <t>FR3.6.34-01</t>
  </si>
  <si>
    <t>[Normal] Check Copyright Infringement with image = unique original image</t>
  </si>
  <si>
    <t>1. Prepare the state listed in Pre-conditions.
2. Call ContentCheckServiceImpl.checkCopyright with: image = unique original image.
3. Check the response / error and the log.</t>
  </si>
  <si>
    <t>200 OK - matches []</t>
  </si>
  <si>
    <t>- Can connect with server
- User is CREATOR of workspace
- Task has image
- Reverse image search available</t>
  </si>
  <si>
    <t>FR3.6.34-02</t>
  </si>
  <si>
    <t>[Normal] Check Copyright Infringement with image = stock photo</t>
  </si>
  <si>
    <t>1. Prepare the state listed in Pre-conditions.
2. Call ContentCheckServiceImpl.checkCopyright with: image = stock photo.
3. Check the response / error and the log.</t>
  </si>
  <si>
    <t>200 OK - matches with sourceUrl, similarityScore</t>
  </si>
  <si>
    <t>FR3.6.34-03</t>
  </si>
  <si>
    <t>- Can connect with server
- User is CLIENT of workspace
- Task has image
- Reverse image search available</t>
  </si>
  <si>
    <t>FR3.6.34-04</t>
  </si>
  <si>
    <t>[Normal] Check Copyright Infringement with image = image with 3 matches</t>
  </si>
  <si>
    <t>1. Prepare the state listed in Pre-conditions.
2. Call ContentCheckServiceImpl.checkCopyright with: image = image with 3 matches.
3. Check the response / error and the log.</t>
  </si>
  <si>
    <t>200 OK - 3 matches</t>
  </si>
  <si>
    <t>FR3.6.34-05</t>
  </si>
  <si>
    <t>[Normal] Check Copyright Infringement with image = image with logo</t>
  </si>
  <si>
    <t>1. Prepare the state listed in Pre-conditions.
2. Call ContentCheckServiceImpl.checkCopyright with: image = image with logo.
3. Check the response / error and the log.</t>
  </si>
  <si>
    <t>200 OK - matches returned</t>
  </si>
  <si>
    <t>FR3.6.34-06</t>
  </si>
  <si>
    <t>[Normal] Check Copyright Infringement with image = 2 images</t>
  </si>
  <si>
    <t>1. Prepare the state listed in Pre-conditions.
2. Call ContentCheckServiceImpl.checkCopyright with: image = 2 images.
3. Check the response / error and the log.</t>
  </si>
  <si>
    <t>200 OK - matches from all images</t>
  </si>
  <si>
    <t>- Can connect with server
- User is CREATOR of workspace
- Task has 2 images
- Reverse image search available</t>
  </si>
  <si>
    <t>FR3.6.34-07</t>
  </si>
  <si>
    <t>200 OK - matches sorted by similarityScore desc</t>
  </si>
  <si>
    <t>FR3.6.34-08</t>
  </si>
  <si>
    <t>200 OK - similarityScore between 0 and 1</t>
  </si>
  <si>
    <t>FR3.6.34-09</t>
  </si>
  <si>
    <t>[Boundary] Check Copyright Infringement with image = exactly 1 match</t>
  </si>
  <si>
    <t>1. Prepare the state listed in Pre-conditions.
2. Call ContentCheckServiceImpl.checkCopyright with: image = exactly 1 match.
3. Check the response / error and the log.</t>
  </si>
  <si>
    <t>200 OK - 1 match</t>
  </si>
  <si>
    <t>FR3.6.34-10</t>
  </si>
  <si>
    <t>[Boundary] Check Copyright Infringement with image = similarity at threshold</t>
  </si>
  <si>
    <t>1. Prepare the state listed in Pre-conditions.
2. Call ContentCheckServiceImpl.checkCopyright with: image = similarity at threshold.
3. Check the response / error and the log.</t>
  </si>
  <si>
    <t>200 OK - match included</t>
  </si>
  <si>
    <t>FR3.6.34-11</t>
  </si>
  <si>
    <t>[Boundary] Check Copyright Infringement with image = similarity just below threshold</t>
  </si>
  <si>
    <t>1. Prepare the state listed in Pre-conditions.
2. Call ContentCheckServiceImpl.checkCopyright with: image = similarity just below threshold.
3. Check the response / error and the log.</t>
  </si>
  <si>
    <t>200 OK - match excluded</t>
  </si>
  <si>
    <t>FR3.6.34-12</t>
  </si>
  <si>
    <t>[Boundary] Check Copyright Infringement with image = max allowed file size</t>
  </si>
  <si>
    <t>1. Prepare the state listed in Pre-conditions.
2. Call ContentCheckServiceImpl.checkCopyright with: image = max allowed file size.
3. Check the response / error and the log.</t>
  </si>
  <si>
    <t>200 OK - checked</t>
  </si>
  <si>
    <t>FR3.6.34-13</t>
  </si>
  <si>
    <t>[Abnormal] Check Copyright Infringement with image = valid image</t>
  </si>
  <si>
    <t>1. Prepare the state listed in Pre-conditions.
2. Call ContentCheckServiceImpl.checkCopyright with: image = valid image.
3. Check the response / error and the log.</t>
  </si>
  <si>
    <t>Error: COPYRIGHT_SERVICE_UNAVAILABLE (502)</t>
  </si>
  <si>
    <t>- Can connect with server
- User is CREATOR of workspace
- Task has image
- Reverse image search down</t>
  </si>
  <si>
    <t>FR3.6.34-14</t>
  </si>
  <si>
    <t>[Abnormal] Check Copyright Infringement with image = task has no image</t>
  </si>
  <si>
    <t>1. Prepare the state listed in Pre-conditions.
2. Call ContentCheckServiceImpl.checkCopyright with: image = task has no image.
3. Check the response / error and the log.</t>
  </si>
  <si>
    <t>- Can connect with server
- User is CREATOR of workspace
- Reverse image search available</t>
  </si>
  <si>
    <t>FR3.6.34-15</t>
  </si>
  <si>
    <t>[Abnormal] Check Copyright Infringement with image = unsupported file format</t>
  </si>
  <si>
    <t>1. Prepare the state listed in Pre-conditions.
2. Call ContentCheckServiceImpl.checkCopyright with: image = unsupported file format.
3. Check the response / error and the log.</t>
  </si>
  <si>
    <t>FR3.6.34-16</t>
  </si>
  <si>
    <t>[Abnormal] Check Copyright Infringement with taskId = non-existent task</t>
  </si>
  <si>
    <t>1. Prepare the state listed in Pre-conditions.
2. Call ContentCheckServiceImpl.checkCopyright with: taskId = non-existent task.
3. Check the response / error and the log.</t>
  </si>
  <si>
    <t>FR3.6.34-17</t>
  </si>
  <si>
    <t>- Can connect with server
- User is not a member of workspace
- Task has image
- Reverse image search available</t>
  </si>
  <si>
    <t>FR3.6.34-18</t>
  </si>
  <si>
    <t>- Can connect with server
- User is MANAGER of workspace
- Task has image
- Reverse image search available</t>
  </si>
  <si>
    <t>FR3.6.35-01</t>
  </si>
  <si>
    <t>[Normal] View Content History with workspaceId = valid workspace</t>
  </si>
  <si>
    <t>1. Prepare the state listed in Pre-conditions.
2. Call ContentHistoryServiceImpl.getHistory with: workspaceId = valid workspace.
3. Check the response / error and the log.</t>
  </si>
  <si>
    <t>200 OK - list id, type, createdBy, createdAt, reusedCount</t>
  </si>
  <si>
    <t>- Can connect with server
- User is MANAGER of workspace
- Workspace exists
- Content history exists in workspace</t>
  </si>
  <si>
    <t>FR3.6.35-02</t>
  </si>
  <si>
    <t>200 OK - list of history</t>
  </si>
  <si>
    <t>- Can connect with server
- User is CREATOR of workspace
- Workspace exists
- Content history exists in workspace</t>
  </si>
  <si>
    <t>FR3.6.35-03</t>
  </si>
  <si>
    <t>- Can connect with server
- User is CLIENT of workspace
- Workspace exists
- Content history exists in workspace</t>
  </si>
  <si>
    <t>FR3.6.35-04</t>
  </si>
  <si>
    <t>[Normal] View Content History with filter type = IMAGE</t>
  </si>
  <si>
    <t>1. Prepare the state listed in Pre-conditions.
2. Call ContentHistoryServiceImpl.getHistory with: filter type = IMAGE.
3. Check the response / error and the log.</t>
  </si>
  <si>
    <t>200 OK - only image items</t>
  </si>
  <si>
    <t>FR3.6.35-05</t>
  </si>
  <si>
    <t>[Normal] View Content History with filter createdBy = creator A</t>
  </si>
  <si>
    <t>1. Prepare the state listed in Pre-conditions.
2. Call ContentHistoryServiceImpl.getHistory with: filter createdBy = creator A.
3. Check the response / error and the log.</t>
  </si>
  <si>
    <t>200 OK - only items by creator A</t>
  </si>
  <si>
    <t>FR3.6.35-06</t>
  </si>
  <si>
    <t>[Normal] View Content History with action = reuse existing AI image</t>
  </si>
  <si>
    <t>1. Prepare the state listed in Pre-conditions.
2. Call ContentHistoryServiceImpl.getHistory with: action = reuse existing AI image.
3. Check the response / error and the log.</t>
  </si>
  <si>
    <t>200 OK - reusedCount +1, AICreditLedger unchanged</t>
  </si>
  <si>
    <t>FR3.6.35-07</t>
  </si>
  <si>
    <t>[Normal] View Content History with action = reuse existing content twice</t>
  </si>
  <si>
    <t>1. Prepare the state listed in Pre-conditions.
2. Call ContentHistoryServiceImpl.getHistory with: action = reuse existing content twice.
3. Check the response / error and the log.</t>
  </si>
  <si>
    <t>200 OK - reusedCount 2, no extra credit</t>
  </si>
  <si>
    <t>FR3.6.35-08</t>
  </si>
  <si>
    <t>200 OK - item still listed in history</t>
  </si>
  <si>
    <t>- Can connect with server
- User is MANAGER of workspace
- Workspace exists
- Reused content was soft-deleted</t>
  </si>
  <si>
    <t>FR3.6.35-09</t>
  </si>
  <si>
    <t>[Boundary] View Content History with history = 0 items</t>
  </si>
  <si>
    <t>1. Prepare the state listed in Pre-conditions.
2. Call ContentHistoryServiceImpl.getHistory with: history = 0 items.
3. Check the response / error and the log.</t>
  </si>
  <si>
    <t>FR3.6.35-10</t>
  </si>
  <si>
    <t>[Boundary] View Content History with history = 1 item</t>
  </si>
  <si>
    <t>1. Prepare the state listed in Pre-conditions.
2. Call ContentHistoryServiceImpl.getHistory with: history = 1 item.
3. Check the response / error and the log.</t>
  </si>
  <si>
    <t>FR3.6.35-11</t>
  </si>
  <si>
    <t>[Boundary] View Content History with history = 1000 items</t>
  </si>
  <si>
    <t>1. Prepare the state listed in Pre-conditions.
2. Call ContentHistoryServiceImpl.getHistory with: history = 1000 items.
3. Check the response / error and the log.</t>
  </si>
  <si>
    <t>FR3.6.35-12</t>
  </si>
  <si>
    <t>[Boundary] View Content History with reusedCount = 0</t>
  </si>
  <si>
    <t>1. Prepare the state listed in Pre-conditions.
2. Call ContentHistoryServiceImpl.getHistory with: reusedCount = 0.
3. Check the response / error and the log.</t>
  </si>
  <si>
    <t>200 OK - reusedCount 0 for never reused</t>
  </si>
  <si>
    <t>FR3.6.35-13</t>
  </si>
  <si>
    <t>[Abnormal] View Content History with workspaceId = valid workspace</t>
  </si>
  <si>
    <t>FR3.6.35-14</t>
  </si>
  <si>
    <t>[Abnormal] View Content History with workspaceId = non-existent workspace</t>
  </si>
  <si>
    <t>1. Prepare the state listed in Pre-conditions.
2. Call ContentHistoryServiceImpl.getHistory with: workspaceId = non-existent workspace.
3. Check the response / error and the log.</t>
  </si>
  <si>
    <t>FR3.6.35-15</t>
  </si>
  <si>
    <t>[Abnormal] View Content History with filter type = unsupported type</t>
  </si>
  <si>
    <t>1. Prepare the state listed in Pre-conditions.
2. Call ContentHistoryServiceImpl.getHistory with: filter type = unsupported type.
3. Check the response / error and the log.</t>
  </si>
  <si>
    <t>FR3.6.35-16</t>
  </si>
  <si>
    <t>[Abnormal] View Content History with action = reuse non-existent content</t>
  </si>
  <si>
    <t>1. Prepare the state listed in Pre-conditions.
2. Call ContentHistoryServiceImpl.getHistory with: action = reuse non-existent content.
3. Check the response / error and the log.</t>
  </si>
  <si>
    <t>Error: CONTENT_NOT_FOUND (404)</t>
  </si>
  <si>
    <t>FR3.6.35-17</t>
  </si>
  <si>
    <t>[Abnormal] View Content History with workspaceId = null</t>
  </si>
  <si>
    <t>1. Prepare the state listed in Pre-conditions.
2. Call ContentHistoryServiceImpl.getHistory with: workspaceId = null.
3. Check the response / error and the log.</t>
  </si>
  <si>
    <t>FR3.6.36-01</t>
  </si>
  <si>
    <t>[Normal] Realtime Workspace Chat with contextType = GENERAL, content = Hello team, clientMessageId = new uuid</t>
  </si>
  <si>
    <t>1. Prepare the state listed in Pre-conditions.
2. Call ChatServiceImpl.send with: contextType = GENERAL; content = Hello team; clientMessageId = new uuid.
3. Check the response / error and the log.</t>
  </si>
  <si>
    <t>ChatMessageResponse - saved, senderRole from membership</t>
  </si>
  <si>
    <t>- Can connect with server
- User is active workspace member</t>
  </si>
  <si>
    <t>FR3.6.36-02</t>
  </si>
  <si>
    <t>[Normal] Realtime Workspace Chat with contextType = GENERAL, content =   padded text  , clientMessageId = new uuid</t>
  </si>
  <si>
    <t>1. Prepare the state listed in Pre-conditions.
2. Call ChatServiceImpl.send with: contextType = GENERAL; content =   padded text  ; clientMessageId = new uuid.
3. Check the response / error and the log.</t>
  </si>
  <si>
    <t>ChatMessageResponse - content trimmed</t>
  </si>
  <si>
    <t>FR3.6.36-03</t>
  </si>
  <si>
    <t>[Normal] Realtime Workspace Chat with contextType = GENERAL, content = Hello, clientMessageId = new uuid</t>
  </si>
  <si>
    <t>1. Prepare the state listed in Pre-conditions.
2. Call ChatServiceImpl.send with: contextType = GENERAL; content = Hello; clientMessageId = new uuid.
3. Check the response / error and the log.</t>
  </si>
  <si>
    <t>ChatMessageResponse - senderRole=MANAGER</t>
  </si>
  <si>
    <t>- Can connect with server
- User is MANAGER of workspace
- User is active workspace member</t>
  </si>
  <si>
    <t>FR3.6.36-04</t>
  </si>
  <si>
    <t>ChatMessageResponse - senderRole=CLIENT</t>
  </si>
  <si>
    <t>- Can connect with server
- User is CLIENT of workspace
- User is active workspace member</t>
  </si>
  <si>
    <t>FR3.6.36-05</t>
  </si>
  <si>
    <t>ChatMessageResponse - senderRole=CREATOR</t>
  </si>
  <si>
    <t>- Can connect with server
- User is CREATOR of workspace
- User is active workspace member</t>
  </si>
  <si>
    <t>FR3.6.36-06</t>
  </si>
  <si>
    <t>[Normal] Realtime Workspace Chat with content = About package, contextType = MEDIA_PACKAGE, contextId = package id in workspace</t>
  </si>
  <si>
    <t>1. Prepare the state listed in Pre-conditions.
2. Call ChatServiceImpl.send with: content = About package; contextType = MEDIA_PACKAGE; contextId = package id in workspace; clientMessageId = new uuid.
3. Check the response / error and the log.</t>
  </si>
  <si>
    <t>ChatMessageResponse - contextType=MEDIA_PACKAGE</t>
  </si>
  <si>
    <t>- Can connect with server
- User is active workspace member
- Media package belongs to workspace</t>
  </si>
  <si>
    <t>FR3.6.36-07</t>
  </si>
  <si>
    <t>[Normal] Realtime Workspace Chat with content = About campaign, contextType = MEDIA_CAMPAIGN, contextId = campaign id in workspace</t>
  </si>
  <si>
    <t>1. Prepare the state listed in Pre-conditions.
2. Call ChatServiceImpl.send with: content = About campaign; contextType = MEDIA_CAMPAIGN; contextId = campaign id in workspace; clientMessageId = new uuid.
3. Check the response / error and the log.</t>
  </si>
  <si>
    <t>ChatMessageResponse - contextType=MEDIA_CAMPAIGN</t>
  </si>
  <si>
    <t>- Can connect with server
- User is active workspace member
- Media campaign belongs to workspace</t>
  </si>
  <si>
    <t>FR3.6.36-08</t>
  </si>
  <si>
    <t>[Normal] Realtime Workspace Chat with contextType = GENERAL, content = Hello, clientMessageId = existing uuid</t>
  </si>
  <si>
    <t>1. Prepare the state listed in Pre-conditions.
2. Call ChatServiceImpl.send with: contextType = GENERAL; content = Hello; clientMessageId = existing uuid.
3. Check the response / error and the log.</t>
  </si>
  <si>
    <t>ChatMessageResponse - existing message returned, no insert</t>
  </si>
  <si>
    <t>- Can connect with server
- User is active workspace member
- Message with same clientMessageId already saved</t>
  </si>
  <si>
    <t>FR3.6.36-09</t>
  </si>
  <si>
    <t>[Normal] Realtime Workspace Chat with contextType = GENERAL, content = Hello, clientMessageId = same uuid</t>
  </si>
  <si>
    <t>1. Prepare the state listed in Pre-conditions.
2. Call ChatServiceImpl.send with: contextType = GENERAL; content = Hello; clientMessageId = same uuid.
3. Check the response / error and the log.</t>
  </si>
  <si>
    <t>ChatMessageResponse - existing saved message returned</t>
  </si>
  <si>
    <t>- Can connect with server
- User is active workspace member
- Concurrent insert hits DuplicateKeyException</t>
  </si>
  <si>
    <t>FR3.6.36-10</t>
  </si>
  <si>
    <t>[Normal] Realtime Workspace Chat with contextType = GENERAL, content = &lt;b&gt;bold&lt;/b&gt;, clientMessageId = new uuid</t>
  </si>
  <si>
    <t>1. Prepare the state listed in Pre-conditions.
2. Call ChatServiceImpl.send with: contextType = GENERAL; content = &lt;b&gt;bold&lt;/b&gt;; clientMessageId = new uuid.
3. Check the response / error and the log.</t>
  </si>
  <si>
    <t>ChatMessageResponse - stored as plain text, no HTML render</t>
  </si>
  <si>
    <t>FR3.6.36-11</t>
  </si>
  <si>
    <t>[Boundary] Realtime Workspace Chat with contextType = GENERAL, content = 1 char, clientMessageId = new uuid</t>
  </si>
  <si>
    <t>1. Prepare the state listed in Pre-conditions.
2. Call ChatServiceImpl.send with: contextType = GENERAL; content = 1 char; clientMessageId = new uuid.
3. Check the response / error and the log.</t>
  </si>
  <si>
    <t>ChatMessageResponse - saved</t>
  </si>
  <si>
    <t>FR3.6.36-12</t>
  </si>
  <si>
    <t>[Boundary] Realtime Workspace Chat with contextType = GENERAL, content = 4000 chars, clientMessageId = new uuid</t>
  </si>
  <si>
    <t>1. Prepare the state listed in Pre-conditions.
2. Call ChatServiceImpl.send with: contextType = GENERAL; content = 4000 chars; clientMessageId = new uuid.
3. Check the response / error and the log.</t>
  </si>
  <si>
    <t>FR3.6.36-13</t>
  </si>
  <si>
    <t>[Boundary] Realtime Workspace Chat with contextType = GENERAL, content = 4001 chars, clientMessageId = new uuid</t>
  </si>
  <si>
    <t>1. Prepare the state listed in Pre-conditions.
2. Call ChatServiceImpl.send with: contextType = GENERAL; content = 4001 chars; clientMessageId = new uuid.
3. Check the response / error and the log.</t>
  </si>
  <si>
    <t>Error: CHAT_MESSAGE_INVALID (400): Chat message must contain between 1 and 4000 characters</t>
  </si>
  <si>
    <t>FR3.6.36-14</t>
  </si>
  <si>
    <t>[Boundary] Realtime Workspace Chat with contextType = GENERAL, content = 4000 chars plus surrounding spaces, clientMessageId = new uuid</t>
  </si>
  <si>
    <t>1. Prepare the state listed in Pre-conditions.
2. Call ChatServiceImpl.send with: contextType = GENERAL; content = 4000 chars plus surrounding spaces; clientMessageId = new uuid.
3. Check the response / error and the log.</t>
  </si>
  <si>
    <t>ChatMessageResponse - saved after trim</t>
  </si>
  <si>
    <t>FR3.6.36-15</t>
  </si>
  <si>
    <t>[Abnormal] Realtime Workspace Chat with contextType = GENERAL, content = empty, clientMessageId = new uuid</t>
  </si>
  <si>
    <t>1. Prepare the state listed in Pre-conditions.
2. Call ChatServiceImpl.send with: contextType = GENERAL; content = empty; clientMessageId = new uuid.
3. Check the response / error and the log.</t>
  </si>
  <si>
    <t>FR3.6.36-16</t>
  </si>
  <si>
    <t>[Abnormal] Realtime Workspace Chat with contextType = GENERAL, content = only spaces, clientMessageId = new uuid</t>
  </si>
  <si>
    <t>1. Prepare the state listed in Pre-conditions.
2. Call ChatServiceImpl.send with: contextType = GENERAL; content = only spaces; clientMessageId = new uuid.
3. Check the response / error and the log.</t>
  </si>
  <si>
    <t>FR3.6.36-17</t>
  </si>
  <si>
    <t>[Abnormal] Realtime Workspace Chat with contextType = GENERAL, content = null, clientMessageId = new uuid</t>
  </si>
  <si>
    <t>1. Prepare the state listed in Pre-conditions.
2. Call ChatServiceImpl.send with: contextType = GENERAL; content = null; clientMessageId = new uuid.
3. Check the response / error and the log.</t>
  </si>
  <si>
    <t>FR3.6.36-18</t>
  </si>
  <si>
    <t>[Abnormal] Realtime Workspace Chat with contextType = GENERAL, content = Hello, contextId = some uuid</t>
  </si>
  <si>
    <t>1. Prepare the state listed in Pre-conditions.
2. Call ChatServiceImpl.send with: contextType = GENERAL; content = Hello; contextId = some uuid; clientMessageId = new uuid.
3. Check the response / error and the log.</t>
  </si>
  <si>
    <t>Error: CHAT_CONTEXT_INVALID (400): Chat context does not belong to this workspace</t>
  </si>
  <si>
    <t>FR3.6.36-19</t>
  </si>
  <si>
    <t>[Abnormal] Realtime Workspace Chat with content = Hello, contextType = MEDIA_PACKAGE, contextId = null</t>
  </si>
  <si>
    <t>1. Prepare the state listed in Pre-conditions.
2. Call ChatServiceImpl.send with: content = Hello; contextType = MEDIA_PACKAGE; contextId = null; clientMessageId = new uuid.
3. Check the response / error and the log.</t>
  </si>
  <si>
    <t>FR3.6.36-20</t>
  </si>
  <si>
    <t>[Abnormal] Realtime Workspace Chat with content = Hello, contextType = MEDIA_PACKAGE, contextId = package of another workspace</t>
  </si>
  <si>
    <t>1. Prepare the state listed in Pre-conditions.
2. Call ChatServiceImpl.send with: content = Hello; contextType = MEDIA_PACKAGE; contextId = package of another workspace; clientMessageId = new uuid.
3. Check the response / error and the log.</t>
  </si>
  <si>
    <t>FR3.6.36-21</t>
  </si>
  <si>
    <t>[Abnormal] Realtime Workspace Chat with content = Hello, contextType = MEDIA_CAMPAIGN, contextId = non-existent campaign</t>
  </si>
  <si>
    <t>1. Prepare the state listed in Pre-conditions.
2. Call ChatServiceImpl.send with: content = Hello; contextType = MEDIA_CAMPAIGN; contextId = non-existent campaign; clientMessageId = new uuid.
3. Check the response / error and the log.</t>
  </si>
  <si>
    <t>FR3.6.36-22</t>
  </si>
  <si>
    <t>[Abnormal] Realtime Workspace Chat with contextType = GENERAL, content = Hello, clientMessageId = new uuid</t>
  </si>
  <si>
    <t>Error: CHAT_RATE_LIMIT_EXCEEDED (429): Chat message rate limit exceeded</t>
  </si>
  <si>
    <t>- Can connect with server
- User is active workspace member
- Rate limit exceeded</t>
  </si>
  <si>
    <t>FR3.6.36-23</t>
  </si>
  <si>
    <t>Error: WORKSPACE_ACCESS_DENIED (403): You do not have access to this workspace</t>
  </si>
  <si>
    <t>- Can connect with server
- User is not active member of workspace</t>
  </si>
  <si>
    <t>FR3.6.36-24</t>
  </si>
  <si>
    <t>- Can connect with server
- Member was removed from workspace</t>
  </si>
  <si>
    <t>FR3.6.36-25</t>
  </si>
  <si>
    <t>[Abnormal] Realtime Workspace Chat with contextType = GENERAL, content = Hello, clientMessageId = existing uuid</t>
  </si>
  <si>
    <t>Functional test of 3.7.1 View Trending Topics Suggestions; 3.7.2 Generate Caption; 3.7.3 Generate Ambassador; 3.7.4 View Image Style Template and 8 more</t>
  </si>
  <si>
    <t>FR3.7.1-01</t>
  </si>
  <si>
    <t>[Normal] View Trending Topics Suggestions with period = 24h, category = all, limit = 20</t>
  </si>
  <si>
    <t>1. Prepare the state listed in Pre-conditions.
2. Call TrendCacheService.get_trends with: period = 24h; category = all; limit = 20.
3. Check the response / error and the log.</t>
  </si>
  <si>
    <t>200 - up to 20 trends ordered by score desc</t>
  </si>
  <si>
    <t>- Can connect with server
- Redis trend cache populated</t>
  </si>
  <si>
    <t>Ân</t>
  </si>
  <si>
    <t>FR3.7.1-02</t>
  </si>
  <si>
    <t>[Normal] View Trending Topics Suggestions with period = 6h, category = all, limit = 20</t>
  </si>
  <si>
    <t>1. Prepare the state listed in Pre-conditions.
2. Call TrendCacheService.get_trends with: period = 6h; category = all; limit = 20.
3. Check the response / error and the log.</t>
  </si>
  <si>
    <t>200 - live 6h trends</t>
  </si>
  <si>
    <t>FR3.7.1-03</t>
  </si>
  <si>
    <t>[Normal] View Trending Topics Suggestions with period = 7d, category = all, limit = 20</t>
  </si>
  <si>
    <t>1. Prepare the state listed in Pre-conditions.
2. Call TrendCacheService.get_trends with: period = 7d; category = all; limit = 20.
3. Check the response / error and the log.</t>
  </si>
  <si>
    <t>200 - weekly aggregate via get_weekly_top_trends</t>
  </si>
  <si>
    <t>FR3.7.1-04</t>
  </si>
  <si>
    <t>[Normal] View Trending Topics Suggestions with period = 24h, category = fashion, limit = 10</t>
  </si>
  <si>
    <t>1. Prepare the state listed in Pre-conditions.
2. Call TrendCacheService.get_trends with: period = 24h; category = fashion; limit = 10.
3. Check the response / error and the log.</t>
  </si>
  <si>
    <t>200 - only category fashion trends</t>
  </si>
  <si>
    <t>FR3.7.1-05</t>
  </si>
  <si>
    <t>[Normal] View Trending Topics Suggestions with period = 24h, category = all, limit = 10</t>
  </si>
  <si>
    <t>1. Prepare the state listed in Pre-conditions.
2. Call TrendCacheService.get_trends with: period = 24h; category = all; limit = 10; date = 2026-09-14.
3. Check the response / error and the log.</t>
  </si>
  <si>
    <t>200 - trends for given date key</t>
  </si>
  <si>
    <t>FR3.7.1-06</t>
  </si>
  <si>
    <t>200 - fallback to daily key when live key empty</t>
  </si>
  <si>
    <t>- Can connect with server
- Live 6h key empty, daily key populated</t>
  </si>
  <si>
    <t>FR3.7.1-07</t>
  </si>
  <si>
    <t>[Normal] View Trending Topics Suggestions with period = unknown, category = all, limit = 20</t>
  </si>
  <si>
    <t>1. Prepare the state listed in Pre-conditions.
2. Call TrendCacheService.get_trends with: period = unknown; category = all; limit = 20.
3. Check the response / error and the log.</t>
  </si>
  <si>
    <t>200 - treated as 24h daily key</t>
  </si>
  <si>
    <t>FR3.7.1-08</t>
  </si>
  <si>
    <t>[Boundary] View Trending Topics Suggestions with period = 24h, category = all, limit = 1</t>
  </si>
  <si>
    <t>1. Prepare the state listed in Pre-conditions.
2. Call TrendCacheService.get_trends with: period = 24h; category = all; limit = 1.
3. Check the response / error and the log.</t>
  </si>
  <si>
    <t>200 - exactly 1 trend</t>
  </si>
  <si>
    <t>FR3.7.1-09</t>
  </si>
  <si>
    <t>[Boundary] View Trending Topics Suggestions with period = 24h, category = all, limit = 100</t>
  </si>
  <si>
    <t>1. Prepare the state listed in Pre-conditions.
2. Call TrendCacheService.get_trends with: period = 24h; category = all; limit = 100.
3. Check the response / error and the log.</t>
  </si>
  <si>
    <t>200 - at most 100 trends</t>
  </si>
  <si>
    <t>FR3.7.1-10</t>
  </si>
  <si>
    <t>[Boundary] View Trending Topics Suggestions with period = 24h, category = all, limit = 20</t>
  </si>
  <si>
    <t>200 - fewer items than limit when cache has less</t>
  </si>
  <si>
    <t>- Can connect with server
- Cache has 3 trends</t>
  </si>
  <si>
    <t>FR3.7.1-11</t>
  </si>
  <si>
    <t>1. Prepare the state listed in Pre-conditions.
2. Call TrendCacheService.get_trends with: period = 24h; category = all; limit = 20; date = null.
3. Check the response / error and the log.</t>
  </si>
  <si>
    <t>200 - defaults to current UTC date</t>
  </si>
  <si>
    <t>FR3.7.1-12</t>
  </si>
  <si>
    <t>[Abnormal] View Trending Topics Suggestions with period = 24h, category = all, limit = 20</t>
  </si>
  <si>
    <t>200 - empty list, no error (empty state)</t>
  </si>
  <si>
    <t>- Can connect with server
- Redis trend cache is empty</t>
  </si>
  <si>
    <t>FR3.7.1-13</t>
  </si>
  <si>
    <t>[Abnormal] View Trending Topics Suggestions with period = 24h, category = nonexistent, limit = 20</t>
  </si>
  <si>
    <t>1. Prepare the state listed in Pre-conditions.
2. Call TrendCacheService.get_trends with: period = 24h; category = nonexistent; limit = 20.
3. Check the response / error and the log.</t>
  </si>
  <si>
    <t>FR3.7.1-14</t>
  </si>
  <si>
    <t>[Abnormal] View Trending Topics Suggestions with period = 24h, category = all, limit = 0</t>
  </si>
  <si>
    <t>1. Prepare the state listed in Pre-conditions.
2. Call TrendCacheService.get_trends with: period = 24h; category = all; limit = 0.
3. Check the response / error and the log.</t>
  </si>
  <si>
    <t>Error: 422 Validation error (limit &lt; 1)</t>
  </si>
  <si>
    <t>FR3.7.1-15</t>
  </si>
  <si>
    <t>[Abnormal] View Trending Topics Suggestions with period = 24h, category = all, limit = 101</t>
  </si>
  <si>
    <t>1. Prepare the state listed in Pre-conditions.
2. Call TrendCacheService.get_trends with: period = 24h; category = all; limit = 101.
3. Check the response / error and the log.</t>
  </si>
  <si>
    <t>Error: 422 Validation error (limit &gt; 100)</t>
  </si>
  <si>
    <t>FR3.7.1-16</t>
  </si>
  <si>
    <t>200 - empty list, no exception raised</t>
  </si>
  <si>
    <t>- Can connect with server
- Redis connection fails</t>
  </si>
  <si>
    <t>FR3.7.2-01</t>
  </si>
  <si>
    <t>[Normal] Generate Caption with topic = valid topic 40 chars, tone = friendly, platform = facebook</t>
  </si>
  <si>
    <t>1. Prepare the state listed in Pre-conditions.
2. Call AiGenerationController / content endpoint.generateCaptionVariants / generate_caption_variants_endpoint with: topic = valid topic 40 chars; tone = friendly; platform = facebook; length = medium.
3. Check the response / error and the log.</t>
  </si>
  <si>
    <t>200 - 3 caption variants (HOOK_DRIVEN, STORYTELLING, DIRECT_CTA)</t>
  </si>
  <si>
    <t>- Can connect with server
- Creator has enough AI credit</t>
  </si>
  <si>
    <t>FR3.7.2-02</t>
  </si>
  <si>
    <t>[Normal] Generate Caption with topic = valid topic 40 chars, tone = professional, platform = facebook</t>
  </si>
  <si>
    <t>1. Prepare the state listed in Pre-conditions.
2. Call AiGenerationController / content endpoint.generateCaptionVariants / generate_caption_variants_endpoint with: topic = valid topic 40 chars; tone = professional; platform = facebook; length = medium.
3. Check the response / error and the log.</t>
  </si>
  <si>
    <t>200 - 3 variants with professional tone</t>
  </si>
  <si>
    <t>FR3.7.2-03</t>
  </si>
  <si>
    <t>[Normal] Generate Caption with topic = valid topic 40 chars, tone = friendly, platform = tiktok</t>
  </si>
  <si>
    <t>1. Prepare the state listed in Pre-conditions.
2. Call AiGenerationController / content endpoint.generateCaptionVariants / generate_caption_variants_endpoint with: topic = valid topic 40 chars; tone = friendly; platform = tiktok; length = medium.
3. Check the response / error and the log.</t>
  </si>
  <si>
    <t>200 - 3 variants for tiktok</t>
  </si>
  <si>
    <t>FR3.7.2-04</t>
  </si>
  <si>
    <t>[Normal] Generate Caption with topic = valid topic 40 chars, tone = friendly, platform = linkedin</t>
  </si>
  <si>
    <t>1. Prepare the state listed in Pre-conditions.
2. Call AiGenerationController / content endpoint.generateCaptionVariants / generate_caption_variants_endpoint with: topic = valid topic 40 chars; tone = friendly; platform = linkedin; length = long.
3. Check the response / error and the log.</t>
  </si>
  <si>
    <t>200 - 3 long variants for linkedin</t>
  </si>
  <si>
    <t>FR3.7.2-05</t>
  </si>
  <si>
    <t>1. Prepare the state listed in Pre-conditions.
2. Call AiGenerationController / content endpoint.generateCaptionVariants / generate_caption_variants_endpoint with: topic = valid topic 40 chars; tone = friendly; platform = facebook; length = short.
3. Check the response / error and the log.</t>
  </si>
  <si>
    <t>200 - 3 short variants</t>
  </si>
  <si>
    <t>FR3.7.2-06</t>
  </si>
  <si>
    <t>1. Prepare the state listed in Pre-conditions.
2. Call AiGenerationController / content endpoint.generateCaptionVariants / generate_caption_variants_endpoint with: topic = valid topic 40 chars; tone = friendly; platform = facebook; length = medium; language = en.
3. Check the response / error and the log.</t>
  </si>
  <si>
    <t>200 - 3 English variants</t>
  </si>
  <si>
    <t>FR3.7.2-07</t>
  </si>
  <si>
    <t>1. Prepare the state listed in Pre-conditions.
2. Call AiGenerationController / content endpoint.generateCaptionVariants / generate_caption_variants_endpoint with: topic = valid topic 40 chars; tone = friendly; platform = facebook; length = medium; target_audience = Gen Z; brand_context = brand voice; trend_context = trend keywords.
3. Check the response / error and the log.</t>
  </si>
  <si>
    <t>200 - variants use audience, brand and trend context</t>
  </si>
  <si>
    <t>FR3.7.2-08</t>
  </si>
  <si>
    <t>[Boundary] Generate Caption with topic = 10 chars exact, tone = friendly, platform = facebook</t>
  </si>
  <si>
    <t>1. Prepare the state listed in Pre-conditions.
2. Call AiGenerationController / content endpoint.generateCaptionVariants / generate_caption_variants_endpoint with: topic = 10 chars exact; tone = friendly; platform = facebook; length = medium.
3. Check the response / error and the log.</t>
  </si>
  <si>
    <t>200 - 3 variants (topic min length 10)</t>
  </si>
  <si>
    <t>FR3.7.2-09</t>
  </si>
  <si>
    <t>[Boundary] Generate Caption with topic = 1000 chars, tone = friendly, platform = facebook</t>
  </si>
  <si>
    <t>1. Prepare the state listed in Pre-conditions.
2. Call AiGenerationController / content endpoint.generateCaptionVariants / generate_caption_variants_endpoint with: topic = 1000 chars; tone = friendly; platform = facebook; length = medium.
3. Check the response / error and the log.</t>
  </si>
  <si>
    <t>200 - 3 variants (topic max length 1000)</t>
  </si>
  <si>
    <t>FR3.7.2-10</t>
  </si>
  <si>
    <t>[Boundary] Generate Caption with topic = valid topic 40 chars, tone = friendly, platform = facebook</t>
  </si>
  <si>
    <t>1. Prepare the state listed in Pre-conditions.
2. Call AiGenerationController / content endpoint.generateCaptionVariants / generate_caption_variants_endpoint with: topic = valid topic 40 chars; tone = friendly; platform = facebook; length = medium; target_audience = 500 chars.
3. Check the response / error and the log.</t>
  </si>
  <si>
    <t>200 - 3 variants (audience max 500)</t>
  </si>
  <si>
    <t>FR3.7.2-11</t>
  </si>
  <si>
    <t>[Abnormal] Generate Caption with topic = 9 chars, tone = friendly, platform = facebook</t>
  </si>
  <si>
    <t>1. Prepare the state listed in Pre-conditions.
2. Call AiGenerationController / content endpoint.generateCaptionVariants / generate_caption_variants_endpoint with: topic = 9 chars; tone = friendly; platform = facebook; length = medium.
3. Check the response / error and the log.</t>
  </si>
  <si>
    <t>Error: 422 Validation error (topic &lt; 10 chars)</t>
  </si>
  <si>
    <t>FR3.7.2-12</t>
  </si>
  <si>
    <t>[Abnormal] Generate Caption with topic = 1001 chars, tone = friendly, platform = facebook</t>
  </si>
  <si>
    <t>1. Prepare the state listed in Pre-conditions.
2. Call AiGenerationController / content endpoint.generateCaptionVariants / generate_caption_variants_endpoint with: topic = 1001 chars; tone = friendly; platform = facebook; length = medium.
3. Check the response / error and the log.</t>
  </si>
  <si>
    <t>Error: 422 Validation error (topic &gt; 1000 chars)</t>
  </si>
  <si>
    <t>FR3.7.2-13</t>
  </si>
  <si>
    <t>[Abnormal] Generate Caption with topic = null, tone = friendly, platform = facebook</t>
  </si>
  <si>
    <t>1. Prepare the state listed in Pre-conditions.
2. Call AiGenerationController / content endpoint.generateCaptionVariants / generate_caption_variants_endpoint with: topic = null; tone = friendly; platform = facebook; length = medium.
3. Check the response / error and the log.</t>
  </si>
  <si>
    <t>Error: 422 Validation error (topic required)</t>
  </si>
  <si>
    <t>FR3.7.2-14</t>
  </si>
  <si>
    <t>[Abnormal] Generate Caption with topic = valid topic 40 chars, tone = sarcastic, platform = facebook</t>
  </si>
  <si>
    <t>1. Prepare the state listed in Pre-conditions.
2. Call AiGenerationController / content endpoint.generateCaptionVariants / generate_caption_variants_endpoint with: topic = valid topic 40 chars; tone = sarcastic; platform = facebook; length = medium.
3. Check the response / error and the log.</t>
  </si>
  <si>
    <t>Error: 422 Validation error (invalid tone)</t>
  </si>
  <si>
    <t>FR3.7.2-15</t>
  </si>
  <si>
    <t>[Abnormal] Generate Caption with topic = valid topic 40 chars, tone = friendly, platform = youtube</t>
  </si>
  <si>
    <t>1. Prepare the state listed in Pre-conditions.
2. Call AiGenerationController / content endpoint.generateCaptionVariants / generate_caption_variants_endpoint with: topic = valid topic 40 chars; tone = friendly; platform = youtube; length = medium.
3. Check the response / error and the log.</t>
  </si>
  <si>
    <t>Error: 422 Validation error (unsupported platform)</t>
  </si>
  <si>
    <t>FR3.7.2-16</t>
  </si>
  <si>
    <t>[Abnormal] Generate Caption with topic = valid topic 40 chars, tone = friendly, platform = facebook</t>
  </si>
  <si>
    <t>1. Prepare the state listed in Pre-conditions.
2. Call AiGenerationController / content endpoint.generateCaptionVariants / generate_caption_variants_endpoint with: topic = valid topic 40 chars; tone = friendly; platform = facebook; length = huge.
3. Check the response / error and the log.</t>
  </si>
  <si>
    <t>Error: 422 Validation error (invalid length)</t>
  </si>
  <si>
    <t>FR3.7.2-17</t>
  </si>
  <si>
    <t>Error: 502 Caption generation failed</t>
  </si>
  <si>
    <t>- Can connect with server
- LLM provider fails (LLMQualityError)</t>
  </si>
  <si>
    <t>FR3.7.2-18</t>
  </si>
  <si>
    <t>Error: 403 Forbidden (invalid internal key)</t>
  </si>
  <si>
    <t>- Request has invalid internal API key</t>
  </si>
  <si>
    <t>FR3.7.3-01</t>
  </si>
  <si>
    <t>[Normal] Generate Ambassador with description = young Vietnamese woman, casual style, style = realistic, client_id = client-1</t>
  </si>
  <si>
    <t>1. Prepare the state listed in Pre-conditions.
2. Call AiGenerationController / ambassador endpoint.generateAmbassador / generate_ambassador with: description = young Vietnamese woman, casual style; style = realistic; client_id = client-1.
3. Check the response / error and the log.</t>
  </si>
  <si>
    <t>200 - AmbassadorImageResponse(image url, s3 key)</t>
  </si>
  <si>
    <t>Tuấn</t>
  </si>
  <si>
    <t>FR3.7.3-02</t>
  </si>
  <si>
    <t>[Normal] Generate Ambassador with description = middle-aged man, formal suit, client_id = client-1</t>
  </si>
  <si>
    <t>1. Prepare the state listed in Pre-conditions.
2. Call AiGenerationController / ambassador endpoint.generateAmbassador / generate_ambassador with: description = middle-aged man, formal suit; client_id = client-1.
3. Check the response / error and the log.</t>
  </si>
  <si>
    <t>200 - AmbassadorImageResponse, default style</t>
  </si>
  <si>
    <t>FR3.7.3-03</t>
  </si>
  <si>
    <t>[Normal] Generate Ambassador with description = anime style girl, style = anime, client_id = client-1</t>
  </si>
  <si>
    <t>1. Prepare the state listed in Pre-conditions.
2. Call AiGenerationController / ambassador endpoint.generateAmbassador / generate_ambassador with: description = anime style girl; style = anime; client_id = client-1.
3. Check the response / error and the log.</t>
  </si>
  <si>
    <t>200 - image stored with image_type=ambassador</t>
  </si>
  <si>
    <t>FR3.7.3-04</t>
  </si>
  <si>
    <t>[Normal] Generate Ambassador with description = valid description, client_id = client-2</t>
  </si>
  <si>
    <t>1. Prepare the state listed in Pre-conditions.
2. Call AiGenerationController / ambassador endpoint.generateAmbassador / generate_ambassador with: description = valid description; client_id = client-2.
3. Check the response / error and the log.</t>
  </si>
  <si>
    <t>200 - image stored under client-2 prefix</t>
  </si>
  <si>
    <t>FR3.7.3-05</t>
  </si>
  <si>
    <t>[Normal] Generate Ambassador with description = valid description, client_id = client-1</t>
  </si>
  <si>
    <t>1. Prepare the state listed in Pre-conditions.
2. Call AiGenerationController / ambassador endpoint.generateAmbassador / generate_ambassador with: description = valid description; client_id = client-1.
3. Check the response / error and the log.</t>
  </si>
  <si>
    <t>200 - new ambassador each call (new generation)</t>
  </si>
  <si>
    <t>- Can connect with server
- Creator has enough AI credit
- Creator already generated an ambassador</t>
  </si>
  <si>
    <t>FR3.7.3-06</t>
  </si>
  <si>
    <t>200 - generate works with presets available</t>
  </si>
  <si>
    <t>- Can connect with server
- Creator has enough AI credit
- Ambassador presets available</t>
  </si>
  <si>
    <t>FR3.7.3-07</t>
  </si>
  <si>
    <t>[Boundary] Generate Ambassador with description = 1 char, client_id = client-1</t>
  </si>
  <si>
    <t>1. Prepare the state listed in Pre-conditions.
2. Call AiGenerationController / ambassador endpoint.generateAmbassador / generate_ambassador with: description = 1 char; client_id = client-1.
3. Check the response / error and the log.</t>
  </si>
  <si>
    <t>200 - image generated for minimal description</t>
  </si>
  <si>
    <t>FR3.7.3-08</t>
  </si>
  <si>
    <t>[Boundary] Generate Ambassador with description = max length description, client_id = client-1</t>
  </si>
  <si>
    <t>1. Prepare the state listed in Pre-conditions.
2. Call AiGenerationController / ambassador endpoint.generateAmbassador / generate_ambassador with: description = max length description; client_id = client-1.
3. Check the response / error and the log.</t>
  </si>
  <si>
    <t>200 - image generated at max description length</t>
  </si>
  <si>
    <t>FR3.7.3-09</t>
  </si>
  <si>
    <t>[Boundary] Generate Ambassador with description = valid description, client_id = 1 char</t>
  </si>
  <si>
    <t>1. Prepare the state listed in Pre-conditions.
2. Call AiGenerationController / ambassador endpoint.generateAmbassador / generate_ambassador with: description = valid description; client_id = 1 char.
3. Check the response / error and the log.</t>
  </si>
  <si>
    <t>200 - image generated, min client_id</t>
  </si>
  <si>
    <t>FR3.7.3-10</t>
  </si>
  <si>
    <t>[Abnormal] Generate Ambassador with description = empty, client_id = client-1</t>
  </si>
  <si>
    <t>1. Prepare the state listed in Pre-conditions.
2. Call AiGenerationController / ambassador endpoint.generateAmbassador / generate_ambassador with: description = empty; client_id = client-1.
3. Check the response / error and the log.</t>
  </si>
  <si>
    <t>Error: 422 Validation error (description required)</t>
  </si>
  <si>
    <t>FR3.7.3-11</t>
  </si>
  <si>
    <t>[Abnormal] Generate Ambassador with description = null, client_id = client-1</t>
  </si>
  <si>
    <t>1. Prepare the state listed in Pre-conditions.
2. Call AiGenerationController / ambassador endpoint.generateAmbassador / generate_ambassador with: description = null; client_id = client-1.
3. Check the response / error and the log.</t>
  </si>
  <si>
    <t>FR3.7.3-12</t>
  </si>
  <si>
    <t>[Abnormal] Generate Ambassador with description = over max length, client_id = client-1</t>
  </si>
  <si>
    <t>1. Prepare the state listed in Pre-conditions.
2. Call AiGenerationController / ambassador endpoint.generateAmbassador / generate_ambassador with: description = over max length; client_id = client-1.
3. Check the response / error and the log.</t>
  </si>
  <si>
    <t>Error: 422 Validation error (description too long)</t>
  </si>
  <si>
    <t>FR3.7.3-13</t>
  </si>
  <si>
    <t>[Abnormal] Generate Ambassador with description = valid description, client_id = client-1</t>
  </si>
  <si>
    <t>Error: AmbassadorWorkerError - worker status_code, detail</t>
  </si>
  <si>
    <t>- Can connect with server
- Creator has enough AI credit
- FLUX worker returns error</t>
  </si>
  <si>
    <t>FR3.7.3-14</t>
  </si>
  <si>
    <t>Error: 402 INSUFFICIENT_AI_CREDIT</t>
  </si>
  <si>
    <t>- Can connect with server
- Creator has no AI credit</t>
  </si>
  <si>
    <t>FR3.7.3-15</t>
  </si>
  <si>
    <t>Error: 503 AI service is unavailable</t>
  </si>
  <si>
    <t>- AI service is down</t>
  </si>
  <si>
    <t>FR3.7.3-16</t>
  </si>
  <si>
    <t>FR3.7.4-01</t>
  </si>
  <si>
    <t>[Normal] View Image Style Template with category = null</t>
  </si>
  <si>
    <t>1. Prepare the state listed in Pre-conditions.
2. Call image endpoint.list_templates with: category = null.
3. Check the response / error and the log.</t>
  </si>
  <si>
    <t>200 - TemplateListResponse(total=N, templates)</t>
  </si>
  <si>
    <t>- Can connect with server
- Image style templates exist</t>
  </si>
  <si>
    <t>FR3.7.4-02</t>
  </si>
  <si>
    <t>[Normal] View Image Style Template with category = fashion</t>
  </si>
  <si>
    <t>1. Prepare the state listed in Pre-conditions.
2. Call image endpoint.list_templates with: category = fashion.
3. Check the response / error and the log.</t>
  </si>
  <si>
    <t>200 - only templates of category fashion</t>
  </si>
  <si>
    <t>FR3.7.4-03</t>
  </si>
  <si>
    <t>[Normal] View Image Style Template with category = food</t>
  </si>
  <si>
    <t>1. Prepare the state listed in Pre-conditions.
2. Call image endpoint.list_templates with: category = food.
3. Check the response / error and the log.</t>
  </si>
  <si>
    <t>200 - only templates of category food</t>
  </si>
  <si>
    <t>FR3.7.4-04</t>
  </si>
  <si>
    <t>[Normal] View Image Style Template with category = beauty</t>
  </si>
  <si>
    <t>1. Prepare the state listed in Pre-conditions.
2. Call image endpoint.list_templates with: category = beauty.
3. Check the response / error and the log.</t>
  </si>
  <si>
    <t>200 - only templates of category beauty</t>
  </si>
  <si>
    <t>FR3.7.4-05</t>
  </si>
  <si>
    <t>[Normal] View Image Style Template with category = empty</t>
  </si>
  <si>
    <t>1. Prepare the state listed in Pre-conditions.
2. Call image endpoint.list_templates with: category = empty.
3. Check the response / error and the log.</t>
  </si>
  <si>
    <t>200 - treated as no filter</t>
  </si>
  <si>
    <t>FR3.7.4-06</t>
  </si>
  <si>
    <t>[Normal] View Image Style Template with category = FASHION</t>
  </si>
  <si>
    <t>1. Prepare the state listed in Pre-conditions.
2. Call image endpoint.list_templates with: category = FASHION.
3. Check the response / error and the log.</t>
  </si>
  <si>
    <t>200 - result per get_template_library category handling</t>
  </si>
  <si>
    <t>FR3.7.4-07</t>
  </si>
  <si>
    <t>200 - each template has id, name, thumbnail</t>
  </si>
  <si>
    <t>- User is CREATOR of workspace
- Can connect with server
- Image style templates exist</t>
  </si>
  <si>
    <t>FR3.7.4-08</t>
  </si>
  <si>
    <t>[Boundary] View Image Style Template with category = null</t>
  </si>
  <si>
    <t>200 - total=1, single-item list</t>
  </si>
  <si>
    <t>- Can connect with server
- Exactly 1 template exists</t>
  </si>
  <si>
    <t>FR3.7.4-09</t>
  </si>
  <si>
    <t>[Boundary] View Image Style Template with category = unknown_cat</t>
  </si>
  <si>
    <t>1. Prepare the state listed in Pre-conditions.
2. Call image endpoint.list_templates with: category = unknown_cat.
3. Check the response / error and the log.</t>
  </si>
  <si>
    <t>200 - total=0, empty list</t>
  </si>
  <si>
    <t>- Can connect with server
- Category has 0 templates</t>
  </si>
  <si>
    <t>FR3.7.4-10</t>
  </si>
  <si>
    <t>200 - total=100, all templates returned</t>
  </si>
  <si>
    <t>- Can connect with server
- 100 templates exist</t>
  </si>
  <si>
    <t>FR3.7.4-11</t>
  </si>
  <si>
    <t>[Boundary] View Image Style Template with category = 256 chars</t>
  </si>
  <si>
    <t>1. Prepare the state listed in Pre-conditions.
2. Call image endpoint.list_templates with: category = 256 chars.
3. Check the response / error and the log.</t>
  </si>
  <si>
    <t>FR3.7.4-12</t>
  </si>
  <si>
    <t>[Abnormal] View Image Style Template with category = null</t>
  </si>
  <si>
    <t>200 - total=0, empty list, no error</t>
  </si>
  <si>
    <t>- Can connect with server
- No templates configured</t>
  </si>
  <si>
    <t>FR3.7.4-13</t>
  </si>
  <si>
    <t>[Abnormal] View Image Style Template with category = unknown_cat</t>
  </si>
  <si>
    <t>FR3.7.4-14</t>
  </si>
  <si>
    <t>Error: 403 Forbidden</t>
  </si>
  <si>
    <t>FR3.7.4-15</t>
  </si>
  <si>
    <t>Error: 403 Forbidden (missing key)</t>
  </si>
  <si>
    <t>- Request has no internal API key</t>
  </si>
  <si>
    <t>FR3.7.4-16</t>
  </si>
  <si>
    <t>[Abnormal] View Image Style Template with template_id = unknown id</t>
  </si>
  <si>
    <t>1. Prepare the state listed in Pre-conditions.
2. Call image endpoint.list_templates with: template_id = unknown id.
3. Check the response / error and the log.</t>
  </si>
  <si>
    <t>Error: 404 Template 'unknown id' not found</t>
  </si>
  <si>
    <t>FR3.7.4-17</t>
  </si>
  <si>
    <t>[Normal] View Image Style Template with template_id = valid id</t>
  </si>
  <si>
    <t>1. Prepare the state listed in Pre-conditions.
2. Call image endpoint.list_templates with: template_id = valid id.
3. Check the response / error and the log.</t>
  </si>
  <si>
    <t>200 - single PromptTemplate (get_template)</t>
  </si>
  <si>
    <t>FR3.7.5-01</t>
  </si>
  <si>
    <t>[Normal] Generate Image with prompt = red sneakers on white table, aspect_ratio = 1:1</t>
  </si>
  <si>
    <t>1. Prepare the state listed in Pre-conditions.
2. Call image endpoint.generate_image with: prompt = red sneakers on white table; aspect_ratio = 1:1.
3. Check the response / error and the log.</t>
  </si>
  <si>
    <t>200 - ImageGenerateResponse(image_url, s3_key, width, height)</t>
  </si>
  <si>
    <t>FR3.7.5-02</t>
  </si>
  <si>
    <t>[Normal] Generate Image with form_data = valid commercial form</t>
  </si>
  <si>
    <t>1. Prepare the state listed in Pre-conditions.
2. Call image endpoint.generate_image with: form_data = valid commercial form.
3. Check the response / error and the log.</t>
  </si>
  <si>
    <t>200 - image generated from structured form</t>
  </si>
  <si>
    <t>FR3.7.5-03</t>
  </si>
  <si>
    <t>[Normal] Generate Image with prompt = valid prompt, style_preset = anime</t>
  </si>
  <si>
    <t>1. Prepare the state listed in Pre-conditions.
2. Call image endpoint.generate_image with: prompt = valid prompt; style_preset = anime.
3. Check the response / error and the log.</t>
  </si>
  <si>
    <t>200 - image generated with style preset</t>
  </si>
  <si>
    <t>FR3.7.5-04</t>
  </si>
  <si>
    <t>[Normal] Generate Image with prompt = valid prompt, aspect_ratio = 9:16</t>
  </si>
  <si>
    <t>1. Prepare the state listed in Pre-conditions.
2. Call image endpoint.generate_image with: prompt = valid prompt; aspect_ratio = 9:16.
3. Check the response / error and the log.</t>
  </si>
  <si>
    <t>200 - portrait image generated</t>
  </si>
  <si>
    <t>FR3.7.5-05</t>
  </si>
  <si>
    <t>[Normal] Generate Image with prompt = valid prompt, logo_base64 = valid logo, logo_position = bottom_right</t>
  </si>
  <si>
    <t>1. Prepare the state listed in Pre-conditions.
2. Call image endpoint.generate_image with: prompt = valid prompt; logo_base64 = valid logo; logo_position = bottom_right.
3. Check the response / error and the log.</t>
  </si>
  <si>
    <t>200 - image with logo composited</t>
  </si>
  <si>
    <t>FR3.7.5-06</t>
  </si>
  <si>
    <t>[Normal] Generate Image with prompt = valid prompt, has_character = true</t>
  </si>
  <si>
    <t>1. Prepare the state listed in Pre-conditions.
2. Call image endpoint.generate_image with: prompt = valid prompt; has_character = true.
3. Check the response / error and the log.</t>
  </si>
  <si>
    <t>200 - image with ambassador character</t>
  </si>
  <si>
    <t>FR3.7.5-07</t>
  </si>
  <si>
    <t>[Normal] Generate Image with prompt = valid prompt, seed = 42</t>
  </si>
  <si>
    <t>1. Prepare the state listed in Pre-conditions.
2. Call image endpoint.generate_image with: prompt = valid prompt; seed = 42.
3. Check the response / error and the log.</t>
  </si>
  <si>
    <t>200 - reproducible image for same seed</t>
  </si>
  <si>
    <t>FR3.7.5-08</t>
  </si>
  <si>
    <t>[Normal] Generate Image with prompt = valid prompt, model_variant = flux</t>
  </si>
  <si>
    <t>1. Prepare the state listed in Pre-conditions.
2. Call image endpoint.generate_image with: prompt = valid prompt; model_variant = flux.
3. Check the response / error and the log.</t>
  </si>
  <si>
    <t>200 - image generated by flux variant</t>
  </si>
  <si>
    <t>FR3.7.5-09</t>
  </si>
  <si>
    <t>[Boundary] Generate Image with prompt = valid prompt, steps = 1</t>
  </si>
  <si>
    <t>1. Prepare the state listed in Pre-conditions.
2. Call image endpoint.generate_image with: prompt = valid prompt; steps = 1.
3. Check the response / error and the log.</t>
  </si>
  <si>
    <t>200 - image generated with min steps</t>
  </si>
  <si>
    <t>FR3.7.5-10</t>
  </si>
  <si>
    <t>[Boundary] Generate Image with prompt = valid prompt, steps = 100</t>
  </si>
  <si>
    <t>1. Prepare the state listed in Pre-conditions.
2. Call image endpoint.generate_image with: prompt = valid prompt; steps = 100.
3. Check the response / error and the log.</t>
  </si>
  <si>
    <t>200 - image generated with max steps</t>
  </si>
  <si>
    <t>FR3.7.5-11</t>
  </si>
  <si>
    <t>[Boundary] Generate Image with prompt = valid prompt, cfg_scale = 1.0</t>
  </si>
  <si>
    <t>1. Prepare the state listed in Pre-conditions.
2. Call image endpoint.generate_image with: prompt = valid prompt; cfg_scale = 1.0.
3. Check the response / error and the log.</t>
  </si>
  <si>
    <t>200 - min cfg_scale accepted</t>
  </si>
  <si>
    <t>FR3.7.5-12</t>
  </si>
  <si>
    <t>[Boundary] Generate Image with prompt = valid prompt, cfg_scale = 20.0</t>
  </si>
  <si>
    <t>1. Prepare the state listed in Pre-conditions.
2. Call image endpoint.generate_image with: prompt = valid prompt; cfg_scale = 20.0.
3. Check the response / error and the log.</t>
  </si>
  <si>
    <t>200 - max cfg_scale accepted</t>
  </si>
  <si>
    <t>FR3.7.5-13</t>
  </si>
  <si>
    <t>[Abnormal] Generate Image with prompt = null, form_data = null</t>
  </si>
  <si>
    <t>1. Prepare the state listed in Pre-conditions.
2. Call image endpoint.generate_image with: prompt = null; form_data = null.
3. Check the response / error and the log.</t>
  </si>
  <si>
    <t>Error: 422 Validation error (prompt or form_data required)</t>
  </si>
  <si>
    <t>FR3.7.5-14</t>
  </si>
  <si>
    <t>[Abnormal] Generate Image with prompt = valid prompt, steps = 0</t>
  </si>
  <si>
    <t>1. Prepare the state listed in Pre-conditions.
2. Call image endpoint.generate_image with: prompt = valid prompt; steps = 0.
3. Check the response / error and the log.</t>
  </si>
  <si>
    <t>Error: 422 Validation error (steps &lt; 1)</t>
  </si>
  <si>
    <t>FR3.7.5-15</t>
  </si>
  <si>
    <t>[Abnormal] Generate Image with prompt = valid prompt, steps = 101</t>
  </si>
  <si>
    <t>1. Prepare the state listed in Pre-conditions.
2. Call image endpoint.generate_image with: prompt = valid prompt; steps = 101.
3. Check the response / error and the log.</t>
  </si>
  <si>
    <t>Error: 422 Validation error (steps &gt; 100)</t>
  </si>
  <si>
    <t>FR3.7.5-16</t>
  </si>
  <si>
    <t>[Abnormal] Generate Image with prompt = valid prompt, cfg_scale = 21</t>
  </si>
  <si>
    <t>1. Prepare the state listed in Pre-conditions.
2. Call image endpoint.generate_image with: prompt = valid prompt; cfg_scale = 21.
3. Check the response / error and the log.</t>
  </si>
  <si>
    <t>Error: 422 Validation error (cfg_scale &gt; 20)</t>
  </si>
  <si>
    <t>FR3.7.5-17</t>
  </si>
  <si>
    <t>[Abnormal] Generate Image with prompt = sensitive prompt violating policy</t>
  </si>
  <si>
    <t>1. Prepare the state listed in Pre-conditions.
2. Call image endpoint.generate_image with: prompt = sensitive prompt violating policy.
3. Check the response / error and the log.</t>
  </si>
  <si>
    <t>Error: 400 policy_violation (safety guardrail)</t>
  </si>
  <si>
    <t>FR3.7.5-18</t>
  </si>
  <si>
    <t>[Abnormal] Generate Image with prompt = valid prompt</t>
  </si>
  <si>
    <t>1. Prepare the state listed in Pre-conditions.
2. Call image endpoint.generate_image with: prompt = valid prompt.
3. Check the response / error and the log.</t>
  </si>
  <si>
    <t>FR3.7.5-19</t>
  </si>
  <si>
    <t>Error: 5xx image generation failure, error telemetry recorded</t>
  </si>
  <si>
    <t>- Can connect with server
- Creator has enough AI credit
- SDXL/FLUX inference fails</t>
  </si>
  <si>
    <t>FR3.7.6-01</t>
  </si>
  <si>
    <t>[Normal] View Video Style Template with category = null</t>
  </si>
  <si>
    <t>1. Prepare the state listed in Pre-conditions.
2. Call VideoStyleTemplateService (planned).listVideoStyleTemplates with: category = null.
3. Check the response / error and the log.</t>
  </si>
  <si>
    <t>200 - list of {id, name, previewUrl}</t>
  </si>
  <si>
    <t>- Can connect with server
- Video style templates exist</t>
  </si>
  <si>
    <t>FR3.7.6-02</t>
  </si>
  <si>
    <t>[Normal] View Video Style Template with category = anime</t>
  </si>
  <si>
    <t>1. Prepare the state listed in Pre-conditions.
2. Call VideoStyleTemplateService (planned).listVideoStyleTemplates with: category = anime.
3. Check the response / error and the log.</t>
  </si>
  <si>
    <t>200 - only anime templates</t>
  </si>
  <si>
    <t>FR3.7.6-03</t>
  </si>
  <si>
    <t>[Normal] View Video Style Template with category = spring</t>
  </si>
  <si>
    <t>1. Prepare the state listed in Pre-conditions.
2. Call VideoStyleTemplateService (planned).listVideoStyleTemplates with: category = spring.
3. Check the response / error and the log.</t>
  </si>
  <si>
    <t>200 - only spring templates</t>
  </si>
  <si>
    <t>FR3.7.6-04</t>
  </si>
  <si>
    <t>200 - list returned to CREATOR</t>
  </si>
  <si>
    <t>- Can connect with server
- Video style templates exist
- User is CREATOR of workspace</t>
  </si>
  <si>
    <t>FR3.7.6-05</t>
  </si>
  <si>
    <t>200 - list returned to MANAGER</t>
  </si>
  <si>
    <t>- Can connect with server
- Video style templates exist
- User is MANAGER of workspace</t>
  </si>
  <si>
    <t>FR3.7.6-06</t>
  </si>
  <si>
    <t>200 - each item has previewUrl short clip</t>
  </si>
  <si>
    <t>FR3.7.6-07</t>
  </si>
  <si>
    <t>200 - item id usable as styleTemplateId in generate video</t>
  </si>
  <si>
    <t>FR3.7.6-08</t>
  </si>
  <si>
    <t>[Boundary] View Video Style Template with category = null</t>
  </si>
  <si>
    <t>200 - single-item list</t>
  </si>
  <si>
    <t>FR3.7.6-09</t>
  </si>
  <si>
    <t>200 - all 100 templates returned</t>
  </si>
  <si>
    <t>FR3.7.6-10</t>
  </si>
  <si>
    <t>200 - previewUrl null for that item</t>
  </si>
  <si>
    <t>- Can connect with server
- Template has no preview clip</t>
  </si>
  <si>
    <t>FR3.7.6-11</t>
  </si>
  <si>
    <t>[Abnormal] View Video Style Template with category = null</t>
  </si>
  <si>
    <t>200 - empty list, no error</t>
  </si>
  <si>
    <t>FR3.7.6-12</t>
  </si>
  <si>
    <t>[Abnormal] View Video Style Template with category = unknown</t>
  </si>
  <si>
    <t>1. Prepare the state listed in Pre-conditions.
2. Call VideoStyleTemplateService (planned).listVideoStyleTemplates with: category = unknown.
3. Check the response / error and the log.</t>
  </si>
  <si>
    <t>FR3.7.6-13</t>
  </si>
  <si>
    <t>- User is not authenticated</t>
  </si>
  <si>
    <t>FR3.7.6-14</t>
  </si>
  <si>
    <t>200 - inactive template excluded</t>
  </si>
  <si>
    <t>- Can connect with server
- Video style templates exist
- Template is inactive</t>
  </si>
  <si>
    <t>FR3.7.6-15</t>
  </si>
  <si>
    <t>- User has no workspace access</t>
  </si>
  <si>
    <t>FR3.7.7-01</t>
  </si>
  <si>
    <t>[Normal] Generate Video with prompt = a product showcase video, client_id = c1, mode = TEXT_TO_VIDEO</t>
  </si>
  <si>
    <t>1. Prepare the state listed in Pre-conditions.
2. Call veo_client.create_video_job with: prompt = a product showcase video; client_id = c1; mode = TEXT_TO_VIDEO.
3. Check the response / error and the log.</t>
  </si>
  <si>
    <t>202 - jobId, status=PENDING, estimated_wait_seconds=120</t>
  </si>
  <si>
    <t>- Can connect with server
- Creator has enough AI credit
- Veo API key configured</t>
  </si>
  <si>
    <t>FR3.7.7-02</t>
  </si>
  <si>
    <t>[Normal] Generate Video with prompt = valid prompt text, client_id = c1, mode = REFERENCE_TO_VIDEO</t>
  </si>
  <si>
    <t>1. Prepare the state listed in Pre-conditions.
2. Call veo_client.create_video_job with: prompt = valid prompt text; client_id = c1; mode = REFERENCE_TO_VIDEO; reference_image_base64 = valid image.
3. Check the response / error and the log.</t>
  </si>
  <si>
    <t>202 - jobId, status=PENDING</t>
  </si>
  <si>
    <t>FR3.7.7-03</t>
  </si>
  <si>
    <t>[Normal] Generate Video with prompt = valid prompt text, client_id = c1, aspect_ratio = 9:16</t>
  </si>
  <si>
    <t>1. Prepare the state listed in Pre-conditions.
2. Call veo_client.create_video_job with: prompt = valid prompt text; client_id = c1; aspect_ratio = 9:16.
3. Check the response / error and the log.</t>
  </si>
  <si>
    <t>202 - portrait video job created</t>
  </si>
  <si>
    <t>FR3.7.7-04</t>
  </si>
  <si>
    <t>[Normal] Generate Video with prompt = valid prompt text, client_id = c1, template_key = anime</t>
  </si>
  <si>
    <t>1. Prepare the state listed in Pre-conditions.
2. Call veo_client.create_video_job with: prompt = valid prompt text; client_id = c1; template_key = anime.
3. Check the response / error and the log.</t>
  </si>
  <si>
    <t>202 - job created with style template</t>
  </si>
  <si>
    <t>FR3.7.7-05</t>
  </si>
  <si>
    <t>[Normal] Generate Video with prompt = valid prompt text, client_id = c1, task_id = task-1</t>
  </si>
  <si>
    <t>1. Prepare the state listed in Pre-conditions.
2. Call veo_client.create_video_job with: prompt = valid prompt text; client_id = c1; task_id = task-1.
3. Check the response / error and the log.</t>
  </si>
  <si>
    <t>202 - job linked to task</t>
  </si>
  <si>
    <t>FR3.7.7-06</t>
  </si>
  <si>
    <t>[Normal] Generate Video with job_id = existing job completed</t>
  </si>
  <si>
    <t>1. Prepare the state listed in Pre-conditions.
2. Call veo_client.create_video_job with: job_id = existing job completed.
3. Check the response / error and the log.</t>
  </si>
  <si>
    <t>200 - status=COMPLETED, video_url present</t>
  </si>
  <si>
    <t>- Can connect with server
- Video job completed</t>
  </si>
  <si>
    <t>FR3.7.7-07</t>
  </si>
  <si>
    <t>[Normal] Generate Video with job_id = existing job processing</t>
  </si>
  <si>
    <t>1. Prepare the state listed in Pre-conditions.
2. Call veo_client.create_video_job with: job_id = existing job processing.
3. Check the response / error and the log.</t>
  </si>
  <si>
    <t>200 - status=PROCESSING</t>
  </si>
  <si>
    <t>- Can connect with server
- Video job processing</t>
  </si>
  <si>
    <t>FR3.7.7-08</t>
  </si>
  <si>
    <t>[Boundary] Generate Video with prompt = 10 chars exact, client_id = c1</t>
  </si>
  <si>
    <t>1. Prepare the state listed in Pre-conditions.
2. Call veo_client.create_video_job with: prompt = 10 chars exact; client_id = c1.
3. Check the response / error and the log.</t>
  </si>
  <si>
    <t>202 - jobId (prompt min length 10)</t>
  </si>
  <si>
    <t>FR3.7.7-09</t>
  </si>
  <si>
    <t>[Boundary] Generate Video with prompt = 1000 chars, client_id = c1</t>
  </si>
  <si>
    <t>1. Prepare the state listed in Pre-conditions.
2. Call veo_client.create_video_job with: prompt = 1000 chars; client_id = c1.
3. Check the response / error and the log.</t>
  </si>
  <si>
    <t>202 - jobId (prompt max length 1000)</t>
  </si>
  <si>
    <t>FR3.7.7-10</t>
  </si>
  <si>
    <t>[Boundary] Generate Video with prompt = valid prompt text, client_id = 128 chars</t>
  </si>
  <si>
    <t>1. Prepare the state listed in Pre-conditions.
2. Call veo_client.create_video_job with: prompt = valid prompt text; client_id = 128 chars.
3. Check the response / error and the log.</t>
  </si>
  <si>
    <t>202 - jobId (client_id max 128)</t>
  </si>
  <si>
    <t>FR3.7.7-11</t>
  </si>
  <si>
    <t>[Abnormal] Generate Video with prompt = 9 chars, client_id = c1</t>
  </si>
  <si>
    <t>1. Prepare the state listed in Pre-conditions.
2. Call veo_client.create_video_job with: prompt = 9 chars; client_id = c1.
3. Check the response / error and the log.</t>
  </si>
  <si>
    <t>Error: 422 Validation error (prompt &lt; 10)</t>
  </si>
  <si>
    <t>FR3.7.7-12</t>
  </si>
  <si>
    <t>[Abnormal] Generate Video with prompt = 1001 chars, client_id = c1</t>
  </si>
  <si>
    <t>1. Prepare the state listed in Pre-conditions.
2. Call veo_client.create_video_job with: prompt = 1001 chars; client_id = c1.
3. Check the response / error and the log.</t>
  </si>
  <si>
    <t>Error: 422 Validation error (prompt &gt; 1000)</t>
  </si>
  <si>
    <t>FR3.7.7-13</t>
  </si>
  <si>
    <t>[Abnormal] Generate Video with prompt = valid prompt text, client_id = empty</t>
  </si>
  <si>
    <t>1. Prepare the state listed in Pre-conditions.
2. Call veo_client.create_video_job with: prompt = valid prompt text; client_id = empty.
3. Check the response / error and the log.</t>
  </si>
  <si>
    <t>Error: 422 Validation error (client_id required)</t>
  </si>
  <si>
    <t>FR3.7.7-14</t>
  </si>
  <si>
    <t>[Abnormal] Generate Video with prompt = valid prompt text, client_id = c1, mode = REFERENCE_TO_VIDEO</t>
  </si>
  <si>
    <t>1. Prepare the state listed in Pre-conditions.
2. Call veo_client.create_video_job with: prompt = valid prompt text; client_id = c1; mode = REFERENCE_TO_VIDEO; reference_image_base64 = null.
3. Check the response / error and the log.</t>
  </si>
  <si>
    <t>Error: 422 reference_image_base64 is required for REFERENCE_TO_VIDEO</t>
  </si>
  <si>
    <t>FR3.7.7-15</t>
  </si>
  <si>
    <t>[Abnormal] Generate Video with prompt = valid prompt text, client_id = c1, aspect_ratio = 1:1</t>
  </si>
  <si>
    <t>1. Prepare the state listed in Pre-conditions.
2. Call veo_client.create_video_job with: prompt = valid prompt text; client_id = c1; aspect_ratio = 1:1.
3. Check the response / error and the log.</t>
  </si>
  <si>
    <t>Error: 422 Validation error (aspect_ratio)</t>
  </si>
  <si>
    <t>FR3.7.7-16</t>
  </si>
  <si>
    <t>[Abnormal] Generate Video with prompt = valid prompt text, client_id = c1</t>
  </si>
  <si>
    <t>1. Prepare the state listed in Pre-conditions.
2. Call veo_client.create_video_job with: prompt = valid prompt text; client_id = c1.
3. Check the response / error and the log.</t>
  </si>
  <si>
    <t>Error: 503 VeoProviderError: GOOGLE_VEO_API_KEY or GEMINI_API_KEY is not configured</t>
  </si>
  <si>
    <t>- Can connect with server
- Veo API key not configured</t>
  </si>
  <si>
    <t>FR3.7.7-17</t>
  </si>
  <si>
    <t>- Can connect with server
- Creator has no AI credit
- Veo API key configured</t>
  </si>
  <si>
    <t>FR3.7.7-18</t>
  </si>
  <si>
    <t>[Abnormal] Generate Video with job_id = unknown job id</t>
  </si>
  <si>
    <t>1. Prepare the state listed in Pre-conditions.
2. Call veo_client.create_video_job with: job_id = unknown job id.
3. Check the response / error and the log.</t>
  </si>
  <si>
    <t>Error: 404 Job {jobId} not found</t>
  </si>
  <si>
    <t>- Can connect with server
- Job id does not exist in Redis</t>
  </si>
  <si>
    <t>FR3.7.7-19</t>
  </si>
  <si>
    <t>[Abnormal] Generate Video with job_id = existing job failed</t>
  </si>
  <si>
    <t>1. Prepare the state listed in Pre-conditions.
2. Call veo_client.create_video_job with: job_id = existing job failed.
3. Check the response / error and the log.</t>
  </si>
  <si>
    <t>200 - status=FAILED, error_code, error_message</t>
  </si>
  <si>
    <t>- Can connect with server
- Video job failed or timed out</t>
  </si>
  <si>
    <t>FR3.7.8-01</t>
  </si>
  <si>
    <t>[Normal] Export File with assetId = valid image asset, format = png</t>
  </si>
  <si>
    <t>1. Prepare the state listed in Pre-conditions.
2. Call AssetExportService (planned).exportAsset with: assetId = valid image asset; format = png.
3. Check the response / error and the log.</t>
  </si>
  <si>
    <t>200 - PNG binary stream</t>
  </si>
  <si>
    <t>- Can connect with server
- Asset is image owned by workspace</t>
  </si>
  <si>
    <t>FR3.7.8-02</t>
  </si>
  <si>
    <t>[Normal] Export File with assetId = valid image asset, format = jpg</t>
  </si>
  <si>
    <t>1. Prepare the state listed in Pre-conditions.
2. Call AssetExportService (planned).exportAsset with: assetId = valid image asset; format = jpg.
3. Check the response / error and the log.</t>
  </si>
  <si>
    <t>200 - JPG binary stream</t>
  </si>
  <si>
    <t>FR3.7.8-03</t>
  </si>
  <si>
    <t>[Normal] Export File with assetId = valid video asset, format = mp4</t>
  </si>
  <si>
    <t>1. Prepare the state listed in Pre-conditions.
2. Call AssetExportService (planned).exportAsset with: assetId = valid video asset; format = mp4.
3. Check the response / error and the log.</t>
  </si>
  <si>
    <t>200 - mp4 binary stream</t>
  </si>
  <si>
    <t>- Can connect with server
- Asset is video owned by workspace</t>
  </si>
  <si>
    <t>FR3.7.8-04</t>
  </si>
  <si>
    <t>[Normal] Export File with assetId = valid video asset, format = webm</t>
  </si>
  <si>
    <t>1. Prepare the state listed in Pre-conditions.
2. Call AssetExportService (planned).exportAsset with: assetId = valid video asset; format = webm.
3. Check the response / error and the log.</t>
  </si>
  <si>
    <t>200 - webM binary stream</t>
  </si>
  <si>
    <t>FR3.7.8-05</t>
  </si>
  <si>
    <t>200 - file without watermark</t>
  </si>
  <si>
    <t>- Can connect with server
- Asset has no watermark applied</t>
  </si>
  <si>
    <t>FR3.7.8-06</t>
  </si>
  <si>
    <t>[Normal] Export File with assetId = watermarked asset, format = png</t>
  </si>
  <si>
    <t>1. Prepare the state listed in Pre-conditions.
2. Call AssetExportService (planned).exportAsset with: assetId = watermarked asset; format = png.
3. Check the response / error and the log.</t>
  </si>
  <si>
    <t>200 - file keeps applied watermark</t>
  </si>
  <si>
    <t>- Can connect with server
- Watermark applied before export</t>
  </si>
  <si>
    <t>FR3.7.8-07</t>
  </si>
  <si>
    <t>[Normal] Export File with assetId = valid image asset, format = PNG</t>
  </si>
  <si>
    <t>1. Prepare the state listed in Pre-conditions.
2. Call AssetExportService (planned).exportAsset with: assetId = valid image asset; format = PNG.
3. Check the response / error and the log.</t>
  </si>
  <si>
    <t>200 - format is case-insensitive</t>
  </si>
  <si>
    <t>FR3.7.8-08</t>
  </si>
  <si>
    <t>200 - Content-Disposition attachment header</t>
  </si>
  <si>
    <t>FR3.7.8-09</t>
  </si>
  <si>
    <t>[Boundary] Export File with assetId = valid image asset, format = jpg</t>
  </si>
  <si>
    <t>200 - original resolution preserved</t>
  </si>
  <si>
    <t>FR3.7.8-10</t>
  </si>
  <si>
    <t>[Boundary] Export File with assetId = largest video asset, format = mp4</t>
  </si>
  <si>
    <t>1. Prepare the state listed in Pre-conditions.
2. Call AssetExportService (planned).exportAsset with: assetId = largest video asset; format = mp4.
3. Check the response / error and the log.</t>
  </si>
  <si>
    <t>200 - large file streamed</t>
  </si>
  <si>
    <t>FR3.7.8-11</t>
  </si>
  <si>
    <t>[Boundary] Export File with assetId = valid image asset, format = empty</t>
  </si>
  <si>
    <t>1. Prepare the state listed in Pre-conditions.
2. Call AssetExportService (planned).exportAsset with: assetId = valid image asset; format = empty.
3. Check the response / error and the log.</t>
  </si>
  <si>
    <t>200 - default format of the asset</t>
  </si>
  <si>
    <t>FR3.7.8-12</t>
  </si>
  <si>
    <t>[Abnormal] Export File with assetId = valid image asset, format = mp4</t>
  </si>
  <si>
    <t>1. Prepare the state listed in Pre-conditions.
2. Call AssetExportService (planned).exportAsset with: assetId = valid image asset; format = mp4.
3. Check the response / error and the log.</t>
  </si>
  <si>
    <t>Error: 400 UNSUPPORTED_EXPORT_FORMAT</t>
  </si>
  <si>
    <t>FR3.7.8-13</t>
  </si>
  <si>
    <t>[Abnormal] Export File with assetId = valid video asset, format = png</t>
  </si>
  <si>
    <t>1. Prepare the state listed in Pre-conditions.
2. Call AssetExportService (planned).exportAsset with: assetId = valid video asset; format = png.
3. Check the response / error and the log.</t>
  </si>
  <si>
    <t>FR3.7.8-14</t>
  </si>
  <si>
    <t>[Abnormal] Export File with assetId = valid image asset, format = xyz</t>
  </si>
  <si>
    <t>1. Prepare the state listed in Pre-conditions.
2. Call AssetExportService (planned).exportAsset with: assetId = valid image asset; format = xyz.
3. Check the response / error and the log.</t>
  </si>
  <si>
    <t>FR3.7.8-15</t>
  </si>
  <si>
    <t>[Abnormal] Export File with assetId = non-existent id, format = png</t>
  </si>
  <si>
    <t>1. Prepare the state listed in Pre-conditions.
2. Call AssetExportService (planned).exportAsset with: assetId = non-existent id; format = png.
3. Check the response / error and the log.</t>
  </si>
  <si>
    <t>Error: 404 Asset not found</t>
  </si>
  <si>
    <t>FR3.7.8-16</t>
  </si>
  <si>
    <t>[Abnormal] Export File with assetId = other workspace asset, format = png</t>
  </si>
  <si>
    <t>1. Prepare the state listed in Pre-conditions.
2. Call AssetExportService (planned).exportAsset with: assetId = other workspace asset; format = png.
3. Check the response / error and the log.</t>
  </si>
  <si>
    <t>- Can connect with server
- Asset belongs to another workspace</t>
  </si>
  <si>
    <t>FR3.7.8-17</t>
  </si>
  <si>
    <t>[Abnormal] Export File with assetId = valid image asset, format = png</t>
  </si>
  <si>
    <t>FR3.7.9-01</t>
  </si>
  <si>
    <t>[Normal] Crawl Schedule Config with method = GET</t>
  </si>
  <si>
    <t>1. Prepare the state listed in Pre-conditions.
2. Call CrawlConfigService (planned; partial update_pipeline_config).updateCrawlConfig with: method = GET.
3. Check the response / error and the log.</t>
  </si>
  <si>
    <t>200 - {schedule, sourcePages, postsPerRun}</t>
  </si>
  <si>
    <t>- Can connect with server
- User is ADMIN</t>
  </si>
  <si>
    <t>FR3.7.9-02</t>
  </si>
  <si>
    <t>[Normal] Crawl Schedule Config with schedule = 0 */6 * * *</t>
  </si>
  <si>
    <t>1. Prepare the state listed in Pre-conditions.
2. Call CrawlConfigService (planned; partial update_pipeline_config).updateCrawlConfig with: schedule = 0 */6 * * *.
3. Check the response / error and the log.</t>
  </si>
  <si>
    <t>200 - updated config with new cron</t>
  </si>
  <si>
    <t>FR3.7.9-03</t>
  </si>
  <si>
    <t>[Normal] Crawl Schedule Config with schedule = interval 30m</t>
  </si>
  <si>
    <t>1. Prepare the state listed in Pre-conditions.
2. Call CrawlConfigService (planned; partial update_pipeline_config).updateCrawlConfig with: schedule = interval 30m.
3. Check the response / error and the log.</t>
  </si>
  <si>
    <t>200 - updated config with interval</t>
  </si>
  <si>
    <t>FR3.7.9-04</t>
  </si>
  <si>
    <t>[Normal] Crawl Schedule Config with sourcePages = 2 pages</t>
  </si>
  <si>
    <t>1. Prepare the state listed in Pre-conditions.
2. Call CrawlConfigService (planned; partial update_pipeline_config).updateCrawlConfig with: sourcePages = 2 pages.
3. Check the response / error and the log.</t>
  </si>
  <si>
    <t>200 - updated sourcePages</t>
  </si>
  <si>
    <t>FR3.7.9-05</t>
  </si>
  <si>
    <t>[Normal] Crawl Schedule Config with postsPerRun = 50</t>
  </si>
  <si>
    <t>1. Prepare the state listed in Pre-conditions.
2. Call CrawlConfigService (planned; partial update_pipeline_config).updateCrawlConfig with: postsPerRun = 50.
3. Check the response / error and the log.</t>
  </si>
  <si>
    <t>200 - updated postsPerRun</t>
  </si>
  <si>
    <t>FR3.7.9-06</t>
  </si>
  <si>
    <t>[Normal] Crawl Schedule Config with schedule = 0 0 * * *, sourcePages = 1 page, postsPerRun = 20</t>
  </si>
  <si>
    <t>1. Prepare the state listed in Pre-conditions.
2. Call CrawlConfigService (planned; partial update_pipeline_config).updateCrawlConfig with: schedule = 0 0 * * *; sourcePages = 1 page; postsPerRun = 20.
3. Check the response / error and the log.</t>
  </si>
  <si>
    <t>200 - all fields updated</t>
  </si>
  <si>
    <t>FR3.7.9-07</t>
  </si>
  <si>
    <t>[Normal] Crawl Schedule Config with schedule = null, sourcePages = null, postsPerRun = null</t>
  </si>
  <si>
    <t>1. Prepare the state listed in Pre-conditions.
2. Call CrawlConfigService (planned; partial update_pipeline_config).updateCrawlConfig with: schedule = null; sourcePages = null; postsPerRun = null.
3. Check the response / error and the log.</t>
  </si>
  <si>
    <t>200 - config unchanged (partial patch)</t>
  </si>
  <si>
    <t>FR3.7.9-08</t>
  </si>
  <si>
    <t>[Normal] Crawl Schedule Config with postsPerRun = 30</t>
  </si>
  <si>
    <t>1. Prepare the state listed in Pre-conditions.
2. Call CrawlConfigService (planned; partial update_pipeline_config).updateCrawlConfig with: postsPerRun = 30.
3. Check the response / error and the log.</t>
  </si>
  <si>
    <t>200 - applied from next run, running job not stopped</t>
  </si>
  <si>
    <t>- Can connect with server
- User is ADMIN
- Crawler is running</t>
  </si>
  <si>
    <t>FR3.7.9-09</t>
  </si>
  <si>
    <t>[Boundary] Crawl Schedule Config with postsPerRun = 1</t>
  </si>
  <si>
    <t>1. Prepare the state listed in Pre-conditions.
2. Call CrawlConfigService (planned; partial update_pipeline_config).updateCrawlConfig with: postsPerRun = 1.
3. Check the response / error and the log.</t>
  </si>
  <si>
    <t>200 - min postsPerRun accepted</t>
  </si>
  <si>
    <t>FR3.7.9-10</t>
  </si>
  <si>
    <t>[Boundary] Crawl Schedule Config with postsPerRun = max allowed</t>
  </si>
  <si>
    <t>1. Prepare the state listed in Pre-conditions.
2. Call CrawlConfigService (planned; partial update_pipeline_config).updateCrawlConfig with: postsPerRun = max allowed.
3. Check the response / error and the log.</t>
  </si>
  <si>
    <t>200 - max postsPerRun accepted</t>
  </si>
  <si>
    <t>FR3.7.9-11</t>
  </si>
  <si>
    <t>[Boundary] Crawl Schedule Config with sourcePages = 1 page</t>
  </si>
  <si>
    <t>1. Prepare the state listed in Pre-conditions.
2. Call CrawlConfigService (planned; partial update_pipeline_config).updateCrawlConfig with: sourcePages = 1 page.
3. Check the response / error and the log.</t>
  </si>
  <si>
    <t>200 - single source page</t>
  </si>
  <si>
    <t>FR3.7.9-12</t>
  </si>
  <si>
    <t>[Abnormal] Crawl Schedule Config with schedule = invalid cron</t>
  </si>
  <si>
    <t>1. Prepare the state listed in Pre-conditions.
2. Call CrawlConfigService (planned; partial update_pipeline_config).updateCrawlConfig with: schedule = invalid cron.
3. Check the response / error and the log.</t>
  </si>
  <si>
    <t>Error: 400 INVALID_SCHEDULE</t>
  </si>
  <si>
    <t>FR3.7.9-13</t>
  </si>
  <si>
    <t>[Abnormal] Crawl Schedule Config with schedule = empty</t>
  </si>
  <si>
    <t>1. Prepare the state listed in Pre-conditions.
2. Call CrawlConfigService (planned; partial update_pipeline_config).updateCrawlConfig with: schedule = empty.
3. Check the response / error and the log.</t>
  </si>
  <si>
    <t>FR3.7.9-14</t>
  </si>
  <si>
    <t>[Abnormal] Crawl Schedule Config with postsPerRun = 0</t>
  </si>
  <si>
    <t>1. Prepare the state listed in Pre-conditions.
2. Call CrawlConfigService (planned; partial update_pipeline_config).updateCrawlConfig with: postsPerRun = 0.
3. Check the response / error and the log.</t>
  </si>
  <si>
    <t>Error: 400 Validation error (postsPerRun must be &gt;= 1)</t>
  </si>
  <si>
    <t>FR3.7.9-15</t>
  </si>
  <si>
    <t>[Abnormal] Crawl Schedule Config with postsPerRun = -5</t>
  </si>
  <si>
    <t>1. Prepare the state listed in Pre-conditions.
2. Call CrawlConfigService (planned; partial update_pipeline_config).updateCrawlConfig with: postsPerRun = -5.
3. Check the response / error and the log.</t>
  </si>
  <si>
    <t>Error: 400 Validation error (postsPerRun negative)</t>
  </si>
  <si>
    <t>FR3.7.9-16</t>
  </si>
  <si>
    <t>[Abnormal] Crawl Schedule Config with sourcePages = empty list</t>
  </si>
  <si>
    <t>1. Prepare the state listed in Pre-conditions.
2. Call CrawlConfigService (planned; partial update_pipeline_config).updateCrawlConfig with: sourcePages = empty list.
3. Check the response / error and the log.</t>
  </si>
  <si>
    <t>Error: 400 Validation error (sourcePages empty)</t>
  </si>
  <si>
    <t>FR3.7.9-17</t>
  </si>
  <si>
    <t>[Abnormal] Crawl Schedule Config with schedule = 0 */6 * * *</t>
  </si>
  <si>
    <t>- Can connect with server
- User is not ADMIN</t>
  </si>
  <si>
    <t>FR3.7.9-18</t>
  </si>
  <si>
    <t>[Abnormal] Crawl Schedule Config with method = GET</t>
  </si>
  <si>
    <t>FR3.7.10-01</t>
  </si>
  <si>
    <t>[Normal] Suggest Hashtag Trend with topic = summer fashion, platform = instagram, clientId = c1</t>
  </si>
  <si>
    <t>1. Prepare the state listed in Pre-conditions.
2. Call content endpoint.generate_hashtags with: topic = summer fashion; platform = instagram; clientId = c1; count = 5.
3. Check the response / error and the log.</t>
  </si>
  <si>
    <t>200 - 5 hashtags mixed from topic and trends</t>
  </si>
  <si>
    <t>FR3.7.10-02</t>
  </si>
  <si>
    <t>[Normal] Suggest Hashtag Trend with topic = summer fashion, platform = tiktok, clientId = c1</t>
  </si>
  <si>
    <t>1. Prepare the state listed in Pre-conditions.
2. Call content endpoint.generate_hashtags with: topic = summer fashion; platform = tiktok; clientId = c1; count = 5.
3. Check the response / error and the log.</t>
  </si>
  <si>
    <t>200 - hashtags optimized for tiktok</t>
  </si>
  <si>
    <t>FR3.7.10-03</t>
  </si>
  <si>
    <t>1. Prepare the state listed in Pre-conditions.
2. Call content endpoint.generate_hashtags with: topic = summer fashion; platform = instagram; clientId = c1; count = 10.
3. Check the response / error and the log.</t>
  </si>
  <si>
    <t>200 - 10 hashtags</t>
  </si>
  <si>
    <t>FR3.7.10-04</t>
  </si>
  <si>
    <t>1. Prepare the state listed in Pre-conditions.
2. Call content endpoint.generate_hashtags with: topic = summer fashion; platform = instagram; clientId = c1; count = 5; brand_name = BrandHub.
3. Check the response / error and the log.</t>
  </si>
  <si>
    <t>200 - hashtags include brand hashtag</t>
  </si>
  <si>
    <t>FR3.7.10-05</t>
  </si>
  <si>
    <t>1. Prepare the state listed in Pre-conditions.
2. Call content endpoint.generate_hashtags with: topic = summer fashion; platform = instagram; clientId = c1; count = 5; trend_name = summer sale.
3. Check the response / error and the log.</t>
  </si>
  <si>
    <t>200 - hashtags include trend name</t>
  </si>
  <si>
    <t>FR3.7.10-06</t>
  </si>
  <si>
    <t>1. Prepare the state listed in Pre-conditions.
2. Call content endpoint.generate_hashtags with: topic = summer fashion; platform = instagram; clientId = c1; count = 5; category = fashion.
3. Check the response / error and the log.</t>
  </si>
  <si>
    <t>200 - trends filtered by category fashion</t>
  </si>
  <si>
    <t>FR3.7.10-07</t>
  </si>
  <si>
    <t>[Normal] Suggest Hashtag Trend with topic = thoi trang mua he (accented), platform = instagram, clientId = c1</t>
  </si>
  <si>
    <t>1. Prepare the state listed in Pre-conditions.
2. Call content endpoint.generate_hashtags with: topic = thoi trang mua he (accented); platform = instagram; clientId = c1; count = 5; strip_accents = true.
3. Check the response / error and the log.</t>
  </si>
  <si>
    <t>200 - hashtags without Vietnamese accents</t>
  </si>
  <si>
    <t>FR3.7.10-08</t>
  </si>
  <si>
    <t>200 - uses 24h trends as fallback</t>
  </si>
  <si>
    <t>- Can connect with server
- 6h trends empty, 24h trends populated</t>
  </si>
  <si>
    <t>FR3.7.10-09</t>
  </si>
  <si>
    <t>[Boundary] Suggest Hashtag Trend with topic = summer fashion, platform = instagram, clientId = c1</t>
  </si>
  <si>
    <t>1. Prepare the state listed in Pre-conditions.
2. Call content endpoint.generate_hashtags with: topic = summer fashion; platform = instagram; clientId = c1; count = 1.
3. Check the response / error and the log.</t>
  </si>
  <si>
    <t>200 - exactly 1 hashtag</t>
  </si>
  <si>
    <t>FR3.7.10-10</t>
  </si>
  <si>
    <t>1. Prepare the state listed in Pre-conditions.
2. Call content endpoint.generate_hashtags with: topic = summer fashion; platform = instagram; clientId = c1; count = null.
3. Check the response / error and the log.</t>
  </si>
  <si>
    <t>200 - default 5 hashtags</t>
  </si>
  <si>
    <t>FR3.7.10-11</t>
  </si>
  <si>
    <t>1. Prepare the state listed in Pre-conditions.
2. Call content endpoint.generate_hashtags with: topic = summer fashion; platform = instagram; clientId = c1; count = 0.
3. Check the response / error and the log.</t>
  </si>
  <si>
    <t>200 - default 5 hashtags (count &lt;= 0 falls back)</t>
  </si>
  <si>
    <t>FR3.7.10-12</t>
  </si>
  <si>
    <t>1. Prepare the state listed in Pre-conditions.
2. Call content endpoint.generate_hashtags with: topic = summer fashion; platform = instagram; clientId = c1; count = -1.
3. Check the response / error and the log.</t>
  </si>
  <si>
    <t>FR3.7.10-13</t>
  </si>
  <si>
    <t>[Abnormal] Suggest Hashtag Trend with topic = summer fashion, platform = instagram, clientId = c1</t>
  </si>
  <si>
    <t>200 - hashtags from topic only, empty trend list no error</t>
  </si>
  <si>
    <t>- Can connect with server
- Trend cache empty</t>
  </si>
  <si>
    <t>FR3.7.10-14</t>
  </si>
  <si>
    <t>200 - hashtags from topic only (warning logged)</t>
  </si>
  <si>
    <t>FR3.7.10-15</t>
  </si>
  <si>
    <t>[Abnormal] Suggest Hashtag Trend with topic = gibberish no match, platform = instagram, clientId = c1</t>
  </si>
  <si>
    <t>1. Prepare the state listed in Pre-conditions.
2. Call content endpoint.generate_hashtags with: topic = gibberish no match; platform = instagram; clientId = c1; count = 5.
3. Check the response / error and the log.</t>
  </si>
  <si>
    <t>200 - minimal hashtag list, no error</t>
  </si>
  <si>
    <t>FR3.7.10-16</t>
  </si>
  <si>
    <t>[Abnormal] Suggest Hashtag Trend with topic = null, platform = instagram, clientId = c1</t>
  </si>
  <si>
    <t>1. Prepare the state listed in Pre-conditions.
2. Call content endpoint.generate_hashtags with: topic = null; platform = instagram; clientId = c1; count = 5.
3. Check the response / error and the log.</t>
  </si>
  <si>
    <t>FR3.7.10-17</t>
  </si>
  <si>
    <t>[Abnormal] Suggest Hashtag Trend with topic = summer fashion, platform = instagram, clientId = null</t>
  </si>
  <si>
    <t>1. Prepare the state listed in Pre-conditions.
2. Call content endpoint.generate_hashtags with: topic = summer fashion; platform = instagram; clientId = null; count = 5.
3. Check the response / error and the log.</t>
  </si>
  <si>
    <t>Error: 422 Validation error (clientId required)</t>
  </si>
  <si>
    <t>FR3.7.11-01</t>
  </si>
  <si>
    <t>[Normal] Generate Livestream Script with idea = flash sale live, goal = increase sales</t>
  </si>
  <si>
    <t>1. Prepare the state listed in Pre-conditions.
2. Call LivestreamScriptService (planned).generateLivestreamScript with: idea = flash sale live; goal = increase sales.
3. Check the response / error and the log.</t>
  </si>
  <si>
    <t>200 - segments[{timeMark, content}] ordered by timeMark</t>
  </si>
  <si>
    <t>FR3.7.11-02</t>
  </si>
  <si>
    <t>[Normal] Generate Livestream Script with idea = product launch, goal = brand awareness</t>
  </si>
  <si>
    <t>1. Prepare the state listed in Pre-conditions.
2. Call LivestreamScriptService (planned).generateLivestreamScript with: idea = product launch; goal = brand awareness.
3. Check the response / error and the log.</t>
  </si>
  <si>
    <t>200 - script with intro, demo, Q&amp;A segments</t>
  </si>
  <si>
    <t>FR3.7.11-03</t>
  </si>
  <si>
    <t>[Normal] Generate Livestream Script with idea = valid idea, goal = null</t>
  </si>
  <si>
    <t>1. Prepare the state listed in Pre-conditions.
2. Call LivestreamScriptService (planned).generateLivestreamScript with: idea = valid idea; goal = null.
3. Check the response / error and the log.</t>
  </si>
  <si>
    <t>200 - script generated using idea only</t>
  </si>
  <si>
    <t>FR3.7.11-04</t>
  </si>
  <si>
    <t>[Normal] Generate Livestream Script with idea = valid idea, goal = valid goal</t>
  </si>
  <si>
    <t>1. Prepare the state listed in Pre-conditions.
2. Call LivestreamScriptService (planned).generateLivestreamScript with: idea = valid idea; goal = valid goal.
3. Check the response / error and the log.</t>
  </si>
  <si>
    <t>200 - result returned for review, not auto-applied to task script</t>
  </si>
  <si>
    <t>FR3.7.11-05</t>
  </si>
  <si>
    <t>[Normal] Generate Livestream Script with idea = Vietnamese idea text, goal = valid goal</t>
  </si>
  <si>
    <t>1. Prepare the state listed in Pre-conditions.
2. Call LivestreamScriptService (planned).generateLivestreamScript with: idea = Vietnamese idea text; goal = valid goal.
3. Check the response / error and the log.</t>
  </si>
  <si>
    <t>200 - Vietnamese script</t>
  </si>
  <si>
    <t>FR3.7.11-06</t>
  </si>
  <si>
    <t>200 - credit deducted per generate
Log: AI credit deducted</t>
  </si>
  <si>
    <t>FR3.7.11-07</t>
  </si>
  <si>
    <t>200 - new script, credit charged again</t>
  </si>
  <si>
    <t>- Can connect with server
- Creator has enough AI credit
- Script already generated before</t>
  </si>
  <si>
    <t>FR3.7.11-08</t>
  </si>
  <si>
    <t>[Boundary] Generate Livestream Script with idea = 1 char, goal = valid goal</t>
  </si>
  <si>
    <t>1. Prepare the state listed in Pre-conditions.
2. Call LivestreamScriptService (planned).generateLivestreamScript with: idea = 1 char; goal = valid goal.
3. Check the response / error and the log.</t>
  </si>
  <si>
    <t>200 - script generated for minimal idea</t>
  </si>
  <si>
    <t>FR3.7.11-09</t>
  </si>
  <si>
    <t>[Boundary] Generate Livestream Script with idea = max length idea, goal = valid goal</t>
  </si>
  <si>
    <t>1. Prepare the state listed in Pre-conditions.
2. Call LivestreamScriptService (planned).generateLivestreamScript with: idea = max length idea; goal = valid goal.
3. Check the response / error and the log.</t>
  </si>
  <si>
    <t>200 - script generated at max idea length</t>
  </si>
  <si>
    <t>FR3.7.11-10</t>
  </si>
  <si>
    <t>[Boundary] Generate Livestream Script with idea = valid idea, goal = valid goal</t>
  </si>
  <si>
    <t>200 - credit deducted down to 0</t>
  </si>
  <si>
    <t>- Can connect with server
- Creator has exactly enough AI credit</t>
  </si>
  <si>
    <t>FR3.7.11-11</t>
  </si>
  <si>
    <t>[Abnormal] Generate Livestream Script with idea = empty, goal = valid goal</t>
  </si>
  <si>
    <t>1. Prepare the state listed in Pre-conditions.
2. Call LivestreamScriptService (planned).generateLivestreamScript with: idea = empty; goal = valid goal.
3. Check the response / error and the log.</t>
  </si>
  <si>
    <t>Error: 400 Validation error (idea required)</t>
  </si>
  <si>
    <t>FR3.7.11-12</t>
  </si>
  <si>
    <t>[Abnormal] Generate Livestream Script with idea = null, goal = null</t>
  </si>
  <si>
    <t>1. Prepare the state listed in Pre-conditions.
2. Call LivestreamScriptService (planned).generateLivestreamScript with: idea = null; goal = null.
3. Check the response / error and the log.</t>
  </si>
  <si>
    <t>FR3.7.11-13</t>
  </si>
  <si>
    <t>[Abnormal] Generate Livestream Script with idea = over max length, goal = valid goal</t>
  </si>
  <si>
    <t>1. Prepare the state listed in Pre-conditions.
2. Call LivestreamScriptService (planned).generateLivestreamScript with: idea = over max length; goal = valid goal.
3. Check the response / error and the log.</t>
  </si>
  <si>
    <t>Error: 400 Validation error (idea too long)</t>
  </si>
  <si>
    <t>FR3.7.11-14</t>
  </si>
  <si>
    <t>[Abnormal] Generate Livestream Script with idea = valid idea, goal = valid goal</t>
  </si>
  <si>
    <t>FR3.7.11-15</t>
  </si>
  <si>
    <t>Error: 502 AI_SERVICE_UNAVAILABLE</t>
  </si>
  <si>
    <t>- Can connect with server
- Creator has enough AI credit
- LLM provider fails</t>
  </si>
  <si>
    <t>FR3.7.11-16</t>
  </si>
  <si>
    <t>- User is not CREATOR of workspace</t>
  </si>
  <si>
    <t>FR3.7.12-01</t>
  </si>
  <si>
    <t>[Normal] Recommend Collaborator with industry = fashion, targetAudience = women 18-30, budgetRange = 50-100M VND</t>
  </si>
  <si>
    <t>1. Prepare the state listed in Pre-conditions.
2. Call CollaboratorRecommendService (planned).recommendCollaborator with: industry = fashion; targetAudience = women 18-30; budgetRange = 50-100M VND.
3. Check the response / error and the log.</t>
  </si>
  <si>
    <t>200 - recommendations[{name,type,tier,reason}] sorted by tier</t>
  </si>
  <si>
    <t>- Can connect with server
- User is CREATOR or MANAGER of workspace</t>
  </si>
  <si>
    <t>FR3.7.12-02</t>
  </si>
  <si>
    <t>[Normal] Recommend Collaborator with industry = F&amp;B, targetAudience = women 18-30, budgetRange = 50-100M VND</t>
  </si>
  <si>
    <t>1. Prepare the state listed in Pre-conditions.
2. Call CollaboratorRecommendService (planned).recommendCollaborator with: industry = F&amp;B; targetAudience = women 18-30; budgetRange = 50-100M VND.
3. Check the response / error and the log.</t>
  </si>
  <si>
    <t>200 - recommendations for F&amp;B</t>
  </si>
  <si>
    <t>FR3.7.12-03</t>
  </si>
  <si>
    <t>[Normal] Recommend Collaborator with industry = fashion, targetAudience = women 18-30, budgetRange = 500M+ VND</t>
  </si>
  <si>
    <t>1. Prepare the state listed in Pre-conditions.
2. Call CollaboratorRecommendService (planned).recommendCollaborator with: industry = fashion; targetAudience = women 18-30; budgetRange = 500M+ VND.
3. Check the response / error and the log.</t>
  </si>
  <si>
    <t>200 - high-tier partners included (press, TV)</t>
  </si>
  <si>
    <t>FR3.7.12-04</t>
  </si>
  <si>
    <t>[Normal] Recommend Collaborator with industry = fashion, targetAudience = null, budgetRange = 50-100M VND</t>
  </si>
  <si>
    <t>1. Prepare the state listed in Pre-conditions.
2. Call CollaboratorRecommendService (planned).recommendCollaborator with: industry = fashion; targetAudience = null; budgetRange = 50-100M VND.
3. Check the response / error and the log.</t>
  </si>
  <si>
    <t>200 - recommendations based on industry and budget</t>
  </si>
  <si>
    <t>FR3.7.12-05</t>
  </si>
  <si>
    <t>[Normal] Recommend Collaborator with collaboratorId = existing in directory, campaignId = valid campaign</t>
  </si>
  <si>
    <t>1. Prepare the state listed in Pre-conditions.
2. Call CollaboratorRecommendService (planned).recommendCollaborator with: collaboratorId = existing in directory; campaignId = valid campaign.
3. Check the response / error and the log.</t>
  </si>
  <si>
    <t>200 - CampaignCollaborator linked, cooperationStatus=contacted</t>
  </si>
  <si>
    <t>- Can connect with server
- User is CREATOR or MANAGER of workspace
- Collaborator exists in agency directory</t>
  </si>
  <si>
    <t>FR3.7.12-06</t>
  </si>
  <si>
    <t>[Normal] Recommend Collaborator with newCollaborator = name,type,contactInfo, campaignId = valid campaign</t>
  </si>
  <si>
    <t>1. Prepare the state listed in Pre-conditions.
2. Call CollaboratorRecommendService (planned).recommendCollaborator with: newCollaborator = name,type,contactInfo; campaignId = valid campaign.
3. Check the response / error and the log.</t>
  </si>
  <si>
    <t>200 - new ThirdPartyCollaborator created and linked, status=contacted</t>
  </si>
  <si>
    <t>FR3.7.12-07</t>
  </si>
  <si>
    <t>200 - suggestions only, no auto contact or contract</t>
  </si>
  <si>
    <t>FR3.7.12-08</t>
  </si>
  <si>
    <t>[Boundary] Recommend Collaborator with industry = fashion, targetAudience = women 18-30, budgetRange = very low</t>
  </si>
  <si>
    <t>1. Prepare the state listed in Pre-conditions.
2. Call CollaboratorRecommendService (planned).recommendCollaborator with: industry = fashion; targetAudience = women 18-30; budgetRange = very low.
3. Check the response / error and the log.</t>
  </si>
  <si>
    <t>200 - lowest-tier recommendations with warning, not empty</t>
  </si>
  <si>
    <t>FR3.7.12-09</t>
  </si>
  <si>
    <t>[Boundary] Recommend Collaborator with industry = fashion, targetAudience = women 18-30, budgetRange = 0 VND</t>
  </si>
  <si>
    <t>1. Prepare the state listed in Pre-conditions.
2. Call CollaboratorRecommendService (planned).recommendCollaborator with: industry = fashion; targetAudience = women 18-30; budgetRange = 0 VND.
3. Check the response / error and the log.</t>
  </si>
  <si>
    <t>200 - lowest-tier recommendations with warning</t>
  </si>
  <si>
    <t>FR3.7.12-10</t>
  </si>
  <si>
    <t>[Boundary] Recommend Collaborator with industry = 1 char, targetAudience = women 18-30, budgetRange = 50-100M VND</t>
  </si>
  <si>
    <t>1. Prepare the state listed in Pre-conditions.
2. Call CollaboratorRecommendService (planned).recommendCollaborator with: industry = 1 char; targetAudience = women 18-30; budgetRange = 50-100M VND.
3. Check the response / error and the log.</t>
  </si>
  <si>
    <t>200 - generic recommendations</t>
  </si>
  <si>
    <t>FR3.7.12-11</t>
  </si>
  <si>
    <t>[Boundary] Recommend Collaborator with collaboratorId = already linked, campaignId = valid campaign</t>
  </si>
  <si>
    <t>1. Prepare the state listed in Pre-conditions.
2. Call CollaboratorRecommendService (planned).recommendCollaborator with: collaboratorId = already linked; campaignId = valid campaign.
3. Check the response / error and the log.</t>
  </si>
  <si>
    <t>200 - existing link returned, no duplicate</t>
  </si>
  <si>
    <t>- Can connect with server
- User is CREATOR or MANAGER of workspace
- Collaborator already linked to campaign</t>
  </si>
  <si>
    <t>FR3.7.12-12</t>
  </si>
  <si>
    <t>[Abnormal] Recommend Collaborator with industry = empty, targetAudience = women 18-30, budgetRange = 50-100M VND</t>
  </si>
  <si>
    <t>1. Prepare the state listed in Pre-conditions.
2. Call CollaboratorRecommendService (planned).recommendCollaborator with: industry = empty; targetAudience = women 18-30; budgetRange = 50-100M VND.
3. Check the response / error and the log.</t>
  </si>
  <si>
    <t>Error: 400 Validation error (industry required)</t>
  </si>
  <si>
    <t>FR3.7.12-13</t>
  </si>
  <si>
    <t>[Abnormal] Recommend Collaborator with industry = null, targetAudience = women 18-30, budgetRange = 50-100M VND</t>
  </si>
  <si>
    <t>1. Prepare the state listed in Pre-conditions.
2. Call CollaboratorRecommendService (planned).recommendCollaborator with: industry = null; targetAudience = women 18-30; budgetRange = 50-100M VND.
3. Check the response / error and the log.</t>
  </si>
  <si>
    <t>FR3.7.12-14</t>
  </si>
  <si>
    <t>[Abnormal] Recommend Collaborator with industry = fashion, targetAudience = women 18-30, budgetRange = invalid text</t>
  </si>
  <si>
    <t>1. Prepare the state listed in Pre-conditions.
2. Call CollaboratorRecommendService (planned).recommendCollaborator with: industry = fashion; targetAudience = women 18-30; budgetRange = invalid text.
3. Check the response / error and the log.</t>
  </si>
  <si>
    <t>Error: 400 Validation error (invalid budgetRange)</t>
  </si>
  <si>
    <t>FR3.7.12-15</t>
  </si>
  <si>
    <t>[Abnormal] Recommend Collaborator with collaboratorId = non-existent id, campaignId = valid campaign</t>
  </si>
  <si>
    <t>1. Prepare the state listed in Pre-conditions.
2. Call CollaboratorRecommendService (planned).recommendCollaborator with: collaboratorId = non-existent id; campaignId = valid campaign.
3. Check the response / error and the log.</t>
  </si>
  <si>
    <t>Error: 404 Collaborator not found</t>
  </si>
  <si>
    <t>FR3.7.12-16</t>
  </si>
  <si>
    <t>[Abnormal] Recommend Collaborator with collaboratorId = existing in directory, campaignId = non-existent id</t>
  </si>
  <si>
    <t>1. Prepare the state listed in Pre-conditions.
2. Call CollaboratorRecommendService (planned).recommendCollaborator with: collaboratorId = existing in directory; campaignId = non-existent id.
3. Check the response / error and the log.</t>
  </si>
  <si>
    <t>Error: 404 Campaign not found</t>
  </si>
  <si>
    <t>FR3.7.12-17</t>
  </si>
  <si>
    <t>[Abnormal] Recommend Collaborator with industry = fashion, targetAudience = women 18-30, budgetRange = 50-100M VND</t>
  </si>
  <si>
    <t>- User is not CREATOR or MANAGER of workspace</t>
  </si>
  <si>
    <t>FR3.7.12-18</t>
  </si>
  <si>
    <t>- Can connect with server
- User is CREATOR or MANAGER of workspace
- LLM provider fails</t>
  </si>
  <si>
    <t>Functional test of 3.8.1 Connect Social Account; 3.8.2 Disconnect Account; 3.8.3 View Dashboard Post; 3.8.4 View Post Track Detail and 12 more</t>
  </si>
  <si>
    <t>FR3.8.1-01</t>
  </si>
  <si>
    <t>[Normal] Connect Social Account with platform = facebook, code = valid code, state = valid state</t>
  </si>
  <si>
    <t>1. Prepare the state listed in Pre-conditions.
2. Call SocialAccountServiceImpl.connect (OAuth callback) with: platform = facebook; code = valid code; state = valid state.
3. Check the response / error and the log.</t>
  </si>
  <si>
    <t>200 - accountId, platform=FACEBOOK, displayName
Log: Social account connected</t>
  </si>
  <si>
    <t>FR3.8.1-02</t>
  </si>
  <si>
    <t>[Normal] Connect Social Account with platform = instagram, code = valid code, state = valid state</t>
  </si>
  <si>
    <t>1. Prepare the state listed in Pre-conditions.
2. Call SocialAccountServiceImpl.connect (OAuth callback) with: platform = instagram; code = valid code; state = valid state.
3. Check the response / error and the log.</t>
  </si>
  <si>
    <t>200 - accountId, platform=INSTAGRAM, displayName</t>
  </si>
  <si>
    <t>FR3.8.1-03</t>
  </si>
  <si>
    <t>[Normal] Connect Social Account with platform = tiktok, code = valid code, state = valid state</t>
  </si>
  <si>
    <t>1. Prepare the state listed in Pre-conditions.
2. Call SocialAccountServiceImpl.connect (OAuth callback) with: platform = tiktok; code = valid code; state = valid state.
3. Check the response / error and the log.</t>
  </si>
  <si>
    <t>200 - accountId, platform=TIKTOK, displayName</t>
  </si>
  <si>
    <t>FR3.8.1-04</t>
  </si>
  <si>
    <t>[Normal] Connect Social Account with platform = threads, code = valid code, state = valid state</t>
  </si>
  <si>
    <t>1. Prepare the state listed in Pre-conditions.
2. Call SocialAccountServiceImpl.connect (OAuth callback) with: platform = threads; code = valid code; state = valid state.
3. Check the response / error and the log.</t>
  </si>
  <si>
    <t>200 - accountId, platform=THREADS, displayName</t>
  </si>
  <si>
    <t>FR3.8.1-05</t>
  </si>
  <si>
    <t>200 - old record reactivated, post history kept</t>
  </si>
  <si>
    <t>- Can connect with server
- User is CLIENT of workspace
- Account previously disconnected</t>
  </si>
  <si>
    <t>FR3.8.1-06</t>
  </si>
  <si>
    <t>200 - access token persisted in encrypted form
Log: Token encrypted before save</t>
  </si>
  <si>
    <t>FR3.8.1-07</t>
  </si>
  <si>
    <t>[Normal] Connect Social Account with platform = facebook</t>
  </si>
  <si>
    <t>1. Prepare the state listed in Pre-conditions.
2. Call SocialAccountServiceImpl.connect (OAuth callback) with: platform = facebook.
3. Check the response / error and the log.</t>
  </si>
  <si>
    <t>302 - redirect to OAuth consent URL (connect step)</t>
  </si>
  <si>
    <t>FR3.8.1-08</t>
  </si>
  <si>
    <t>[Boundary] Connect Social Account with platform = FACEBOOK, code = valid code, state = valid state</t>
  </si>
  <si>
    <t>1. Prepare the state listed in Pre-conditions.
2. Call SocialAccountServiceImpl.connect (OAuth callback) with: platform = FACEBOOK; code = valid code; state = valid state.
3. Check the response / error and the log.</t>
  </si>
  <si>
    <t>200 - platform matched case-insensitively</t>
  </si>
  <si>
    <t>FR3.8.1-09</t>
  </si>
  <si>
    <t>[Boundary] Connect Social Account with platform = facebook, code = 1 char, state = valid state</t>
  </si>
  <si>
    <t>1. Prepare the state listed in Pre-conditions.
2. Call SocialAccountServiceImpl.connect (OAuth callback) with: platform = facebook; code = 1 char; state = valid state.
3. Check the response / error and the log.</t>
  </si>
  <si>
    <t>200 - connected (code of minimum length accepted)</t>
  </si>
  <si>
    <t>FR3.8.1-10</t>
  </si>
  <si>
    <t>[Boundary] Connect Social Account with platform = facebook, code = valid code, state = valid state</t>
  </si>
  <si>
    <t>200 - connected, refresh token empty</t>
  </si>
  <si>
    <t>- Can connect with server
- User is CLIENT of workspace
- Token response has no refresh token</t>
  </si>
  <si>
    <t>FR3.8.1-11</t>
  </si>
  <si>
    <t>[Abnormal] Connect Social Account with platform = myspace, code = valid code, state = valid state</t>
  </si>
  <si>
    <t>1. Prepare the state listed in Pre-conditions.
2. Call SocialAccountServiceImpl.connect (OAuth callback) with: platform = myspace; code = valid code; state = valid state.
3. Check the response / error and the log.</t>
  </si>
  <si>
    <t>Error: UNSUPPORTED_PLATFORM: This social platform is not supported</t>
  </si>
  <si>
    <t>FR3.8.1-12</t>
  </si>
  <si>
    <t>[Abnormal] Connect Social Account with platform = null, code = valid code, state = valid state</t>
  </si>
  <si>
    <t>1. Prepare the state listed in Pre-conditions.
2. Call SocialAccountServiceImpl.connect (OAuth callback) with: platform = null; code = valid code; state = valid state.
3. Check the response / error and the log.</t>
  </si>
  <si>
    <t>FR3.8.1-13</t>
  </si>
  <si>
    <t>[Abnormal] Connect Social Account with platform = facebook, code = null, state = valid state</t>
  </si>
  <si>
    <t>1. Prepare the state listed in Pre-conditions.
2. Call SocialAccountServiceImpl.connect (OAuth callback) with: platform = facebook; code = null; state = valid state.
3. Check the response / error and the log.</t>
  </si>
  <si>
    <t>Error: OAUTH_CODE_INVALID: OAuth authorization code exchange failed</t>
  </si>
  <si>
    <t>FR3.8.1-14</t>
  </si>
  <si>
    <t>[Abnormal] Connect Social Account with platform = facebook, code = expired code, state = valid state</t>
  </si>
  <si>
    <t>1. Prepare the state listed in Pre-conditions.
2. Call SocialAccountServiceImpl.connect (OAuth callback) with: platform = facebook; code = expired code; state = valid state.
3. Check the response / error and the log.</t>
  </si>
  <si>
    <t>FR3.8.1-15</t>
  </si>
  <si>
    <t>[Abnormal] Connect Social Account with platform = facebook, code = valid code, state = wrong state</t>
  </si>
  <si>
    <t>1. Prepare the state listed in Pre-conditions.
2. Call SocialAccountServiceImpl.connect (OAuth callback) with: platform = facebook; code = valid code; state = wrong state.
3. Check the response / error and the log.</t>
  </si>
  <si>
    <t>Error: OAUTH_STATE_INVALID: OAuth state is invalid or has expired</t>
  </si>
  <si>
    <t>FR3.8.1-16</t>
  </si>
  <si>
    <t>[Abnormal] Connect Social Account with platform = facebook, code = valid code, state = expired state</t>
  </si>
  <si>
    <t>1. Prepare the state listed in Pre-conditions.
2. Call SocialAccountServiceImpl.connect (OAuth callback) with: platform = facebook; code = valid code; state = expired state.
3. Check the response / error and the log.</t>
  </si>
  <si>
    <t>FR3.8.1-17</t>
  </si>
  <si>
    <t>[Abnormal] Connect Social Account with platform = facebook, code = valid code, state = valid state</t>
  </si>
  <si>
    <t>Error: ACCOUNT_ALREADY_CONNECTED: A social account for this platform is already connected</t>
  </si>
  <si>
    <t>- Can connect with server
- User is CLIENT of workspace
- Platform account already connected</t>
  </si>
  <si>
    <t>FR3.8.1-18</t>
  </si>
  <si>
    <t>[Abnormal] Connect Social Account with platform = facebook, code = user cancelled consent</t>
  </si>
  <si>
    <t>1. Prepare the state listed in Pre-conditions.
2. Call SocialAccountServiceImpl.connect (OAuth callback) with: platform = facebook; code = user cancelled consent.
3. Check the response / error and the log.</t>
  </si>
  <si>
    <t>FR3.8.1-19</t>
  </si>
  <si>
    <t>Error: FORBIDDEN: access denied</t>
  </si>
  <si>
    <t>- Can connect with server
- User is not CLIENT</t>
  </si>
  <si>
    <t>FR3.8.2-01</t>
  </si>
  <si>
    <t>[Normal] Disconnect Account with accountId = valid active account</t>
  </si>
  <si>
    <t>1. Prepare the state listed in Pre-conditions.
2. Call SocialAccountServiceImpl.disconnect with: accountId = valid active account.
3. Check the response / error and the log.</t>
  </si>
  <si>
    <t>200 - data=null, account deactivated
Log: Social account disconnected</t>
  </si>
  <si>
    <t>- Can connect with server
- User is CLIENT owner of account</t>
  </si>
  <si>
    <t>FR3.8.2-02</t>
  </si>
  <si>
    <t>200 - platform token revoked then record deactivated</t>
  </si>
  <si>
    <t>- Can connect with server
- User is CLIENT owner of account
- Platform supports revoke</t>
  </si>
  <si>
    <t>FR3.8.2-03</t>
  </si>
  <si>
    <t>200 - record deactivated without revoke call</t>
  </si>
  <si>
    <t>- Can connect with server
- User is CLIENT owner of account
- Platform has no revoke API</t>
  </si>
  <si>
    <t>FR3.8.2-04</t>
  </si>
  <si>
    <t>200 - both posts set to FAIL, reason account disconnected
Log: 2 pending posts failed</t>
  </si>
  <si>
    <t>- Can connect with server
- User is CLIENT owner of account
- Account has 2 PENDING posts</t>
  </si>
  <si>
    <t>FR3.8.2-05</t>
  </si>
  <si>
    <t>200 - no post modified</t>
  </si>
  <si>
    <t>- Can connect with server
- User is CLIENT owner of account
- Account has no pending posts</t>
  </si>
  <si>
    <t>FR3.8.2-06</t>
  </si>
  <si>
    <t>200 - DONE posts remain unchanged</t>
  </si>
  <si>
    <t>- Can connect with server
- User is CLIENT owner of account
- Account has DONE posts</t>
  </si>
  <si>
    <t>FR3.8.2-07</t>
  </si>
  <si>
    <t>200 - token wiped from record
Log: Stored token cleared</t>
  </si>
  <si>
    <t>FR3.8.2-08</t>
  </si>
  <si>
    <t>200 - record can be reactivated by 3.8.1</t>
  </si>
  <si>
    <t>- Can connect with server
- User is CLIENT owner of account
- Account later reconnected</t>
  </si>
  <si>
    <t>FR3.8.2-09</t>
  </si>
  <si>
    <t>[Boundary] Disconnect Account with accountId = valid active account</t>
  </si>
  <si>
    <t>200 - single post set to FAIL</t>
  </si>
  <si>
    <t>- Can connect with server
- User is CLIENT owner of account
- Account has exactly 1 PENDING post</t>
  </si>
  <si>
    <t>FR3.8.2-10</t>
  </si>
  <si>
    <t>200 - all 1000 posts set to FAIL</t>
  </si>
  <si>
    <t>- Can connect with server
- User is CLIENT owner of account
- Account has 1000 PENDING posts</t>
  </si>
  <si>
    <t>FR3.8.2-11</t>
  </si>
  <si>
    <t>200 - in-flight post set to FAIL with clear reason</t>
  </si>
  <si>
    <t>- Can connect with server
- User is CLIENT owner of account
- Post IN_PROGRESS on account</t>
  </si>
  <si>
    <t>FR3.8.2-12</t>
  </si>
  <si>
    <t>[Abnormal] Disconnect Account with accountId = null</t>
  </si>
  <si>
    <t>1. Prepare the state listed in Pre-conditions.
2. Call SocialAccountServiceImpl.disconnect with: accountId = null.
3. Check the response / error and the log.</t>
  </si>
  <si>
    <t>Error: SOCIAL_ACCOUNT_NOT_FOUND: Social account not found</t>
  </si>
  <si>
    <t>FR3.8.2-13</t>
  </si>
  <si>
    <t>[Abnormal] Disconnect Account with accountId = non-existent id</t>
  </si>
  <si>
    <t>1. Prepare the state listed in Pre-conditions.
2. Call SocialAccountServiceImpl.disconnect with: accountId = non-existent id.
3. Check the response / error and the log.</t>
  </si>
  <si>
    <t>FR3.8.2-14</t>
  </si>
  <si>
    <t>[Abnormal] Disconnect Account with accountId = malformed id</t>
  </si>
  <si>
    <t>1. Prepare the state listed in Pre-conditions.
2. Call SocialAccountServiceImpl.disconnect with: accountId = malformed id.
3. Check the response / error and the log.</t>
  </si>
  <si>
    <t>FR3.8.2-15</t>
  </si>
  <si>
    <t>[Abnormal] Disconnect Account with accountId = account of other client</t>
  </si>
  <si>
    <t>1. Prepare the state listed in Pre-conditions.
2. Call SocialAccountServiceImpl.disconnect with: accountId = account of other client.
3. Check the response / error and the log.</t>
  </si>
  <si>
    <t>- Can connect with server
- User is CLIENT but not owner</t>
  </si>
  <si>
    <t>FR3.8.2-16</t>
  </si>
  <si>
    <t>[Abnormal] Disconnect Account with accountId = valid active account</t>
  </si>
  <si>
    <t>- Can connect with server
- User is MEMBER</t>
  </si>
  <si>
    <t>FR3.8.2-17</t>
  </si>
  <si>
    <t>[Abnormal] Disconnect Account with accountId = already disconnected account</t>
  </si>
  <si>
    <t>1. Prepare the state listed in Pre-conditions.
2. Call SocialAccountServiceImpl.disconnect with: accountId = already disconnected account.
3. Check the response / error and the log.</t>
  </si>
  <si>
    <t>- Can connect with server
- User is CLIENT owner of account
- Account already disconnected</t>
  </si>
  <si>
    <t>FR3.8.2-18</t>
  </si>
  <si>
    <t>Error: PLATFORM_API_ERROR: platform revoke failed</t>
  </si>
  <si>
    <t>- Can connect with server
- User is CLIENT owner of account
- Platform revoke API fails</t>
  </si>
  <si>
    <t>FR3.8.3-01</t>
  </si>
  <si>
    <t>[Normal] View Dashboard Post with workspaceId = valid workspace</t>
  </si>
  <si>
    <t>1. Prepare the state listed in Pre-conditions.
2. Call PostDashboardServiceImpl.getDashboard with: workspaceId = valid workspace.
3. Check the response / error and the log.</t>
  </si>
  <si>
    <t>200 - totalPosts=10, successRate=80</t>
  </si>
  <si>
    <t>- Can connect with server
- User is MEMBER of workspace
- Workspace has 10 posts: 8 DONE, 2 FAIL</t>
  </si>
  <si>
    <t>FR3.8.3-02</t>
  </si>
  <si>
    <t>200 - byPlatform={FACEBOOK:n, TIKTOK:m}</t>
  </si>
  <si>
    <t>- Can connect with server
- User is MEMBER of workspace
- Posts on FACEBOOK and TIKTOK</t>
  </si>
  <si>
    <t>FR3.8.3-03</t>
  </si>
  <si>
    <t>200 - successRate=100</t>
  </si>
  <si>
    <t>- Can connect with server
- User is MEMBER of workspace
- All posts DONE</t>
  </si>
  <si>
    <t>FR3.8.3-04</t>
  </si>
  <si>
    <t>200 - successRate=0</t>
  </si>
  <si>
    <t>- Can connect with server
- User is MEMBER of workspace
- All posts FAIL</t>
  </si>
  <si>
    <t>FR3.8.3-05</t>
  </si>
  <si>
    <t>200 - byPlatform has 4 entries</t>
  </si>
  <si>
    <t>- Can connect with server
- User is MEMBER of workspace
- Posts on 4 platforms</t>
  </si>
  <si>
    <t>FR3.8.3-06</t>
  </si>
  <si>
    <t>200 - PENDING not counted as failure</t>
  </si>
  <si>
    <t>- Can connect with server
- User is MEMBER of workspace
- Mixed statuses incl. PENDING</t>
  </si>
  <si>
    <t>FR3.8.3-07</t>
  </si>
  <si>
    <t>200 - only current workspace counted</t>
  </si>
  <si>
    <t>- Can connect with server
- User is MEMBER of workspace
- Other workspace has posts</t>
  </si>
  <si>
    <t>FR3.8.3-08</t>
  </si>
  <si>
    <t>200 - data has totalPosts, byPlatform, successRate</t>
  </si>
  <si>
    <t>- Can connect with server
- User is MEMBER of workspace</t>
  </si>
  <si>
    <t>FR3.8.3-09</t>
  </si>
  <si>
    <t>[Boundary] View Dashboard Post with workspaceId = valid workspace</t>
  </si>
  <si>
    <t>200 - totalPosts=0, byPlatform empty/0, successRate=0</t>
  </si>
  <si>
    <t>- Can connect with server
- User is MEMBER of workspace
- Workspace has no posts</t>
  </si>
  <si>
    <t>FR3.8.3-10</t>
  </si>
  <si>
    <t>200 - totalPosts=1, successRate=100</t>
  </si>
  <si>
    <t>- Can connect with server
- User is MEMBER of workspace
- Workspace has 1 DONE post</t>
  </si>
  <si>
    <t>FR3.8.3-11</t>
  </si>
  <si>
    <t>200 - successRate rounded 33.33</t>
  </si>
  <si>
    <t>- Can connect with server
- User is MEMBER of workspace
- Workspace has 3 posts: 1 DONE, 2 FAIL</t>
  </si>
  <si>
    <t>FR3.8.3-12</t>
  </si>
  <si>
    <t>200 - totals computed without overflow</t>
  </si>
  <si>
    <t>- Can connect with server
- User is MEMBER of workspace
- Workspace has 100000 posts</t>
  </si>
  <si>
    <t>FR3.8.3-13</t>
  </si>
  <si>
    <t>[Abnormal] View Dashboard Post with workspaceId = null</t>
  </si>
  <si>
    <t>1. Prepare the state listed in Pre-conditions.
2. Call PostDashboardServiceImpl.getDashboard with: workspaceId = null.
3. Check the response / error and the log.</t>
  </si>
  <si>
    <t>FR3.8.3-14</t>
  </si>
  <si>
    <t>[Abnormal] View Dashboard Post with workspaceId = non-existent id</t>
  </si>
  <si>
    <t>1. Prepare the state listed in Pre-conditions.
2. Call PostDashboardServiceImpl.getDashboard with: workspaceId = non-existent id.
3. Check the response / error and the log.</t>
  </si>
  <si>
    <t>FR3.8.3-15</t>
  </si>
  <si>
    <t>[Abnormal] View Dashboard Post with workspaceId = valid workspace</t>
  </si>
  <si>
    <t>- Can connect with server
- User is not workspace member</t>
  </si>
  <si>
    <t>FR3.8.3-16</t>
  </si>
  <si>
    <t>Error: UNAUTHORIZED: authentication required</t>
  </si>
  <si>
    <t>- Can connect with server
- Token missing</t>
  </si>
  <si>
    <t>FR3.8.3-17</t>
  </si>
  <si>
    <t>[Abnormal] View Dashboard Post with workspaceId = deleted workspace</t>
  </si>
  <si>
    <t>1. Prepare the state listed in Pre-conditions.
2. Call PostDashboardServiceImpl.getDashboard with: workspaceId = deleted workspace.
3. Check the response / error and the log.</t>
  </si>
  <si>
    <t>- Can connect with server
- User is MEMBER of workspace
- Workspace is soft-deleted</t>
  </si>
  <si>
    <t>FR3.8.4-01</t>
  </si>
  <si>
    <t>[Normal] View Post Track Detail with workspaceId = valid workspace, postId = published post</t>
  </si>
  <si>
    <t>1. Prepare the state listed in Pre-conditions.
2. Call PostServiceImpl.get with: workspaceId = valid workspace; postId = published post.
3. Check the response / error and the log.</t>
  </si>
  <si>
    <t>200 - platformPostUrl, reactionCount, commentCount, shareCount</t>
  </si>
  <si>
    <t>- Can connect with server
- User is MEMBER of workspace
- Post DONE on FACEBOOK</t>
  </si>
  <si>
    <t>FR3.8.4-02</t>
  </si>
  <si>
    <t>200 - counts and link of Instagram post</t>
  </si>
  <si>
    <t>- Can connect with server
- User is MEMBER of workspace
- Post DONE on INSTAGRAM</t>
  </si>
  <si>
    <t>FR3.8.4-03</t>
  </si>
  <si>
    <t>200 - counts and link of TikTok video</t>
  </si>
  <si>
    <t>- Can connect with server
- User is MEMBER of workspace
- Post DONE on TIKTOK</t>
  </si>
  <si>
    <t>FR3.8.4-04</t>
  </si>
  <si>
    <t>200 - counts and link of Threads post</t>
  </si>
  <si>
    <t>- Can connect with server
- User is MEMBER of workspace
- Post DONE on THREADS</t>
  </si>
  <si>
    <t>FR3.8.4-05</t>
  </si>
  <si>
    <t>200 - fresh metrics with lastUpdatedAt = now</t>
  </si>
  <si>
    <t>- Can connect with server
- User is MEMBER of workspace
- Platform metrics API OK</t>
  </si>
  <si>
    <t>FR3.8.4-06</t>
  </si>
  <si>
    <t>200 - cached metrics with older lastUpdatedAt timestamp</t>
  </si>
  <si>
    <t>- Can connect with server
- User is MEMBER of workspace
- Platform rate-limited, cache exists</t>
  </si>
  <si>
    <t>FR3.8.4-07</t>
  </si>
  <si>
    <t>200 - reactionCount=5</t>
  </si>
  <si>
    <t>- Can connect with server
- User is MEMBER of workspace
- Post has 5 reactions</t>
  </si>
  <si>
    <t>FR3.8.4-08</t>
  </si>
  <si>
    <t>200 - link opens original platform post</t>
  </si>
  <si>
    <t>- Can connect with server
- User is MEMBER of workspace
- Post has platformPostUrl</t>
  </si>
  <si>
    <t>FR3.8.4-09</t>
  </si>
  <si>
    <t>[Boundary] View Post Track Detail with workspaceId = valid workspace, postId = published post</t>
  </si>
  <si>
    <t>200 - reaction/comment/share all 0</t>
  </si>
  <si>
    <t>- Can connect with server
- User is MEMBER of workspace
- Post has zero engagement</t>
  </si>
  <si>
    <t>FR3.8.4-10</t>
  </si>
  <si>
    <t>200 - reactionCount=2147483647</t>
  </si>
  <si>
    <t>- Can connect with server
- User is MEMBER of workspace
- Post has 2147483647 reactions</t>
  </si>
  <si>
    <t>FR3.8.4-11</t>
  </si>
  <si>
    <t>200 - counts 0/null with no timestamp</t>
  </si>
  <si>
    <t>- Can connect with server
- User is MEMBER of workspace
- Platform rate-limited, no cache</t>
  </si>
  <si>
    <t>FR3.8.4-12</t>
  </si>
  <si>
    <t>[Abnormal] View Post Track Detail with workspaceId = valid workspace, postId = null</t>
  </si>
  <si>
    <t>1. Prepare the state listed in Pre-conditions.
2. Call PostServiceImpl.get with: workspaceId = valid workspace; postId = null.
3. Check the response / error and the log.</t>
  </si>
  <si>
    <t>Error: POST_NOT_FOUND: Post not found</t>
  </si>
  <si>
    <t>FR3.8.4-13</t>
  </si>
  <si>
    <t>[Abnormal] View Post Track Detail with workspaceId = valid workspace, postId = non-existent id</t>
  </si>
  <si>
    <t>1. Prepare the state listed in Pre-conditions.
2. Call PostServiceImpl.get with: workspaceId = valid workspace; postId = non-existent id.
3. Check the response / error and the log.</t>
  </si>
  <si>
    <t>FR3.8.4-14</t>
  </si>
  <si>
    <t>[Abnormal] View Post Track Detail with workspaceId = valid workspace, postId = unpublished post</t>
  </si>
  <si>
    <t>1. Prepare the state listed in Pre-conditions.
2. Call PostServiceImpl.get with: workspaceId = valid workspace; postId = unpublished post.
3. Check the response / error and the log.</t>
  </si>
  <si>
    <t>- Can connect with server
- User is MEMBER of workspace
- Post PENDING (not published)</t>
  </si>
  <si>
    <t>FR3.8.4-15</t>
  </si>
  <si>
    <t>[Abnormal] View Post Track Detail with workspaceId = valid workspace, postId = failed post</t>
  </si>
  <si>
    <t>1. Prepare the state listed in Pre-conditions.
2. Call PostServiceImpl.get with: workspaceId = valid workspace; postId = failed post.
3. Check the response / error and the log.</t>
  </si>
  <si>
    <t>- Can connect with server
- User is MEMBER of workspace
- Post FAIL</t>
  </si>
  <si>
    <t>FR3.8.4-16</t>
  </si>
  <si>
    <t>[Abnormal] View Post Track Detail with workspaceId = valid workspace, postId = post of other workspace</t>
  </si>
  <si>
    <t>1. Prepare the state listed in Pre-conditions.
2. Call PostServiceImpl.get with: workspaceId = valid workspace; postId = post of other workspace.
3. Check the response / error and the log.</t>
  </si>
  <si>
    <t>- Can connect with server
- User is MEMBER of workspace
- Post belongs to other workspace</t>
  </si>
  <si>
    <t>FR3.8.4-17</t>
  </si>
  <si>
    <t>[Abnormal] View Post Track Detail with workspaceId = valid workspace, postId = published post</t>
  </si>
  <si>
    <t>FR3.8.5-01</t>
  </si>
  <si>
    <t>[Normal] View Comment Detail List with workspaceId = valid workspace, postId = published post</t>
  </si>
  <si>
    <t>1. Prepare the state listed in Pre-conditions.
2. Call PostCommentServiceImpl.listComments with: workspaceId = valid workspace; postId = published post.
3. Check the response / error and the log.</t>
  </si>
  <si>
    <t>200 - list of 3 {author, content, commentedAt}</t>
  </si>
  <si>
    <t>- Can connect with server
- User is MEMBER of workspace
- Post has 3 comments</t>
  </si>
  <si>
    <t>FR3.8.5-02</t>
  </si>
  <si>
    <t>200 - Facebook comments mapped</t>
  </si>
  <si>
    <t>- Can connect with server
- User is MEMBER of workspace
- Facebook post</t>
  </si>
  <si>
    <t>FR3.8.5-03</t>
  </si>
  <si>
    <t>200 - Instagram comments mapped</t>
  </si>
  <si>
    <t>- Can connect with server
- User is MEMBER of workspace
- Instagram post</t>
  </si>
  <si>
    <t>FR3.8.5-04</t>
  </si>
  <si>
    <t>200 - Threads replies mapped</t>
  </si>
  <si>
    <t>- Can connect with server
- User is MEMBER of workspace
- Threads post</t>
  </si>
  <si>
    <t>FR3.8.5-05</t>
  </si>
  <si>
    <t>200 - items include basic sentiment</t>
  </si>
  <si>
    <t>- Can connect with server
- User is MEMBER of workspace
- Platform returns sentiment</t>
  </si>
  <si>
    <t>FR3.8.5-06</t>
  </si>
  <si>
    <t>200 - items without sentiment</t>
  </si>
  <si>
    <t>- Can connect with server
- User is MEMBER of workspace
- Platform has no sentiment</t>
  </si>
  <si>
    <t>FR3.8.5-07</t>
  </si>
  <si>
    <t>200 - comments sorted by commentedAt</t>
  </si>
  <si>
    <t>- Can connect with server
- User is MEMBER of workspace
- Comments unordered</t>
  </si>
  <si>
    <t>FR3.8.5-08</t>
  </si>
  <si>
    <t>200 - cached comments returned</t>
  </si>
  <si>
    <t>- Can connect with server
- User is MEMBER of workspace
- Platform API fails, cache exists</t>
  </si>
  <si>
    <t>FR3.8.5-09</t>
  </si>
  <si>
    <t>[Boundary] View Comment Detail List with workspaceId = valid workspace, postId = published post</t>
  </si>
  <si>
    <t>- Can connect with server
- User is MEMBER of workspace
- Post has no comments</t>
  </si>
  <si>
    <t>FR3.8.5-10</t>
  </si>
  <si>
    <t>200 - list of 1 item</t>
  </si>
  <si>
    <t>- Can connect with server
- User is MEMBER of workspace
- Post has 1 comment</t>
  </si>
  <si>
    <t>FR3.8.5-11</t>
  </si>
  <si>
    <t>200 - all comments returned or paged</t>
  </si>
  <si>
    <t>- Can connect with server
- User is MEMBER of workspace
- Post has 10000 comments</t>
  </si>
  <si>
    <t>FR3.8.5-12</t>
  </si>
  <si>
    <t>200 - long content returned intact</t>
  </si>
  <si>
    <t>- Can connect with server
- User is MEMBER of workspace
- Comment with 8000 chars</t>
  </si>
  <si>
    <t>FR3.8.5-13</t>
  </si>
  <si>
    <t>[Abnormal] View Comment Detail List with workspaceId = valid workspace, postId = published post</t>
  </si>
  <si>
    <t>Error: PLATFORM_API_ERROR: 502 platform API error</t>
  </si>
  <si>
    <t>- Can connect with server
- User is MEMBER of workspace
- Platform API fails, no cache</t>
  </si>
  <si>
    <t>FR3.8.5-14</t>
  </si>
  <si>
    <t>[Abnormal] View Comment Detail List with workspaceId = valid workspace, postId = non-existent id</t>
  </si>
  <si>
    <t>1. Prepare the state listed in Pre-conditions.
2. Call PostCommentServiceImpl.listComments with: workspaceId = valid workspace; postId = non-existent id.
3. Check the response / error and the log.</t>
  </si>
  <si>
    <t>FR3.8.5-15</t>
  </si>
  <si>
    <t>[Abnormal] View Comment Detail List with workspaceId = valid workspace, postId = null</t>
  </si>
  <si>
    <t>1. Prepare the state listed in Pre-conditions.
2. Call PostCommentServiceImpl.listComments with: workspaceId = valid workspace; postId = null.
3. Check the response / error and the log.</t>
  </si>
  <si>
    <t>FR3.8.5-16</t>
  </si>
  <si>
    <t>[Abnormal] View Comment Detail List with workspaceId = valid workspace, postId = unpublished post</t>
  </si>
  <si>
    <t>1. Prepare the state listed in Pre-conditions.
2. Call PostCommentServiceImpl.listComments with: workspaceId = valid workspace; postId = unpublished post.
3. Check the response / error and the log.</t>
  </si>
  <si>
    <t>- Can connect with server
- User is MEMBER of workspace
- Post not published</t>
  </si>
  <si>
    <t>FR3.8.5-17</t>
  </si>
  <si>
    <t>FR3.8.5-18</t>
  </si>
  <si>
    <t>Error: SOCIAL_ACCOUNT_EXPIRED: Social account token has expired or been revoked</t>
  </si>
  <si>
    <t>- Can connect with server
- User is MEMBER of workspace
- Social token expired</t>
  </si>
  <si>
    <t>FR3.8.6-01</t>
  </si>
  <si>
    <t>[Normal] Preview Post with taskId = valid post task, platform = facebook</t>
  </si>
  <si>
    <t>1. Prepare the state listed in Pre-conditions.
2. Call PostPreviewServiceImpl.preview with: taskId = valid post task; platform = facebook.
3. Check the response / error and the log.</t>
  </si>
  <si>
    <t>200 - previewData for Facebook</t>
  </si>
  <si>
    <t>- Can connect with server
- User is MEMBER of workspace
- Task is post type</t>
  </si>
  <si>
    <t>FR3.8.6-02</t>
  </si>
  <si>
    <t>[Normal] Preview Post with taskId = valid post task, platform = instagram</t>
  </si>
  <si>
    <t>1. Prepare the state listed in Pre-conditions.
2. Call PostPreviewServiceImpl.preview with: taskId = valid post task; platform = instagram.
3. Check the response / error and the log.</t>
  </si>
  <si>
    <t>200 - previewData square/4:5 ratio</t>
  </si>
  <si>
    <t>FR3.8.6-03</t>
  </si>
  <si>
    <t>[Normal] Preview Post with taskId = valid post task, platform = tiktok</t>
  </si>
  <si>
    <t>1. Prepare the state listed in Pre-conditions.
2. Call PostPreviewServiceImpl.preview with: taskId = valid post task; platform = tiktok.
3. Check the response / error and the log.</t>
  </si>
  <si>
    <t>200 - previewData vertical 9:16</t>
  </si>
  <si>
    <t>FR3.8.6-04</t>
  </si>
  <si>
    <t>[Normal] Preview Post with taskId = valid post task, platform = threads</t>
  </si>
  <si>
    <t>1. Prepare the state listed in Pre-conditions.
2. Call PostPreviewServiceImpl.preview with: taskId = valid post task; platform = threads.
3. Check the response / error and the log.</t>
  </si>
  <si>
    <t>200 - previewData for Threads</t>
  </si>
  <si>
    <t>FR3.8.6-05</t>
  </si>
  <si>
    <t>200 - hashtags placed per platform format</t>
  </si>
  <si>
    <t>- Can connect with server
- User is MEMBER of workspace
- Task is post type
- Caption has hashtags</t>
  </si>
  <si>
    <t>FR3.8.6-06</t>
  </si>
  <si>
    <t>200 - image shown with platform aspect ratio</t>
  </si>
  <si>
    <t>- Can connect with server
- User is MEMBER of workspace
- Task is post type
- Task has image media</t>
  </si>
  <si>
    <t>FR3.8.6-07</t>
  </si>
  <si>
    <t>200 - video preview rendered</t>
  </si>
  <si>
    <t>- Can connect with server
- User is MEMBER of workspace
- Task is post type
- Task has video media</t>
  </si>
  <si>
    <t>FR3.8.6-08</t>
  </si>
  <si>
    <t>[Normal] Preview Post with taskId = valid post task, platform = FACEBOOK</t>
  </si>
  <si>
    <t>1. Prepare the state listed in Pre-conditions.
2. Call PostPreviewServiceImpl.preview with: taskId = valid post task; platform = FACEBOOK.
3. Check the response / error and the log.</t>
  </si>
  <si>
    <t>200 - platform parsed case-insensitively</t>
  </si>
  <si>
    <t>FR3.8.6-09</t>
  </si>
  <si>
    <t>[Boundary] Preview Post with taskId = valid post task, platform = threads</t>
  </si>
  <si>
    <t>200 - no limit warning</t>
  </si>
  <si>
    <t>- Can connect with server
- User is MEMBER of workspace
- Task is post type
- Caption 500 chars</t>
  </si>
  <si>
    <t>FR3.8.6-10</t>
  </si>
  <si>
    <t>200 - preview with over-limit warning, draft still saveable</t>
  </si>
  <si>
    <t>- Can connect with server
- User is MEMBER of workspace
- Task is post type
- Caption 501 chars</t>
  </si>
  <si>
    <t>FR3.8.6-11</t>
  </si>
  <si>
    <t>[Boundary] Preview Post with taskId = valid post task, platform = instagram</t>
  </si>
  <si>
    <t>- Can connect with server
- User is MEMBER of workspace
- Task is post type
- Caption 2200 chars</t>
  </si>
  <si>
    <t>FR3.8.6-12</t>
  </si>
  <si>
    <t>200 - over-limit warning shown</t>
  </si>
  <si>
    <t>- Can connect with server
- User is MEMBER of workspace
- Task is post type
- Caption 2201 chars</t>
  </si>
  <si>
    <t>FR3.8.6-13</t>
  </si>
  <si>
    <t>[Boundary] Preview Post with taskId = valid post task, platform = facebook</t>
  </si>
  <si>
    <t>200 - preview without caption</t>
  </si>
  <si>
    <t>- Can connect with server
- User is MEMBER of workspace
- Task is post type
- Caption empty</t>
  </si>
  <si>
    <t>FR3.8.6-14</t>
  </si>
  <si>
    <t>[Abnormal] Preview Post with taskId = valid post task, platform = myspace</t>
  </si>
  <si>
    <t>1. Prepare the state listed in Pre-conditions.
2. Call PostPreviewServiceImpl.preview with: taskId = valid post task; platform = myspace.
3. Check the response / error and the log.</t>
  </si>
  <si>
    <t>FR3.8.6-15</t>
  </si>
  <si>
    <t>[Abnormal] Preview Post with taskId = valid post task, platform = null</t>
  </si>
  <si>
    <t>1. Prepare the state listed in Pre-conditions.
2. Call PostPreviewServiceImpl.preview with: taskId = valid post task; platform = null.
3. Check the response / error and the log.</t>
  </si>
  <si>
    <t>FR3.8.6-16</t>
  </si>
  <si>
    <t>[Abnormal] Preview Post with taskId = non-existent id, platform = facebook</t>
  </si>
  <si>
    <t>1. Prepare the state listed in Pre-conditions.
2. Call PostPreviewServiceImpl.preview with: taskId = non-existent id; platform = facebook.
3. Check the response / error and the log.</t>
  </si>
  <si>
    <t>Error: TASK_NOT_FOUND: Task not found</t>
  </si>
  <si>
    <t>FR3.8.6-17</t>
  </si>
  <si>
    <t>[Abnormal] Preview Post with taskId = non-post task, platform = facebook</t>
  </si>
  <si>
    <t>1. Prepare the state listed in Pre-conditions.
2. Call PostPreviewServiceImpl.preview with: taskId = non-post task; platform = facebook.
3. Check the response / error and the log.</t>
  </si>
  <si>
    <t>Error: INVALID_TASK_TYPE: task is not a post</t>
  </si>
  <si>
    <t>- Can connect with server
- User is MEMBER of workspace
- Task is not post type</t>
  </si>
  <si>
    <t>FR3.8.6-18</t>
  </si>
  <si>
    <t>[Abnormal] Preview Post with taskId = valid post task, platform = facebook</t>
  </si>
  <si>
    <t>FR3.8.7-01</t>
  </si>
  <si>
    <t>[Normal] Schedule Platform Post with workspaceId = valid workspace, month = 2026-09</t>
  </si>
  <si>
    <t>1. Prepare the state listed in Pre-conditions.
2. Call PostScheduleServiceImpl.getSchedule with: workspaceId = valid workspace; month = 2026-09.
3. Check the response / error and the log.</t>
  </si>
  <si>
    <t>200 - 3 items {postId, platform, scheduledAt}</t>
  </si>
  <si>
    <t>- Can connect with server
- User is MEMBER of workspace
- 3 scheduled posts in 2026-09</t>
  </si>
  <si>
    <t>FR3.8.7-02</t>
  </si>
  <si>
    <t>200 - scheduledAt in workspace timezone (+07:00)</t>
  </si>
  <si>
    <t>- Can connect with server
- User is MEMBER of workspace
- Workspace timezone Asia/Ho_Chi_Minh</t>
  </si>
  <si>
    <t>FR3.8.7-03</t>
  </si>
  <si>
    <t>200 - scheduledAt in UTC</t>
  </si>
  <si>
    <t>- Can connect with server
- User is MEMBER of workspace
- Workspace timezone UTC</t>
  </si>
  <si>
    <t>FR3.8.7-04</t>
  </si>
  <si>
    <t>200 - each item carries its platform</t>
  </si>
  <si>
    <t>FR3.8.7-05</t>
  </si>
  <si>
    <t>200 - only September posts returned</t>
  </si>
  <si>
    <t>- Can connect with server
- User is MEMBER of workspace
- Posts in other months</t>
  </si>
  <si>
    <t>FR3.8.7-06</t>
  </si>
  <si>
    <t>200 - items sorted by scheduledAt ascending</t>
  </si>
  <si>
    <t>- Can connect with server
- User is MEMBER of workspace
- Posts PENDING and DONE</t>
  </si>
  <si>
    <t>FR3.8.7-07</t>
  </si>
  <si>
    <t>[Normal] Schedule Platform Post with workspaceId = valid workspace, month = 2026-10</t>
  </si>
  <si>
    <t>1. Prepare the state listed in Pre-conditions.
2. Call PostScheduleServiceImpl.getSchedule with: workspaceId = valid workspace; month = 2026-10.
3. Check the response / error and the log.</t>
  </si>
  <si>
    <t>- Can connect with server
- User is MEMBER of workspace
- Month has no scheduled posts</t>
  </si>
  <si>
    <t>FR3.8.7-08</t>
  </si>
  <si>
    <t>200 - only current workspace posts</t>
  </si>
  <si>
    <t>FR3.8.7-09</t>
  </si>
  <si>
    <t>[Boundary] Schedule Platform Post with workspaceId = valid workspace, month = 2026-09</t>
  </si>
  <si>
    <t>200 - post included in September</t>
  </si>
  <si>
    <t>- Can connect with server
- User is MEMBER of workspace
- Post at 2026-09-01 00:00 workspace tz</t>
  </si>
  <si>
    <t>FR3.8.7-10</t>
  </si>
  <si>
    <t>- Can connect with server
- User is MEMBER of workspace
- Post at 2026-09-30 23:59 workspace tz</t>
  </si>
  <si>
    <t>FR3.8.7-11</t>
  </si>
  <si>
    <t>200 - post shown on 2026-10-01 in October</t>
  </si>
  <si>
    <t>- Can connect with server
- User is MEMBER of workspace
- Post 2026-09-30 20:00 UTC, tz +07:00</t>
  </si>
  <si>
    <t>FR3.8.7-12</t>
  </si>
  <si>
    <t>[Boundary] Schedule Platform Post with workspaceId = valid workspace, month = 2028-02</t>
  </si>
  <si>
    <t>1. Prepare the state listed in Pre-conditions.
2. Call PostScheduleServiceImpl.getSchedule with: workspaceId = valid workspace; month = 2028-02.
3. Check the response / error and the log.</t>
  </si>
  <si>
    <t>200 - includes 29 Feb posts</t>
  </si>
  <si>
    <t>- Can connect with server
- User is MEMBER of workspace
- Leap year</t>
  </si>
  <si>
    <t>FR3.8.7-13</t>
  </si>
  <si>
    <t>[Abnormal] Schedule Platform Post with workspaceId = valid workspace, month = 2026-13</t>
  </si>
  <si>
    <t>1. Prepare the state listed in Pre-conditions.
2. Call PostScheduleServiceImpl.getSchedule with: workspaceId = valid workspace; month = 2026-13.
3. Check the response / error and the log.</t>
  </si>
  <si>
    <t>Error: VALIDATION_ERROR: invalid month format</t>
  </si>
  <si>
    <t>FR3.8.7-14</t>
  </si>
  <si>
    <t>[Abnormal] Schedule Platform Post with workspaceId = valid workspace, month = invalid</t>
  </si>
  <si>
    <t>1. Prepare the state listed in Pre-conditions.
2. Call PostScheduleServiceImpl.getSchedule with: workspaceId = valid workspace; month = invalid.
3. Check the response / error and the log.</t>
  </si>
  <si>
    <t>FR3.8.7-15</t>
  </si>
  <si>
    <t>[Abnormal] Schedule Platform Post with workspaceId = valid workspace, month = null</t>
  </si>
  <si>
    <t>1. Prepare the state listed in Pre-conditions.
2. Call PostScheduleServiceImpl.getSchedule with: workspaceId = valid workspace; month = null.
3. Check the response / error and the log.</t>
  </si>
  <si>
    <t>Error: VALIDATION_ERROR: month is required</t>
  </si>
  <si>
    <t>FR3.8.7-16</t>
  </si>
  <si>
    <t>[Abnormal] Schedule Platform Post with workspaceId = non-existent id, month = 2026-09</t>
  </si>
  <si>
    <t>1. Prepare the state listed in Pre-conditions.
2. Call PostScheduleServiceImpl.getSchedule with: workspaceId = non-existent id; month = 2026-09.
3. Check the response / error and the log.</t>
  </si>
  <si>
    <t>FR3.8.7-17</t>
  </si>
  <si>
    <t>[Abnormal] Schedule Platform Post with workspaceId = valid workspace, month = 2026-09</t>
  </si>
  <si>
    <t>FR3.8.8-01</t>
  </si>
  <si>
    <t>[Normal] View Status Tracking with workspaceId = valid workspace, postId = valid post</t>
  </si>
  <si>
    <t>1. Prepare the state listed in Pre-conditions.
2. Call PostStatusServiceImpl.getStatus with: workspaceId = valid workspace; postId = valid post.
3. Check the response / error and the log.</t>
  </si>
  <si>
    <t>200 - status=PENDING</t>
  </si>
  <si>
    <t>- Can connect with server
- User is MEMBER of workspace
- Post status PENDING</t>
  </si>
  <si>
    <t>FR3.8.8-02</t>
  </si>
  <si>
    <t>- Can connect with server
- User is MEMBER of workspace
- Post status IN_PROGRESS</t>
  </si>
  <si>
    <t>FR3.8.8-03</t>
  </si>
  <si>
    <t>200 - status=DONE</t>
  </si>
  <si>
    <t>- Can connect with server
- User is MEMBER of workspace
- Post status DONE</t>
  </si>
  <si>
    <t>FR3.8.8-04</t>
  </si>
  <si>
    <t>200 - status=FAIL, failReason present</t>
  </si>
  <si>
    <t>- Can connect with server
- User is MEMBER of workspace
- Post status FAIL</t>
  </si>
  <si>
    <t>FR3.8.8-05</t>
  </si>
  <si>
    <t>200 - failReason=TOKEN_EXPIRED</t>
  </si>
  <si>
    <t>- Can connect with server
- User is MEMBER of workspace
- FAIL reason TOKEN_EXPIRED</t>
  </si>
  <si>
    <t>FR3.8.8-06</t>
  </si>
  <si>
    <t>200 - failReason=account disconnected</t>
  </si>
  <si>
    <t>- Can connect with server
- User is MEMBER of workspace
- FAIL due to account disconnected</t>
  </si>
  <si>
    <t>FR3.8.8-07</t>
  </si>
  <si>
    <t>200 - latest status returned</t>
  </si>
  <si>
    <t>- Can connect with server
- User is MEMBER of workspace
- Status just changed to DONE</t>
  </si>
  <si>
    <t>FR3.8.8-08</t>
  </si>
  <si>
    <t>200 - no failReason field</t>
  </si>
  <si>
    <t>- Can connect with server
- User is MEMBER of workspace
- Post DONE</t>
  </si>
  <si>
    <t>FR3.8.8-09</t>
  </si>
  <si>
    <t>[Boundary] View Status Tracking with workspaceId = valid workspace, postId = valid post</t>
  </si>
  <si>
    <t>200 - initial status PENDING</t>
  </si>
  <si>
    <t>- Can connect with server
- User is MEMBER of workspace
- Post just created</t>
  </si>
  <si>
    <t>FR3.8.8-10</t>
  </si>
  <si>
    <t>200 - long failReason returned intact</t>
  </si>
  <si>
    <t>- Can connect with server
- User is MEMBER of workspace
- FAIL reason 1000 chars</t>
  </si>
  <si>
    <t>FR3.8.8-11</t>
  </si>
  <si>
    <t>200 - status=FAIL, failReason omitted</t>
  </si>
  <si>
    <t>- Can connect with server
- User is MEMBER of workspace
- FAIL with null reason</t>
  </si>
  <si>
    <t>FR3.8.8-12</t>
  </si>
  <si>
    <t>[Abnormal] View Status Tracking with workspaceId = valid workspace, postId = null</t>
  </si>
  <si>
    <t>1. Prepare the state listed in Pre-conditions.
2. Call PostStatusServiceImpl.getStatus with: workspaceId = valid workspace; postId = null.
3. Check the response / error and the log.</t>
  </si>
  <si>
    <t>FR3.8.8-13</t>
  </si>
  <si>
    <t>[Abnormal] View Status Tracking with workspaceId = valid workspace, postId = non-existent id</t>
  </si>
  <si>
    <t>1. Prepare the state listed in Pre-conditions.
2. Call PostStatusServiceImpl.getStatus with: workspaceId = valid workspace; postId = non-existent id.
3. Check the response / error and the log.</t>
  </si>
  <si>
    <t>FR3.8.8-14</t>
  </si>
  <si>
    <t>[Abnormal] View Status Tracking with workspaceId = valid workspace, postId = post of other workspace</t>
  </si>
  <si>
    <t>1. Prepare the state listed in Pre-conditions.
2. Call PostStatusServiceImpl.getStatus with: workspaceId = valid workspace; postId = post of other workspace.
3. Check the response / error and the log.</t>
  </si>
  <si>
    <t>FR3.8.8-15</t>
  </si>
  <si>
    <t>[Abnormal] View Status Tracking with workspaceId = non-existent id, postId = valid post</t>
  </si>
  <si>
    <t>1. Prepare the state listed in Pre-conditions.
2. Call PostStatusServiceImpl.getStatus with: workspaceId = non-existent id; postId = valid post.
3. Check the response / error and the log.</t>
  </si>
  <si>
    <t>FR3.8.8-16</t>
  </si>
  <si>
    <t>[Abnormal] View Status Tracking with workspaceId = valid workspace, postId = valid post</t>
  </si>
  <si>
    <t>FR3.8.8-17</t>
  </si>
  <si>
    <t>FR3.8.9-01</t>
  </si>
  <si>
    <t>[Normal] Publish Facebook Post with platform = FACEBOOK, content = text only, mediaUrls = empty</t>
  </si>
  <si>
    <t>1. Prepare the state listed in Pre-conditions.
2. Call FacebookPublishServiceImpl.publish with: platform = FACEBOOK; content = text only; mediaUrls = empty; targetId = page 123.
3. Check the response / error and the log.</t>
  </si>
  <si>
    <t>PublishResult SUCCESS, platformPostId=post_id (POST /123/feed)
Log: Successfully published to Facebook</t>
  </si>
  <si>
    <t>- Can connect with server
- Job message delivered by RabbitMQ
- Facebook token valid</t>
  </si>
  <si>
    <t>Phước</t>
  </si>
  <si>
    <t>FR3.8.9-02</t>
  </si>
  <si>
    <t>1. Prepare the state listed in Pre-conditions.
2. Call FacebookPublishServiceImpl.publish with: platform = FACEBOOK; content = text only; mediaUrls = empty; targetId = null.
3. Check the response / error and the log.</t>
  </si>
  <si>
    <t>PublishResult SUCCESS - endpoint /me/feed</t>
  </si>
  <si>
    <t>FR3.8.9-03</t>
  </si>
  <si>
    <t>[Normal] Publish Facebook Post with platform = FACEBOOK, content = caption, mediaUrls = 1 jpg url</t>
  </si>
  <si>
    <t>1. Prepare the state listed in Pre-conditions.
2. Call FacebookPublishServiceImpl.publish with: platform = FACEBOOK; content = caption; mediaUrls = 1 jpg url; targetId = page 123.
3. Check the response / error and the log.</t>
  </si>
  <si>
    <t>PublishResult SUCCESS - POST /123/photos with url+message</t>
  </si>
  <si>
    <t>FR3.8.9-04</t>
  </si>
  <si>
    <t>[Normal] Publish Facebook Post with platform = FACEBOOK, content = caption, mediaUrls = 1 mp4 url</t>
  </si>
  <si>
    <t>1. Prepare the state listed in Pre-conditions.
2. Call FacebookPublishServiceImpl.publish with: platform = FACEBOOK; content = caption; mediaUrls = 1 mp4 url; targetId = page 123.
3. Check the response / error and the log.</t>
  </si>
  <si>
    <t>PublishResult SUCCESS - POST /123/videos with file_url+description</t>
  </si>
  <si>
    <t>FR3.8.9-05</t>
  </si>
  <si>
    <t>[Normal] Publish Facebook Post with platform = FACEBOOK, content = caption, mediaUrls = 1 avi url</t>
  </si>
  <si>
    <t>1. Prepare the state listed in Pre-conditions.
2. Call FacebookPublishServiceImpl.publish with: platform = FACEBOOK; content = caption; mediaUrls = 1 avi url; targetId = page 123.
3. Check the response / error and the log.</t>
  </si>
  <si>
    <t>PublishResult SUCCESS - detected as video</t>
  </si>
  <si>
    <t>FR3.8.9-06</t>
  </si>
  <si>
    <t>[Normal] Publish Facebook Post with platform = FACEBOOK, content = null, mediaUrls = 1 jpg url</t>
  </si>
  <si>
    <t>1. Prepare the state listed in Pre-conditions.
2. Call FacebookPublishServiceImpl.publish with: platform = FACEBOOK; content = null; mediaUrls = 1 jpg url; targetId = page 123.
3. Check the response / error and the log.</t>
  </si>
  <si>
    <t>PublishResult SUCCESS - photo without message</t>
  </si>
  <si>
    <t>FR3.8.9-07</t>
  </si>
  <si>
    <t>PublishResult SUCCESS - platformPostId=post_id preferred over id</t>
  </si>
  <si>
    <t>- Can connect with server
- Job message delivered by RabbitMQ
- Facebook token valid
- Response has post_id</t>
  </si>
  <si>
    <t>FR3.8.9-08</t>
  </si>
  <si>
    <t>[Normal] Publish Facebook Post with platform = FACEBOOK, content = caption, mediaUrls = mp4 url with ?token=1</t>
  </si>
  <si>
    <t>1. Prepare the state listed in Pre-conditions.
2. Call FacebookPublishServiceImpl.publish with: platform = FACEBOOK; content = caption; mediaUrls = mp4 url with ?token=1; targetId = page 123.
3. Check the response / error and the log.</t>
  </si>
  <si>
    <t>PublishResult SUCCESS - query string ignored when detecting video</t>
  </si>
  <si>
    <t>FR3.8.9-09</t>
  </si>
  <si>
    <t>[Boundary] Publish Facebook Post with platform = FACEBOOK, content = empty, mediaUrls = empty</t>
  </si>
  <si>
    <t>1. Prepare the state listed in Pre-conditions.
2. Call FacebookPublishServiceImpl.publish with: platform = FACEBOOK; content = empty; mediaUrls = empty; targetId = page 123.
3. Check the response / error and the log.</t>
  </si>
  <si>
    <t>PublishResult SUCCESS - message not added (empty content)</t>
  </si>
  <si>
    <t>FR3.8.9-10</t>
  </si>
  <si>
    <t>[Boundary] Publish Facebook Post with platform = FACEBOOK, content = text only, mediaUrls = empty</t>
  </si>
  <si>
    <t>1. Prepare the state listed in Pre-conditions.
2. Call FacebookPublishServiceImpl.publish with: platform = FACEBOOK; content = text only; mediaUrls = empty; targetId = blank spaces.
3. Check the response / error and the log.</t>
  </si>
  <si>
    <t>PublishResult SUCCESS - blank targetId falls back to /me</t>
  </si>
  <si>
    <t>FR3.8.9-11</t>
  </si>
  <si>
    <t>[Boundary] Publish Facebook Post with platform = FACEBOOK, content = caption, mediaUrls = 2 urls</t>
  </si>
  <si>
    <t>1. Prepare the state listed in Pre-conditions.
2. Call FacebookPublishServiceImpl.publish with: platform = FACEBOOK; content = caption; mediaUrls = 2 urls; targetId = page 123.
3. Check the response / error and the log.</t>
  </si>
  <si>
    <t>PublishResult SUCCESS - only first media url used</t>
  </si>
  <si>
    <t>FR3.8.9-12</t>
  </si>
  <si>
    <t>PublishResult SUCCESS - call throttled ~2s after previous call</t>
  </si>
  <si>
    <t>- Can connect with server
- Job message delivered by RabbitMQ
- Facebook token valid
- Rate limiter 0.5 req/s</t>
  </si>
  <si>
    <t>FR3.8.9-13</t>
  </si>
  <si>
    <t>[Abnormal] Publish Facebook Post with platform = FACEBOOK, content = text only, mediaUrls = empty</t>
  </si>
  <si>
    <t>PublishResult FAILED, errorCode=401, 'Invalid Facebook Token' (TOKEN_EXPIRED)</t>
  </si>
  <si>
    <t>- Can connect with server
- Job message delivered by RabbitMQ
- Facebook token valid
- Facebook returns HTTP 401</t>
  </si>
  <si>
    <t>FR3.8.9-14</t>
  </si>
  <si>
    <t>[Abnormal] Publish Facebook Post with platform = FACEBOOK, content = over-limit content, mediaUrls = empty</t>
  </si>
  <si>
    <t>1. Prepare the state listed in Pre-conditions.
2. Call FacebookPublishServiceImpl.publish with: platform = FACEBOOK; content = over-limit content; mediaUrls = empty; targetId = page 123.
3. Check the response / error and the log.</t>
  </si>
  <si>
    <t>PublishResult FAILED, errorCode=401, 'Invalid Facebook Token: &lt;platform detail&gt;'</t>
  </si>
  <si>
    <t>- Can connect with server
- Job message delivered by RabbitMQ
- Facebook token valid
- Facebook returns HTTP 400</t>
  </si>
  <si>
    <t>FR3.8.9-15</t>
  </si>
  <si>
    <t>PublishResult FAILED, errorCode=429, 'Rate Limit Exceeded'</t>
  </si>
  <si>
    <t>- Can connect with server
- Job message delivered by RabbitMQ
- Facebook token valid
- Facebook returns HTTP 429</t>
  </si>
  <si>
    <t>FR3.8.9-16</t>
  </si>
  <si>
    <t>PublishResult FAILED, errorCode=500, 'Facebook API HTTP Error'</t>
  </si>
  <si>
    <t>- Can connect with server
- Job message delivered by RabbitMQ
- Facebook token valid
- Facebook returns HTTP 500</t>
  </si>
  <si>
    <t>FR3.8.9-17</t>
  </si>
  <si>
    <t>PublishResult FAILED, errorCode=500, 'Facebook API Error: &lt;message&gt;'</t>
  </si>
  <si>
    <t>- Can connect with server
- Job message delivered by RabbitMQ
- Facebook token valid
- Response body has error object</t>
  </si>
  <si>
    <t>FR3.8.9-18</t>
  </si>
  <si>
    <t>1. Prepare the state listed in Pre-conditions.
2. Call FacebookPublishServiceImpl.publish with: platform = FACEBOOK; content = text only; mediaUrls = empty; targetId = page 123; accessToken = corrupted ciphertext.
3. Check the response / error and the log.</t>
  </si>
  <si>
    <t>PublishResult FAILED, errorCode=SYSTEM_ERROR</t>
  </si>
  <si>
    <t>- Can connect with server
- Job message delivered by RabbitMQ
- Facebook token valid
- Token cannot be decrypted</t>
  </si>
  <si>
    <t>FR3.8.9-19</t>
  </si>
  <si>
    <t>PublishResult FAILED, errorCode=UNKNOWN_ERROR</t>
  </si>
  <si>
    <t>- Can connect with server
- Job message delivered by RabbitMQ
- Facebook token valid
- Response has no id and no error</t>
  </si>
  <si>
    <t>FR3.8.10-01</t>
  </si>
  <si>
    <t>[Normal] Publish Facebook Story with platform = FACEBOOK, content = caption, mediaUrls = 1 jpg url</t>
  </si>
  <si>
    <t>1. Prepare the state listed in Pre-conditions.
2. Call FacebookPublishServiceImpl.publishStory (planned) with: platform = FACEBOOK; content = caption; mediaUrls = 1 jpg url; targetId = page 123; postType = story.
3. Check the response / error and the log.</t>
  </si>
  <si>
    <t>PublishResult SUCCESS - story published via /photo_stories
Log: Successfully published to Facebook</t>
  </si>
  <si>
    <t>FR3.8.10-02</t>
  </si>
  <si>
    <t>[Normal] Publish Facebook Story with platform = FACEBOOK, content = null, mediaUrls = 1 jpg url</t>
  </si>
  <si>
    <t>1. Prepare the state listed in Pre-conditions.
2. Call FacebookPublishServiceImpl.publishStory (planned) with: platform = FACEBOOK; content = null; mediaUrls = 1 jpg url; targetId = page 123; postType = story.
3. Check the response / error and the log.</t>
  </si>
  <si>
    <t>PublishResult SUCCESS - story published via /photo_stories without caption</t>
  </si>
  <si>
    <t>FR3.8.10-03</t>
  </si>
  <si>
    <t>1. Prepare the state listed in Pre-conditions.
2. Call FacebookPublishServiceImpl.publishStory (planned) with: platform = FACEBOOK; content = caption; mediaUrls = 1 jpg url; targetId = null; postType = story.
3. Check the response / error and the log.</t>
  </si>
  <si>
    <t>PublishResult SUCCESS - story published via /photo_stories on default target</t>
  </si>
  <si>
    <t>FR3.8.10-04</t>
  </si>
  <si>
    <t>Status tracking updated: PENDING -&gt; IN_PROGRESS -&gt; DONE</t>
  </si>
  <si>
    <t>FR3.8.10-05</t>
  </si>
  <si>
    <t>PublishResult carries platformPostId</t>
  </si>
  <si>
    <t>FR3.8.10-06</t>
  </si>
  <si>
    <t>[Normal] Publish Facebook Story with platform = FACEBOOK, postType = story</t>
  </si>
  <si>
    <t>1. Prepare the state listed in Pre-conditions.
2. Call FacebookPublishServiceImpl.publishStory (planned) with: platform = FACEBOOK; postType = story.
3. Check the response / error and the log.</t>
  </si>
  <si>
    <t>Job is queued to RabbitMQ publish queue</t>
  </si>
  <si>
    <t>- Can connect with server
- Job message delivered by RabbitMQ
- Facebook token valid
- Task COMPLETED with targetPlatform=Facebook</t>
  </si>
  <si>
    <t>FR3.8.10-07</t>
  </si>
  <si>
    <t>Duplicate job message with same postId discarded (Redis lock)</t>
  </si>
  <si>
    <t>FR3.8.10-08</t>
  </si>
  <si>
    <t>Rate limiter keeps calls 2s apart</t>
  </si>
  <si>
    <t>FR3.8.10-09</t>
  </si>
  <si>
    <t>[Boundary] Publish Facebook Story with platform = FACEBOOK, content = empty, mediaUrls = 1 jpg url</t>
  </si>
  <si>
    <t>1. Prepare the state listed in Pre-conditions.
2. Call FacebookPublishServiceImpl.publishStory (planned) with: platform = FACEBOOK; content = empty; mediaUrls = 1 jpg url; targetId = page 123; postType = story.
3. Check the response / error and the log.</t>
  </si>
  <si>
    <t>PublishResult SUCCESS - story published via /photo_stories with empty caption</t>
  </si>
  <si>
    <t>FR3.8.10-10</t>
  </si>
  <si>
    <t>[Boundary] Publish Facebook Story with platform = FACEBOOK, content = caption, mediaUrls = 1 mp4 url</t>
  </si>
  <si>
    <t>1. Prepare the state listed in Pre-conditions.
2. Call FacebookPublishServiceImpl.publishStory (planned) with: platform = FACEBOOK; content = caption; mediaUrls = 1 mp4 url; targetId = page 123; postType = story.
3. Check the response / error and the log.</t>
  </si>
  <si>
    <t>PublishResult SUCCESS - video story published</t>
  </si>
  <si>
    <t>FR3.8.10-11</t>
  </si>
  <si>
    <t>[Boundary] Publish Facebook Story with platform = FACEBOOK, content = caption, mediaUrls = 1 jpg url</t>
  </si>
  <si>
    <t>1. Prepare the state listed in Pre-conditions.
2. Call FacebookPublishServiceImpl.publishStory (planned) with: platform = FACEBOOK; content = caption; mediaUrls = 1 jpg url; targetId = blank spaces; postType = story.
3. Check the response / error and the log.</t>
  </si>
  <si>
    <t>PublishResult SUCCESS - story published via /photo_stories - blank targetId falls back to default</t>
  </si>
  <si>
    <t>FR3.8.10-12</t>
  </si>
  <si>
    <t>[Abnormal] Publish Facebook Story with platform = FACEBOOK, content = caption, mediaUrls = empty</t>
  </si>
  <si>
    <t>1. Prepare the state listed in Pre-conditions.
2. Call FacebookPublishServiceImpl.publishStory (planned) with: platform = FACEBOOK; content = caption; mediaUrls = empty; targetId = page 123; postType = story.
3. Check the response / error and the log.</t>
  </si>
  <si>
    <t>PublishResult FAILED - media required for story</t>
  </si>
  <si>
    <t>FR3.8.10-13</t>
  </si>
  <si>
    <t>[Abnormal] Publish Facebook Story with platform = FACEBOOK, content = caption, mediaUrls = 1 jpg url</t>
  </si>
  <si>
    <t>PublishResult FAILED, reason TOKEN_EXPIRED, Client must reconnect</t>
  </si>
  <si>
    <t>FR3.8.10-14</t>
  </si>
  <si>
    <t>[Abnormal] Publish Facebook Story with platform = FACEBOOK, content = caption, mediaUrls = unsupported gif url</t>
  </si>
  <si>
    <t>1. Prepare the state listed in Pre-conditions.
2. Call FacebookPublishServiceImpl.publishStory (planned) with: platform = FACEBOOK; content = caption; mediaUrls = unsupported gif url; targetId = page 123; postType = story.
3. Check the response / error and the log.</t>
  </si>
  <si>
    <t>PublishResult FAILED with specific platform reason</t>
  </si>
  <si>
    <t>FR3.8.10-15</t>
  </si>
  <si>
    <t>PublishResult FAILED, errorCode=429</t>
  </si>
  <si>
    <t>FR3.8.10-16</t>
  </si>
  <si>
    <t>PublishResult FAILED, errorCode=500</t>
  </si>
  <si>
    <t>FR3.8.10-17</t>
  </si>
  <si>
    <t>Post set to FAIL, reason account disconnected, nothing published</t>
  </si>
  <si>
    <t>- Can connect with server
- Job message delivered by RabbitMQ
- Facebook token valid
- Account disconnected while job queued</t>
  </si>
  <si>
    <t>FR3.8.10-18</t>
  </si>
  <si>
    <t>FR3.8.11-01</t>
  </si>
  <si>
    <t>[Normal] Publish Facebook Reels with platform = FACEBOOK, content = caption, mediaUrls = 1 mp4 url</t>
  </si>
  <si>
    <t>1. Prepare the state listed in Pre-conditions.
2. Call FacebookPublishServiceImpl.publishReel (planned) with: platform = FACEBOOK; content = caption; mediaUrls = 1 mp4 url; targetId = page 123; postType = reel.
3. Check the response / error and the log.</t>
  </si>
  <si>
    <t>PublishResult SUCCESS - reel published via /video_reels
Log: Successfully published to Facebook</t>
  </si>
  <si>
    <t>FR3.8.11-02</t>
  </si>
  <si>
    <t>[Normal] Publish Facebook Reels with platform = FACEBOOK, content = null, mediaUrls = 1 mp4 url</t>
  </si>
  <si>
    <t>1. Prepare the state listed in Pre-conditions.
2. Call FacebookPublishServiceImpl.publishReel (planned) with: platform = FACEBOOK; content = null; mediaUrls = 1 mp4 url; targetId = page 123; postType = reel.
3. Check the response / error and the log.</t>
  </si>
  <si>
    <t>PublishResult SUCCESS - reel published via /video_reels without caption</t>
  </si>
  <si>
    <t>FR3.8.11-03</t>
  </si>
  <si>
    <t>1. Prepare the state listed in Pre-conditions.
2. Call FacebookPublishServiceImpl.publishReel (planned) with: platform = FACEBOOK; content = caption; mediaUrls = 1 mp4 url; targetId = null; postType = reel.
3. Check the response / error and the log.</t>
  </si>
  <si>
    <t>PublishResult SUCCESS - reel published via /video_reels on default target</t>
  </si>
  <si>
    <t>FR3.8.11-04</t>
  </si>
  <si>
    <t>FR3.8.11-05</t>
  </si>
  <si>
    <t>FR3.8.11-06</t>
  </si>
  <si>
    <t>[Normal] Publish Facebook Reels with platform = FACEBOOK, postType = reel</t>
  </si>
  <si>
    <t>1. Prepare the state listed in Pre-conditions.
2. Call FacebookPublishServiceImpl.publishReel (planned) with: platform = FACEBOOK; postType = reel.
3. Check the response / error and the log.</t>
  </si>
  <si>
    <t>FR3.8.11-07</t>
  </si>
  <si>
    <t>FR3.8.11-08</t>
  </si>
  <si>
    <t>FR3.8.11-09</t>
  </si>
  <si>
    <t>[Boundary] Publish Facebook Reels with platform = FACEBOOK, content = empty, mediaUrls = 1 mp4 url</t>
  </si>
  <si>
    <t>1. Prepare the state listed in Pre-conditions.
2. Call FacebookPublishServiceImpl.publishReel (planned) with: platform = FACEBOOK; content = empty; mediaUrls = 1 mp4 url; targetId = page 123; postType = reel.
3. Check the response / error and the log.</t>
  </si>
  <si>
    <t>PublishResult SUCCESS - reel published via /video_reels with empty caption</t>
  </si>
  <si>
    <t>FR3.8.11-10</t>
  </si>
  <si>
    <t>[Boundary] Publish Facebook Reels with platform = FACEBOOK, content = caption, mediaUrls = mp4 url 90s long</t>
  </si>
  <si>
    <t>1. Prepare the state listed in Pre-conditions.
2. Call FacebookPublishServiceImpl.publishReel (planned) with: platform = FACEBOOK; content = caption; mediaUrls = mp4 url 90s long; targetId = page 123; postType = reel.
3. Check the response / error and the log.</t>
  </si>
  <si>
    <t>PublishResult SUCCESS - reel at max length accepted</t>
  </si>
  <si>
    <t>FR3.8.11-11</t>
  </si>
  <si>
    <t>[Boundary] Publish Facebook Reels with platform = FACEBOOK, content = caption, mediaUrls = 1 mp4 url</t>
  </si>
  <si>
    <t>1. Prepare the state listed in Pre-conditions.
2. Call FacebookPublishServiceImpl.publishReel (planned) with: platform = FACEBOOK; content = caption; mediaUrls = 1 mp4 url; targetId = blank spaces; postType = reel.
3. Check the response / error and the log.</t>
  </si>
  <si>
    <t>PublishResult SUCCESS - reel published via /video_reels - blank targetId falls back to default</t>
  </si>
  <si>
    <t>FR3.8.11-12</t>
  </si>
  <si>
    <t>[Abnormal] Publish Facebook Reels with platform = FACEBOOK, content = caption, mediaUrls = empty</t>
  </si>
  <si>
    <t>1. Prepare the state listed in Pre-conditions.
2. Call FacebookPublishServiceImpl.publishReel (planned) with: platform = FACEBOOK; content = caption; mediaUrls = empty; targetId = page 123; postType = reel.
3. Check the response / error and the log.</t>
  </si>
  <si>
    <t>PublishResult FAILED - media required for reel</t>
  </si>
  <si>
    <t>FR3.8.11-13</t>
  </si>
  <si>
    <t>[Abnormal] Publish Facebook Reels with platform = FACEBOOK, content = caption, mediaUrls = 1 mp4 url</t>
  </si>
  <si>
    <t>FR3.8.11-14</t>
  </si>
  <si>
    <t>[Abnormal] Publish Facebook Reels with platform = FACEBOOK, content = caption, mediaUrls = jpg url instead of video</t>
  </si>
  <si>
    <t>1. Prepare the state listed in Pre-conditions.
2. Call FacebookPublishServiceImpl.publishReel (planned) with: platform = FACEBOOK; content = caption; mediaUrls = jpg url instead of video; targetId = page 123; postType = reel.
3. Check the response / error and the log.</t>
  </si>
  <si>
    <t>FR3.8.11-15</t>
  </si>
  <si>
    <t>FR3.8.11-16</t>
  </si>
  <si>
    <t>FR3.8.11-17</t>
  </si>
  <si>
    <t>FR3.8.11-18</t>
  </si>
  <si>
    <t>FR3.8.12-01</t>
  </si>
  <si>
    <t>[Normal] Publish Instagram Post with platform = INSTAGRAM, content = caption, mediaUrls = 1 jpg url</t>
  </si>
  <si>
    <t>1. Prepare the state listed in Pre-conditions.
2. Call InstagramPublishServiceImpl.publish with: platform = INSTAGRAM; content = caption; mediaUrls = 1 jpg url; targetId = ig user 1.
3. Check the response / error and the log.</t>
  </si>
  <si>
    <t>PublishResult SUCCESS, platformPostId=post id
Log: Successfully published to Instagram</t>
  </si>
  <si>
    <t>- Can connect with server
- Job message delivered by RabbitMQ
- Instagram token valid</t>
  </si>
  <si>
    <t>FR3.8.12-02</t>
  </si>
  <si>
    <t>[Normal] Publish Instagram Post with platform = INSTAGRAM, content = caption, mediaUrls = 3 jpg urls</t>
  </si>
  <si>
    <t>1. Prepare the state listed in Pre-conditions.
2. Call InstagramPublishServiceImpl.publish with: platform = INSTAGRAM; content = caption; mediaUrls = 3 jpg urls; targetId = ig user 1.
3. Check the response / error and the log.</t>
  </si>
  <si>
    <t>PublishResult SUCCESS - carousel parent container published</t>
  </si>
  <si>
    <t>FR3.8.12-03</t>
  </si>
  <si>
    <t>[Normal] Publish Instagram Post with platform = INSTAGRAM, content = null, mediaUrls = 1 jpg url</t>
  </si>
  <si>
    <t>1. Prepare the state listed in Pre-conditions.
2. Call InstagramPublishServiceImpl.publish with: platform = INSTAGRAM; content = null; mediaUrls = 1 jpg url; targetId = ig user 1.
3. Check the response / error and the log.</t>
  </si>
  <si>
    <t>PublishResult SUCCESS - container without caption</t>
  </si>
  <si>
    <t>FR3.8.12-04</t>
  </si>
  <si>
    <t>PublishResult SUCCESS - media_publish called once</t>
  </si>
  <si>
    <t>- Can connect with server
- Job message delivered by RabbitMQ
- Instagram token valid
- Container FINISHED on 1st poll</t>
  </si>
  <si>
    <t>FR3.8.12-05</t>
  </si>
  <si>
    <t>PublishResult SUCCESS - polled every 3s until FINISHED</t>
  </si>
  <si>
    <t>- Can connect with server
- Job message delivered by RabbitMQ
- Instagram token valid
- Container FINISHED on 5th poll</t>
  </si>
  <si>
    <t>FR3.8.12-06</t>
  </si>
  <si>
    <t>[Normal] Publish Instagram Post with platform = INSTAGRAM, content = 2200 chars, mediaUrls = 1 jpg url</t>
  </si>
  <si>
    <t>1. Prepare the state listed in Pre-conditions.
2. Call InstagramPublishServiceImpl.publish with: platform = INSTAGRAM; content = 2200 chars; mediaUrls = 1 jpg url; targetId = ig user 1.
3. Check the response / error and the log.</t>
  </si>
  <si>
    <t>PublishResult SUCCESS - caption sent unchanged</t>
  </si>
  <si>
    <t>FR3.8.12-07</t>
  </si>
  <si>
    <t>[Normal] Publish Instagram Post with platform = INSTAGRAM, content = caption, mediaUrls = 2 jpg urls</t>
  </si>
  <si>
    <t>1. Prepare the state listed in Pre-conditions.
2. Call InstagramPublishServiceImpl.publish with: platform = INSTAGRAM; content = caption; mediaUrls = 2 jpg urls; targetId = ig user 1.
3. Check the response / error and the log.</t>
  </si>
  <si>
    <t>PublishResult SUCCESS - 2-item carousel created</t>
  </si>
  <si>
    <t>FR3.8.12-08</t>
  </si>
  <si>
    <t>PublishResult SUCCESS - rate limiter throttles to 1 call per 2s</t>
  </si>
  <si>
    <t>FR3.8.12-09</t>
  </si>
  <si>
    <t>[Boundary] Publish Instagram Post with platform = INSTAGRAM, content = 2201 chars, mediaUrls = 1 jpg url</t>
  </si>
  <si>
    <t>1. Prepare the state listed in Pre-conditions.
2. Call InstagramPublishServiceImpl.publish with: platform = INSTAGRAM; content = 2201 chars; mediaUrls = 1 jpg url; targetId = ig user 1.
3. Check the response / error and the log.</t>
  </si>
  <si>
    <t>PublishResult SUCCESS - caption truncated to 2197 chars + '...'</t>
  </si>
  <si>
    <t>FR3.8.12-10</t>
  </si>
  <si>
    <t>[Boundary] Publish Instagram Post with platform = INSTAGRAM, content = caption, mediaUrls = 1 jpg url</t>
  </si>
  <si>
    <t>PublishResult SUCCESS - last allowed poll attempt</t>
  </si>
  <si>
    <t>- Can connect with server
- Job message delivered by RabbitMQ
- Instagram token valid
- Container FINISHED on 10th poll</t>
  </si>
  <si>
    <t>FR3.8.12-11</t>
  </si>
  <si>
    <t>PublishResult FAILED, errorCode=TIMEOUT, 'did not become FINISHED within 30 seconds'</t>
  </si>
  <si>
    <t>- Can connect with server
- Job message delivered by RabbitMQ
- Instagram token valid
- Container never FINISHED in 10 polls</t>
  </si>
  <si>
    <t>FR3.8.12-12</t>
  </si>
  <si>
    <t>[Abnormal] Publish Instagram Post with platform = INSTAGRAM, content = caption, mediaUrls = empty</t>
  </si>
  <si>
    <t>1. Prepare the state listed in Pre-conditions.
2. Call InstagramPublishServiceImpl.publish with: platform = INSTAGRAM; content = caption; mediaUrls = empty; targetId = ig user 1.
3. Check the response / error and the log.</t>
  </si>
  <si>
    <t>PublishResult FAILED, errorCode=VALIDATION_ERROR, 'requires at least one image'</t>
  </si>
  <si>
    <t>FR3.8.12-13</t>
  </si>
  <si>
    <t>[Abnormal] Publish Instagram Post with platform = INSTAGRAM, content = caption, mediaUrls = null</t>
  </si>
  <si>
    <t>1. Prepare the state listed in Pre-conditions.
2. Call InstagramPublishServiceImpl.publish with: platform = INSTAGRAM; content = caption; mediaUrls = null; targetId = ig user 1.
3. Check the response / error and the log.</t>
  </si>
  <si>
    <t>FR3.8.12-14</t>
  </si>
  <si>
    <t>[Abnormal] Publish Instagram Post with platform = INSTAGRAM, content = caption, mediaUrls = 1 jpg url</t>
  </si>
  <si>
    <t>1. Prepare the state listed in Pre-conditions.
2. Call InstagramPublishServiceImpl.publish with: platform = INSTAGRAM; content = caption; mediaUrls = 1 jpg url; targetId = null.
3. Check the response / error and the log.</t>
  </si>
  <si>
    <t>PublishResult FAILED, errorCode=400, 'requires a valid targetId (IG User ID)'</t>
  </si>
  <si>
    <t>FR3.8.12-15</t>
  </si>
  <si>
    <t>1. Prepare the state listed in Pre-conditions.
2. Call InstagramPublishServiceImpl.publish with: platform = INSTAGRAM; content = caption; mediaUrls = 1 jpg url; targetId = blank spaces.
3. Check the response / error and the log.</t>
  </si>
  <si>
    <t>FR3.8.12-16</t>
  </si>
  <si>
    <t>PublishResult FAILED, errorCode=400, 'Invalid Instagram Request/Token'</t>
  </si>
  <si>
    <t>- Can connect with server
- Job message delivered by RabbitMQ
- Instagram token valid
- Instagram returns HTTP 401</t>
  </si>
  <si>
    <t>FR3.8.12-17</t>
  </si>
  <si>
    <t>- Can connect with server
- Job message delivered by RabbitMQ
- Instagram token valid
- Instagram returns HTTP 429</t>
  </si>
  <si>
    <t>FR3.8.12-18</t>
  </si>
  <si>
    <t>PublishResult FAILED, errorCode=500, 'Container processing failed with status ERROR'</t>
  </si>
  <si>
    <t>- Can connect with server
- Job message delivered by RabbitMQ
- Instagram token valid
- Container status ERROR</t>
  </si>
  <si>
    <t>FR3.8.12-19</t>
  </si>
  <si>
    <t>PublishResult FAILED, errorCode=500, 'No ID returned'</t>
  </si>
  <si>
    <t>- Can connect with server
- Job message delivered by RabbitMQ
- Instagram token valid
- Container creation returns no id</t>
  </si>
  <si>
    <t>FR3.8.12-20</t>
  </si>
  <si>
    <t>- Can connect with server
- Job message delivered by RabbitMQ
- Instagram token valid
- Token cannot be decrypted</t>
  </si>
  <si>
    <t>FR3.8.13-01</t>
  </si>
  <si>
    <t>[Normal] Publish Instagram Reels with platform = INSTAGRAM, content = caption, mediaUrls = 1 mp4 url</t>
  </si>
  <si>
    <t>1. Prepare the state listed in Pre-conditions.
2. Call InstagramPublishServiceImpl.publishReel (planned) with: platform = INSTAGRAM; content = caption; mediaUrls = 1 mp4 url; targetId = ig user 1; postType = REELS.
3. Check the response / error and the log.</t>
  </si>
  <si>
    <t>PublishResult SUCCESS via /media (media_type=REELS)</t>
  </si>
  <si>
    <t>FR3.8.13-02</t>
  </si>
  <si>
    <t>[Normal] Publish Instagram Reels with platform = INSTAGRAM, content = null, mediaUrls = 1 mp4 url</t>
  </si>
  <si>
    <t>1. Prepare the state listed in Pre-conditions.
2. Call InstagramPublishServiceImpl.publishReel (planned) with: platform = INSTAGRAM; content = null; mediaUrls = 1 mp4 url; targetId = ig user 1; postType = REELS.
3. Check the response / error and the log.</t>
  </si>
  <si>
    <t>PublishResult SUCCESS without caption</t>
  </si>
  <si>
    <t>FR3.8.13-03</t>
  </si>
  <si>
    <t>PublishResult SUCCESS after polling</t>
  </si>
  <si>
    <t>- Can connect with server
- Job message delivered by RabbitMQ
- Instagram token valid
- Container FINISHED on 3rd poll</t>
  </si>
  <si>
    <t>FR3.8.13-04</t>
  </si>
  <si>
    <t>Status tracking updated PENDING -&gt; IN_PROGRESS -&gt; DONE</t>
  </si>
  <si>
    <t>FR3.8.13-05</t>
  </si>
  <si>
    <t>FR3.8.13-06</t>
  </si>
  <si>
    <t>[Normal] Publish Instagram Reels with platform = INSTAGRAM, postType = REELS</t>
  </si>
  <si>
    <t>1. Prepare the state listed in Pre-conditions.
2. Call InstagramPublishServiceImpl.publishReel (planned) with: platform = INSTAGRAM; postType = REELS.
3. Check the response / error and the log.</t>
  </si>
  <si>
    <t>Job queued to RabbitMQ publish queue</t>
  </si>
  <si>
    <t>- Can connect with server
- Job message delivered by RabbitMQ
- Instagram token valid
- Task COMPLETED with targetPlatform=Instagram</t>
  </si>
  <si>
    <t>FR3.8.13-07</t>
  </si>
  <si>
    <t>Duplicate message with same postId discarded (Redis lock)</t>
  </si>
  <si>
    <t>FR3.8.13-08</t>
  </si>
  <si>
    <t>FR3.8.13-09</t>
  </si>
  <si>
    <t>[Boundary] Publish Instagram Reels with platform = INSTAGRAM, content = 2200 chars, mediaUrls = 1 mp4 url</t>
  </si>
  <si>
    <t>1. Prepare the state listed in Pre-conditions.
2. Call InstagramPublishServiceImpl.publishReel (planned) with: platform = INSTAGRAM; content = 2200 chars; mediaUrls = 1 mp4 url; targetId = ig user 1; postType = REELS.
3. Check the response / error and the log.</t>
  </si>
  <si>
    <t>PublishResult SUCCESS - caption at limit</t>
  </si>
  <si>
    <t>FR3.8.13-10</t>
  </si>
  <si>
    <t>[Boundary] Publish Instagram Reels with platform = INSTAGRAM, content = 2201 chars, mediaUrls = 1 mp4 url</t>
  </si>
  <si>
    <t>1. Prepare the state listed in Pre-conditions.
2. Call InstagramPublishServiceImpl.publishReel (planned) with: platform = INSTAGRAM; content = 2201 chars; mediaUrls = 1 mp4 url; targetId = ig user 1; postType = REELS.
3. Check the response / error and the log.</t>
  </si>
  <si>
    <t>Caption truncated to 2197 chars + '...'</t>
  </si>
  <si>
    <t>FR3.8.13-11</t>
  </si>
  <si>
    <t>[Boundary] Publish Instagram Reels with platform = INSTAGRAM, content = caption, mediaUrls = 1 mp4 url</t>
  </si>
  <si>
    <t>PublishResult SUCCESS on last poll</t>
  </si>
  <si>
    <t>FR3.8.13-12</t>
  </si>
  <si>
    <t>PublishResult FAILED, errorCode=TIMEOUT</t>
  </si>
  <si>
    <t>- Can connect with server
- Job message delivered by RabbitMQ
- Instagram token valid
- Container not FINISHED in 10 polls</t>
  </si>
  <si>
    <t>FR3.8.13-13</t>
  </si>
  <si>
    <t>[Abnormal] Publish Instagram Reels with platform = INSTAGRAM, content = caption, mediaUrls = empty</t>
  </si>
  <si>
    <t>1. Prepare the state listed in Pre-conditions.
2. Call InstagramPublishServiceImpl.publishReel (planned) with: platform = INSTAGRAM; content = caption; mediaUrls = empty; targetId = ig user 1; postType = REELS.
3. Check the response / error and the log.</t>
  </si>
  <si>
    <t>PublishResult FAILED - REELS media required</t>
  </si>
  <si>
    <t>FR3.8.13-14</t>
  </si>
  <si>
    <t>[Abnormal] Publish Instagram Reels with platform = INSTAGRAM, content = caption, mediaUrls = 1 jpg url</t>
  </si>
  <si>
    <t>1. Prepare the state listed in Pre-conditions.
2. Call InstagramPublishServiceImpl.publishReel (planned) with: platform = INSTAGRAM; content = caption; mediaUrls = 1 jpg url; targetId = ig user 1; postType = REELS.
3. Check the response / error and the log.</t>
  </si>
  <si>
    <t>PublishResult FAILED - unsupported media format</t>
  </si>
  <si>
    <t>FR3.8.13-15</t>
  </si>
  <si>
    <t>[Abnormal] Publish Instagram Reels with platform = INSTAGRAM, content = caption, mediaUrls = 1 mp4 url</t>
  </si>
  <si>
    <t>1. Prepare the state listed in Pre-conditions.
2. Call InstagramPublishServiceImpl.publishReel (planned) with: platform = INSTAGRAM; content = caption; mediaUrls = 1 mp4 url; targetId = null; postType = REELS.
3. Check the response / error and the log.</t>
  </si>
  <si>
    <t>PublishResult FAILED, errorCode=400, requires targetId</t>
  </si>
  <si>
    <t>FR3.8.13-16</t>
  </si>
  <si>
    <t>FR3.8.13-17</t>
  </si>
  <si>
    <t>FR3.8.13-18</t>
  </si>
  <si>
    <t>FR3.8.13-19</t>
  </si>
  <si>
    <t>Post set to FAIL, reason account disconnected</t>
  </si>
  <si>
    <t>- Can connect with server
- Job message delivered by RabbitMQ
- Instagram token valid
- Account disconnected while job queued</t>
  </si>
  <si>
    <t>FR3.8.14-01</t>
  </si>
  <si>
    <t>[Normal] Publish Instagram Story with platform = INSTAGRAM, content = caption, mediaUrls = 1 jpg url</t>
  </si>
  <si>
    <t>1. Prepare the state listed in Pre-conditions.
2. Call InstagramPublishServiceImpl.publishStory (planned) with: platform = INSTAGRAM; content = caption; mediaUrls = 1 jpg url; targetId = ig user 1; postType = STORIES.
3. Check the response / error and the log.</t>
  </si>
  <si>
    <t>PublishResult SUCCESS via /media (media_type=STORIES)</t>
  </si>
  <si>
    <t>FR3.8.14-02</t>
  </si>
  <si>
    <t>[Normal] Publish Instagram Story with platform = INSTAGRAM, content = null, mediaUrls = 1 jpg url</t>
  </si>
  <si>
    <t>1. Prepare the state listed in Pre-conditions.
2. Call InstagramPublishServiceImpl.publishStory (planned) with: platform = INSTAGRAM; content = null; mediaUrls = 1 jpg url; targetId = ig user 1; postType = STORIES.
3. Check the response / error and the log.</t>
  </si>
  <si>
    <t>FR3.8.14-03</t>
  </si>
  <si>
    <t>FR3.8.14-04</t>
  </si>
  <si>
    <t>FR3.8.14-05</t>
  </si>
  <si>
    <t>FR3.8.14-06</t>
  </si>
  <si>
    <t>[Normal] Publish Instagram Story with platform = INSTAGRAM, postType = STORIES</t>
  </si>
  <si>
    <t>1. Prepare the state listed in Pre-conditions.
2. Call InstagramPublishServiceImpl.publishStory (planned) with: platform = INSTAGRAM; postType = STORIES.
3. Check the response / error and the log.</t>
  </si>
  <si>
    <t>FR3.8.14-07</t>
  </si>
  <si>
    <t>FR3.8.14-08</t>
  </si>
  <si>
    <t>FR3.8.14-09</t>
  </si>
  <si>
    <t>[Boundary] Publish Instagram Story with platform = INSTAGRAM, content = 2200 chars, mediaUrls = 1 jpg url</t>
  </si>
  <si>
    <t>1. Prepare the state listed in Pre-conditions.
2. Call InstagramPublishServiceImpl.publishStory (planned) with: platform = INSTAGRAM; content = 2200 chars; mediaUrls = 1 jpg url; targetId = ig user 1; postType = STORIES.
3. Check the response / error and the log.</t>
  </si>
  <si>
    <t>FR3.8.14-10</t>
  </si>
  <si>
    <t>[Boundary] Publish Instagram Story with platform = INSTAGRAM, content = 2201 chars, mediaUrls = 1 jpg url</t>
  </si>
  <si>
    <t>1. Prepare the state listed in Pre-conditions.
2. Call InstagramPublishServiceImpl.publishStory (planned) with: platform = INSTAGRAM; content = 2201 chars; mediaUrls = 1 jpg url; targetId = ig user 1; postType = STORIES.
3. Check the response / error and the log.</t>
  </si>
  <si>
    <t>FR3.8.14-11</t>
  </si>
  <si>
    <t>[Boundary] Publish Instagram Story with platform = INSTAGRAM, content = caption, mediaUrls = 1 jpg url</t>
  </si>
  <si>
    <t>FR3.8.14-12</t>
  </si>
  <si>
    <t>FR3.8.14-13</t>
  </si>
  <si>
    <t>[Abnormal] Publish Instagram Story with platform = INSTAGRAM, content = caption, mediaUrls = empty</t>
  </si>
  <si>
    <t>1. Prepare the state listed in Pre-conditions.
2. Call InstagramPublishServiceImpl.publishStory (planned) with: platform = INSTAGRAM; content = caption; mediaUrls = empty; targetId = ig user 1; postType = STORIES.
3. Check the response / error and the log.</t>
  </si>
  <si>
    <t>PublishResult FAILED - STORIES media required</t>
  </si>
  <si>
    <t>FR3.8.14-14</t>
  </si>
  <si>
    <t>[Abnormal] Publish Instagram Story with platform = INSTAGRAM, content = caption, mediaUrls = 1 pdf url</t>
  </si>
  <si>
    <t>1. Prepare the state listed in Pre-conditions.
2. Call InstagramPublishServiceImpl.publishStory (planned) with: platform = INSTAGRAM; content = caption; mediaUrls = 1 pdf url; targetId = ig user 1; postType = STORIES.
3. Check the response / error and the log.</t>
  </si>
  <si>
    <t>FR3.8.14-15</t>
  </si>
  <si>
    <t>[Abnormal] Publish Instagram Story with platform = INSTAGRAM, content = caption, mediaUrls = 1 jpg url</t>
  </si>
  <si>
    <t>1. Prepare the state listed in Pre-conditions.
2. Call InstagramPublishServiceImpl.publishStory (planned) with: platform = INSTAGRAM; content = caption; mediaUrls = 1 jpg url; targetId = null; postType = STORIES.
3. Check the response / error and the log.</t>
  </si>
  <si>
    <t>FR3.8.14-16</t>
  </si>
  <si>
    <t>FR3.8.14-17</t>
  </si>
  <si>
    <t>FR3.8.14-18</t>
  </si>
  <si>
    <t>FR3.8.14-19</t>
  </si>
  <si>
    <t>FR3.8.15-01</t>
  </si>
  <si>
    <t>[Normal] Publish TikTok Video with platform = TIKTOK, content = caption, mediaUrls = 1 mp4 url</t>
  </si>
  <si>
    <t>1. Prepare the state listed in Pre-conditions.
2. Call TikTokPublishAdapter.publish with: platform = TIKTOK; content = caption; mediaUrls = 1 mp4 url; videoDuration = 30.
3. Check the response / error and the log.</t>
  </si>
  <si>
    <t>PublishResult SUCCESS, platformPostId=publish_id (direct post)
Log: Successfully initialized Direct Post</t>
  </si>
  <si>
    <t>- Can connect with server
- Job message delivered by RabbitMQ
- TikTok token valid</t>
  </si>
  <si>
    <t>FR3.8.15-02</t>
  </si>
  <si>
    <t>1. Prepare the state listed in Pre-conditions.
2. Call TikTokPublishAdapter.publish with: platform = TIKTOK; content = caption; mediaUrls = 1 mp4 url; videoDuration = 45.
3. Check the response / error and the log.</t>
  </si>
  <si>
    <t>PublishResult SUCCESS - direct post PULL_FROM_URL, PUBLIC_TO_EVERYONE</t>
  </si>
  <si>
    <t>FR3.8.15-03</t>
  </si>
  <si>
    <t>1. Prepare the state listed in Pre-conditions.
2. Call TikTokPublishAdapter.publish with: platform = TIKTOK; content = caption; mediaUrls = 1 mp4 url; videoDuration = 120.
3. Check the response / error and the log.</t>
  </si>
  <si>
    <t>Delegated to creatorUploadService.uploadAndPublish</t>
  </si>
  <si>
    <t>FR3.8.15-04</t>
  </si>
  <si>
    <t>1. Prepare the state listed in Pre-conditions.
2. Call TikTokPublishAdapter.publish with: platform = TIKTOK; content = caption; mediaUrls = 1 mp4 url; videoDuration = null.
3. Check the response / error and the log.</t>
  </si>
  <si>
    <t>Delegated to creatorUploadService (duration defaults to Creator Upload)</t>
  </si>
  <si>
    <t>FR3.8.15-05</t>
  </si>
  <si>
    <t>[Normal] Publish TikTok Video with platform = TIKTOK, content = null, mediaUrls = 1 mp4 url</t>
  </si>
  <si>
    <t>1. Prepare the state listed in Pre-conditions.
2. Call TikTokPublishAdapter.publish with: platform = TIKTOK; content = null; mediaUrls = 1 mp4 url; videoDuration = 30.
3. Check the response / error and the log.</t>
  </si>
  <si>
    <t>PublishResult SUCCESS - title null</t>
  </si>
  <si>
    <t>FR3.8.15-06</t>
  </si>
  <si>
    <t>[Normal] Publish TikTok Video with platform = TIKTOK, content = 4000 chars, mediaUrls = 1 mp4 url</t>
  </si>
  <si>
    <t>1. Prepare the state listed in Pre-conditions.
2. Call TikTokPublishAdapter.publish with: platform = TIKTOK; content = 4000 chars; mediaUrls = 1 mp4 url; videoDuration = 30.
3. Check the response / error and the log.</t>
  </si>
  <si>
    <t>FR3.8.15-07</t>
  </si>
  <si>
    <t>Bearer access token sent in Authorization header</t>
  </si>
  <si>
    <t>FR3.8.15-08</t>
  </si>
  <si>
    <t>[Normal] Publish TikTok Video with platform = tiktok, content = caption, mediaUrls = 1 mp4 url</t>
  </si>
  <si>
    <t>1. Prepare the state listed in Pre-conditions.
2. Call TikTokPublishAdapter.publish with: platform = tiktok; content = caption; mediaUrls = 1 mp4 url; videoDuration = 30.
3. Check the response / error and the log.</t>
  </si>
  <si>
    <t>supports() returns true (case-insensitive)</t>
  </si>
  <si>
    <t>FR3.8.15-09</t>
  </si>
  <si>
    <t>[Boundary] Publish TikTok Video with platform = TIKTOK, content = caption, mediaUrls = 1 mp4 url</t>
  </si>
  <si>
    <t>1. Prepare the state listed in Pre-conditions.
2. Call TikTokPublishAdapter.publish with: platform = TIKTOK; content = caption; mediaUrls = 1 mp4 url; videoDuration = 60.
3. Check the response / error and the log.</t>
  </si>
  <si>
    <t>Direct post used at exactly 60s</t>
  </si>
  <si>
    <t>FR3.8.15-10</t>
  </si>
  <si>
    <t>1. Prepare the state listed in Pre-conditions.
2. Call TikTokPublishAdapter.publish with: platform = TIKTOK; content = caption; mediaUrls = 1 mp4 url; videoDuration = 61.
3. Check the response / error and the log.</t>
  </si>
  <si>
    <t>Delegated to creatorUploadService at 61s</t>
  </si>
  <si>
    <t>FR3.8.15-11</t>
  </si>
  <si>
    <t>1. Prepare the state listed in Pre-conditions.
2. Call TikTokPublishAdapter.publish with: platform = TIKTOK; content = caption; mediaUrls = 1 mp4 url; videoDuration = 0.
3. Check the response / error and the log.</t>
  </si>
  <si>
    <t>PublishResult SUCCESS - direct post used (0 &lt;= 60)</t>
  </si>
  <si>
    <t>FR3.8.15-12</t>
  </si>
  <si>
    <t>[Boundary] Publish TikTok Video with platform = TIKTOK, content = 4001 chars, mediaUrls = 1 mp4 url</t>
  </si>
  <si>
    <t>1. Prepare the state listed in Pre-conditions.
2. Call TikTokPublishAdapter.publish with: platform = TIKTOK; content = 4001 chars; mediaUrls = 1 mp4 url; videoDuration = 30.
3. Check the response / error and the log.</t>
  </si>
  <si>
    <t>Caption truncated to 4000 chars, direct post SUCCESS
Log: Truncated caption to 4000 characters</t>
  </si>
  <si>
    <t>FR3.8.15-13</t>
  </si>
  <si>
    <t>[Abnormal] Publish TikTok Video with platform = TIKTOK, content = caption, mediaUrls = 1 mp4 url</t>
  </si>
  <si>
    <t>PublishResult status=401, 'Invalid TikTok Token' (TOKEN_EXPIRED)</t>
  </si>
  <si>
    <t>- Can connect with server
- Job message delivered by RabbitMQ
- TikTok token valid
- TikTok returns HTTP 401</t>
  </si>
  <si>
    <t>FR3.8.15-14</t>
  </si>
  <si>
    <t>PublishResult status=401, 'Invalid TikTok Token'</t>
  </si>
  <si>
    <t>- Can connect with server
- Job message delivered by RabbitMQ
- TikTok token valid
- TikTok returns HTTP 400</t>
  </si>
  <si>
    <t>FR3.8.15-15</t>
  </si>
  <si>
    <t>PublishResult status=429, 'Rate Limit Exceeded'</t>
  </si>
  <si>
    <t>- Can connect with server
- Job message delivered by RabbitMQ
- TikTok token valid
- TikTok returns HTTP 429</t>
  </si>
  <si>
    <t>FR3.8.15-16</t>
  </si>
  <si>
    <t>PublishResult status=500, 'TikTok API HTTP Error'</t>
  </si>
  <si>
    <t>- Can connect with server
- Job message delivered by RabbitMQ
- TikTok token valid
- TikTok returns HTTP 500</t>
  </si>
  <si>
    <t>FR3.8.15-17</t>
  </si>
  <si>
    <t>PublishResult status=500, 'TikTok API Error'</t>
  </si>
  <si>
    <t>- Can connect with server
- Job message delivered by RabbitMQ
- TikTok token valid
- Response has error object</t>
  </si>
  <si>
    <t>FR3.8.15-18</t>
  </si>
  <si>
    <t>PublishResult status=FAILED, 'Unknown error during direct post'</t>
  </si>
  <si>
    <t>- Can connect with server
- Job message delivered by RabbitMQ
- TikTok token valid
- Response has no publish_id</t>
  </si>
  <si>
    <t>FR3.8.15-19</t>
  </si>
  <si>
    <t>[Abnormal] Publish TikTok Video with platform = TIKTOK, content = caption, mediaUrls = empty</t>
  </si>
  <si>
    <t>1. Prepare the state listed in Pre-conditions.
2. Call TikTokPublishAdapter.publish with: platform = TIKTOK; content = caption; mediaUrls = empty; videoDuration = 30.
3. Check the response / error and the log.</t>
  </si>
  <si>
    <t>PublishResult status=SYSTEM_ERROR (no media url available)</t>
  </si>
  <si>
    <t>FR3.8.15-20</t>
  </si>
  <si>
    <t>[Abnormal] Publish TikTok Video with platform = TIKTOK, content = caption, mediaUrls = null</t>
  </si>
  <si>
    <t>1. Prepare the state listed in Pre-conditions.
2. Call TikTokPublishAdapter.publish with: platform = TIKTOK; content = caption; mediaUrls = null; videoDuration = 30.
3. Check the response / error and the log.</t>
  </si>
  <si>
    <t>PublishResult status=SYSTEM_ERROR (null media list)</t>
  </si>
  <si>
    <t>FR3.8.16-01</t>
  </si>
  <si>
    <t>[Normal] Publish Threads Post with platform = THREADS, content = short text, mediaUrls = empty</t>
  </si>
  <si>
    <t>1. Prepare the state listed in Pre-conditions.
2. Call ThreadsPublishServiceImpl.publish with: platform = THREADS; content = short text; mediaUrls = empty; targetId = threads user 1.
3. Check the response / error and the log.</t>
  </si>
  <si>
    <t>PublishResult SUCCESS, platformPostId=post id (TEXT)
Log: Successfully published to Threads</t>
  </si>
  <si>
    <t>- Can connect with server
- Job message delivered by RabbitMQ
- Threads token valid</t>
  </si>
  <si>
    <t>FR3.8.16-02</t>
  </si>
  <si>
    <t>[Normal] Publish Threads Post with platform = THREADS, content = short text, mediaUrls = 1 jpg url</t>
  </si>
  <si>
    <t>1. Prepare the state listed in Pre-conditions.
2. Call ThreadsPublishServiceImpl.publish with: platform = THREADS; content = short text; mediaUrls = 1 jpg url; targetId = threads user 1.
3. Check the response / error and the log.</t>
  </si>
  <si>
    <t>PublishResult SUCCESS - IMAGE container published</t>
  </si>
  <si>
    <t>FR3.8.16-03</t>
  </si>
  <si>
    <t>[Normal] Publish Threads Post with platform = THREADS, content = null, mediaUrls = 1 jpg url</t>
  </si>
  <si>
    <t>1. Prepare the state listed in Pre-conditions.
2. Call ThreadsPublishServiceImpl.publish with: platform = THREADS; content = null; mediaUrls = 1 jpg url; targetId = threads user 1.
3. Check the response / error and the log.</t>
  </si>
  <si>
    <t>PublishResult SUCCESS - image without text</t>
  </si>
  <si>
    <t>FR3.8.16-04</t>
  </si>
  <si>
    <t>PublishResult SUCCESS - threads_publish called once</t>
  </si>
  <si>
    <t>- Can connect with server
- Job message delivered by RabbitMQ
- Threads token valid
- Container FINISHED on 1st poll</t>
  </si>
  <si>
    <t>FR3.8.16-05</t>
  </si>
  <si>
    <t>PublishResult SUCCESS - polled every 3s</t>
  </si>
  <si>
    <t>- Can connect with server
- Job message delivered by RabbitMQ
- Threads token valid
- Container FINISHED on 4th poll</t>
  </si>
  <si>
    <t>FR3.8.16-06</t>
  </si>
  <si>
    <t>[Normal] Publish Threads Post with platform = THREADS, content = 500 chars, mediaUrls = empty</t>
  </si>
  <si>
    <t>1. Prepare the state listed in Pre-conditions.
2. Call ThreadsPublishServiceImpl.publish with: platform = THREADS; content = 500 chars; mediaUrls = empty; targetId = threads user 1.
3. Check the response / error and the log.</t>
  </si>
  <si>
    <t>PublishResult SUCCESS - text sent unchanged</t>
  </si>
  <si>
    <t>FR3.8.16-07</t>
  </si>
  <si>
    <t>[Normal] Publish Threads Post with platform = THREADS, content = short text, mediaUrls = null</t>
  </si>
  <si>
    <t>1. Prepare the state listed in Pre-conditions.
2. Call ThreadsPublishServiceImpl.publish with: platform = THREADS; content = short text; mediaUrls = null; targetId = threads user 1.
3. Check the response / error and the log.</t>
  </si>
  <si>
    <t>PublishResult SUCCESS - treated as text post</t>
  </si>
  <si>
    <t>FR3.8.16-08</t>
  </si>
  <si>
    <t>Rate limiter throttles to 1 call per 2s</t>
  </si>
  <si>
    <t>FR3.8.16-09</t>
  </si>
  <si>
    <t>[Boundary] Publish Threads Post with platform = THREADS, content = 501 chars with spaces, mediaUrls = empty</t>
  </si>
  <si>
    <t>1. Prepare the state listed in Pre-conditions.
2. Call ThreadsPublishServiceImpl.publish with: platform = THREADS; content = 501 chars with spaces; mediaUrls = empty; targetId = threads user 1.
3. Check the response / error and the log.</t>
  </si>
  <si>
    <t>PublishResult SUCCESS - truncated at last space + '...'</t>
  </si>
  <si>
    <t>FR3.8.16-10</t>
  </si>
  <si>
    <t>[Boundary] Publish Threads Post with platform = THREADS, content = 600 chars no spaces, mediaUrls = empty</t>
  </si>
  <si>
    <t>1. Prepare the state listed in Pre-conditions.
2. Call ThreadsPublishServiceImpl.publish with: platform = THREADS; content = 600 chars no spaces; mediaUrls = empty; targetId = threads user 1.
3. Check the response / error and the log.</t>
  </si>
  <si>
    <t>PublishResult SUCCESS - truncated to 497 chars + '...'</t>
  </si>
  <si>
    <t>FR3.8.16-11</t>
  </si>
  <si>
    <t>[Boundary] Publish Threads Post with platform = THREADS, content = short text, mediaUrls = 2 jpg urls</t>
  </si>
  <si>
    <t>1. Prepare the state listed in Pre-conditions.
2. Call ThreadsPublishServiceImpl.publish with: platform = THREADS; content = short text; mediaUrls = 2 jpg urls; targetId = threads user 1.
3. Check the response / error and the log.</t>
  </si>
  <si>
    <t>PublishResult FAILED, errorCode=400, 'maximum 1 image'</t>
  </si>
  <si>
    <t>FR3.8.16-12</t>
  </si>
  <si>
    <t>[Boundary] Publish Threads Post with platform = THREADS, content = short text, mediaUrls = empty</t>
  </si>
  <si>
    <t>- Can connect with server
- Job message delivered by RabbitMQ
- Threads token valid
- Container FINISHED on 10th poll</t>
  </si>
  <si>
    <t>FR3.8.16-13</t>
  </si>
  <si>
    <t>- Can connect with server
- Job message delivered by RabbitMQ
- Threads token valid
- Container not FINISHED in 10 polls</t>
  </si>
  <si>
    <t>FR3.8.16-14</t>
  </si>
  <si>
    <t>[Abnormal] Publish Threads Post with platform = THREADS, content = 501 chars, first space at index 10, mediaUrls = empty</t>
  </si>
  <si>
    <t>1. Prepare the state listed in Pre-conditions.
2. Call ThreadsPublishServiceImpl.publish with: platform = THREADS; content = 501 chars, first space at index 10; mediaUrls = empty; targetId = threads user 1.
3. Check the response / error and the log.</t>
  </si>
  <si>
    <t>PublishResult FAILED, errorCode=caption_too_short_after_truncation</t>
  </si>
  <si>
    <t>FR3.8.16-15</t>
  </si>
  <si>
    <t>[Abnormal] Publish Threads Post with platform = THREADS, content = null, mediaUrls = empty</t>
  </si>
  <si>
    <t>1. Prepare the state listed in Pre-conditions.
2. Call ThreadsPublishServiceImpl.publish with: platform = THREADS; content = null; mediaUrls = empty; targetId = threads user 1.
3. Check the response / error and the log.</t>
  </si>
  <si>
    <t>PublishResult FAILED, errorCode=400, 'requires either text or an image'</t>
  </si>
  <si>
    <t>FR3.8.16-16</t>
  </si>
  <si>
    <t>[Abnormal] Publish Threads Post with platform = THREADS, content = empty, mediaUrls = empty</t>
  </si>
  <si>
    <t>1. Prepare the state listed in Pre-conditions.
2. Call ThreadsPublishServiceImpl.publish with: platform = THREADS; content = empty; mediaUrls = empty; targetId = threads user 1.
3. Check the response / error and the log.</t>
  </si>
  <si>
    <t>FR3.8.16-17</t>
  </si>
  <si>
    <t>[Abnormal] Publish Threads Post with platform = THREADS, content = short text, mediaUrls = empty</t>
  </si>
  <si>
    <t>1. Prepare the state listed in Pre-conditions.
2. Call ThreadsPublishServiceImpl.publish with: platform = THREADS; content = short text; mediaUrls = empty; targetId = null.
3. Check the response / error and the log.</t>
  </si>
  <si>
    <t>PublishResult FAILED, errorCode=400, 'requires a valid targetId (Threads User ID)'</t>
  </si>
  <si>
    <t>FR3.8.16-18</t>
  </si>
  <si>
    <t>1. Prepare the state listed in Pre-conditions.
2. Call ThreadsPublishServiceImpl.publish with: platform = THREADS; content = short text; mediaUrls = empty; targetId = blank spaces.
3. Check the response / error and the log.</t>
  </si>
  <si>
    <t>FR3.8.16-19</t>
  </si>
  <si>
    <t>PublishResult FAILED, errorCode=400, 'Invalid Threads Request/Token'</t>
  </si>
  <si>
    <t>- Can connect with server
- Job message delivered by RabbitMQ
- Threads token valid
- Threads returns HTTP 401</t>
  </si>
  <si>
    <t>FR3.8.16-20</t>
  </si>
  <si>
    <t>- Can connect with server
- Job message delivered by RabbitMQ
- Threads token valid
- Threads returns HTTP 429</t>
  </si>
  <si>
    <t>FR3.8.16-21</t>
  </si>
  <si>
    <t>PublishResult FAILED, errorCode=500, 'Container processing failed'</t>
  </si>
  <si>
    <t>- Can connect with server
- Job message delivered by RabbitMQ
- Threads token valid
- Container status ERROR</t>
  </si>
  <si>
    <t>FR3.8.16-22</t>
  </si>
  <si>
    <t>- Can connect with server
- Job message delivered by RabbitMQ
- Threads token valid
- Token cannot be decrypted</t>
  </si>
  <si>
    <t>Functional test of 3.9.1 Upgrade Plan; 3.9.2 Downgrade Plan; 3.9.3 Make Payment (PayOS); 3.9.4 View Invoice History and 3 more</t>
  </si>
  <si>
    <t>FR3.9.1-01</t>
  </si>
  <si>
    <t>[Normal] Upgrade Plan with planId = active Pro plan id</t>
  </si>
  <si>
    <t>1. Prepare the state listed in Pre-conditions.
2. Call SubscriptionServiceImpl.subscribe with: planId = active Pro plan id.
3. Check the response / error and the log.</t>
  </si>
  <si>
    <t>200 OK - UserSubscriptionResponse(status=ACTIVE, planId=Pro)</t>
  </si>
  <si>
    <t>- Can connect with server
- User is authenticated
- Plan exists and is active
- User has no subscription</t>
  </si>
  <si>
    <t>FR3.9.1-02</t>
  </si>
  <si>
    <t>[Normal] Upgrade Plan with planId = active Enterprise plan id</t>
  </si>
  <si>
    <t>1. Prepare the state listed in Pre-conditions.
2. Call SubscriptionServiceImpl.subscribe with: planId = active Enterprise plan id.
3. Check the response / error and the log.</t>
  </si>
  <si>
    <t>200 OK - UserSubscriptionResponse(status=ACTIVE, planId=Enterprise)</t>
  </si>
  <si>
    <t>FR3.9.1-03</t>
  </si>
  <si>
    <t>200 OK - existing subscription updated to Enterprise</t>
  </si>
  <si>
    <t>- Can connect with server
- User is authenticated
- Plan exists and is active
- User has ACTIVE subscription</t>
  </si>
  <si>
    <t>FR3.9.1-04</t>
  </si>
  <si>
    <t>200 OK - period start=now, period end=now+1 month</t>
  </si>
  <si>
    <t>FR3.9.1-05</t>
  </si>
  <si>
    <t>200 OK - status=ACTIVE, cancelledAt=null</t>
  </si>
  <si>
    <t>- Can connect with server
- User is authenticated
- Plan exists and is active
- User subscription is CANCELLED</t>
  </si>
  <si>
    <t>FR3.9.1-06</t>
  </si>
  <si>
    <t>200 OK - updatedAt refreshed, subscription saved once</t>
  </si>
  <si>
    <t>FR3.9.1-07</t>
  </si>
  <si>
    <t>[Normal] Upgrade Plan</t>
  </si>
  <si>
    <t>1. Prepare the state listed in Pre-conditions.
2. Call SubscriptionServiceImpl.subscribe with: no input.
3. Check the response / error and the log.</t>
  </si>
  <si>
    <t>200 OK - list of active plans (Basic/Pro/Enterprise) with limits</t>
  </si>
  <si>
    <t>- Can connect with server
- User is authenticated
- Active plans exist in DB</t>
  </si>
  <si>
    <t>FR3.9.1-08</t>
  </si>
  <si>
    <t>[Boundary] Upgrade Plan with planId = free Basic plan id</t>
  </si>
  <si>
    <t>1. Prepare the state listed in Pre-conditions.
2. Call SubscriptionServiceImpl.subscribe with: planId = free Basic plan id.
3. Check the response / error and the log.</t>
  </si>
  <si>
    <t>200 OK - UserSubscriptionResponse(status=ACTIVE)</t>
  </si>
  <si>
    <t>FR3.9.1-09</t>
  </si>
  <si>
    <t>[Boundary] Upgrade Plan with planId = same plan as current</t>
  </si>
  <si>
    <t>1. Prepare the state listed in Pre-conditions.
2. Call SubscriptionServiceImpl.subscribe with: planId = same plan as current.
3. Check the response / error and the log.</t>
  </si>
  <si>
    <t>200 OK - period renewed (no ALREADY_ON_PLAN check in code)</t>
  </si>
  <si>
    <t>FR3.9.1-10</t>
  </si>
  <si>
    <t>[Boundary] Upgrade Plan with planId = Enterprise, user already Enterprise</t>
  </si>
  <si>
    <t>1. Prepare the state listed in Pre-conditions.
2. Call SubscriptionServiceImpl.subscribe with: planId = Enterprise, user already Enterprise.
3. Check the response / error and the log.</t>
  </si>
  <si>
    <t>Error: ALREADY_ON_PLAN (400)</t>
  </si>
  <si>
    <t>FR3.9.1-11</t>
  </si>
  <si>
    <t>[Boundary] Upgrade Plan with planId = the only active plan id</t>
  </si>
  <si>
    <t>1. Prepare the state listed in Pre-conditions.
2. Call SubscriptionServiceImpl.subscribe with: planId = the only active plan id.
3. Check the response / error and the log.</t>
  </si>
  <si>
    <t>200 OK - subscription created</t>
  </si>
  <si>
    <t>- Can connect with server
- User is authenticated
- Only 1 active plan exists
- User has no subscription</t>
  </si>
  <si>
    <t>FR3.9.1-12</t>
  </si>
  <si>
    <t>[Abnormal] Upgrade Plan with planId = null</t>
  </si>
  <si>
    <t>1. Prepare the state listed in Pre-conditions.
2. Call SubscriptionServiceImpl.subscribe with: planId = null.
3. Check the response / error and the log.</t>
  </si>
  <si>
    <t>Error: PLAN_NOT_FOUND - Subscription plan not found or is inactive</t>
  </si>
  <si>
    <t>- Can connect with server
- User is authenticated</t>
  </si>
  <si>
    <t>FR3.9.1-13</t>
  </si>
  <si>
    <t>[Abnormal] Upgrade Plan with planId = random non-existent UUID</t>
  </si>
  <si>
    <t>1. Prepare the state listed in Pre-conditions.
2. Call SubscriptionServiceImpl.subscribe with: planId = random non-existent UUID.
3. Check the response / error and the log.</t>
  </si>
  <si>
    <t>FR3.9.1-14</t>
  </si>
  <si>
    <t>[Abnormal] Upgrade Plan with planId = inactive plan id</t>
  </si>
  <si>
    <t>1. Prepare the state listed in Pre-conditions.
2. Call SubscriptionServiceImpl.subscribe with: planId = inactive plan id.
3. Check the response / error and the log.</t>
  </si>
  <si>
    <t>- Can connect with server
- User is authenticated
- Plan exists but isActive=false</t>
  </si>
  <si>
    <t>FR3.9.1-15</t>
  </si>
  <si>
    <t>[Abnormal] Upgrade Plan with planId = active Pro plan id</t>
  </si>
  <si>
    <t>Error: 401 Unauthorized - authentication required</t>
  </si>
  <si>
    <t>- Can connect with server
- No authentication token</t>
  </si>
  <si>
    <t>FR3.9.1-16</t>
  </si>
  <si>
    <t>[Abnormal] Upgrade Plan with planId = active Pro plan id, payment = not completed</t>
  </si>
  <si>
    <t>1. Prepare the state listed in Pre-conditions.
2. Call SubscriptionServiceImpl.subscribe with: planId = active Pro plan id; payment = not completed.
3. Check the response / error and the log.</t>
  </si>
  <si>
    <t>Error: Plan must stay inactive until payment confirmed (spec edge case)</t>
  </si>
  <si>
    <t>FR3.9.2-01</t>
  </si>
  <si>
    <t>[Normal] Downgrade Plan with currentUser = owner with ACTIVE Pro</t>
  </si>
  <si>
    <t>1. Prepare the state listed in Pre-conditions.
2. Call SubscriptionServiceImpl.cancel with: currentUser = owner with ACTIVE Pro.
3. Check the response / error and the log.</t>
  </si>
  <si>
    <t>200 OK - UserSubscriptionResponse(status=CANCELLED)</t>
  </si>
  <si>
    <t>- Can connect with server
- User is authenticated
- User has ACTIVE subscription</t>
  </si>
  <si>
    <t>FR3.9.2-02</t>
  </si>
  <si>
    <t>[Normal] Downgrade Plan with currentUser = owner with ACTIVE Enterprise</t>
  </si>
  <si>
    <t>1. Prepare the state listed in Pre-conditions.
2. Call SubscriptionServiceImpl.cancel with: currentUser = owner with ACTIVE Enterprise.
3. Check the response / error and the log.</t>
  </si>
  <si>
    <t>200 OK - status=CANCELLED, cancelledAt=now</t>
  </si>
  <si>
    <t>FR3.9.2-03</t>
  </si>
  <si>
    <t>200 OK - updatedAt refreshed</t>
  </si>
  <si>
    <t>FR3.9.2-04</t>
  </si>
  <si>
    <t>[Normal] Downgrade Plan with currentUser = owner with PAST_DUE sub</t>
  </si>
  <si>
    <t>1. Prepare the state listed in Pre-conditions.
2. Call SubscriptionServiceImpl.cancel with: currentUser = owner with PAST_DUE sub.
3. Check the response / error and the log.</t>
  </si>
  <si>
    <t>200 OK - status=CANCELLED (only CANCELLED blocked)</t>
  </si>
  <si>
    <t>- Can connect with server
- User is authenticated
- User subscription is PAST_DUE</t>
  </si>
  <si>
    <t>FR3.9.2-05</t>
  </si>
  <si>
    <t>[Normal] Downgrade Plan with currentUser = owner</t>
  </si>
  <si>
    <t>1. Prepare the state listed in Pre-conditions.
2. Call SubscriptionServiceImpl.cancel with: currentUser = owner.
3. Check the response / error and the log.</t>
  </si>
  <si>
    <t>200 OK - subscription saved via repository.save</t>
  </si>
  <si>
    <t>FR3.9.2-06</t>
  </si>
  <si>
    <t>200 OK - planId and period start/end unchanged</t>
  </si>
  <si>
    <t>FR3.9.2-07</t>
  </si>
  <si>
    <t>200 OK - getMySubscription returns current subscription</t>
  </si>
  <si>
    <t>- Can connect with server
- User is authenticated
- User has a subscription</t>
  </si>
  <si>
    <t>FR3.9.2-08</t>
  </si>
  <si>
    <t>[Boundary] Downgrade Plan with currentUser = owner, period end = today</t>
  </si>
  <si>
    <t>1. Prepare the state listed in Pre-conditions.
2. Call SubscriptionServiceImpl.cancel with: currentUser = owner, period end = today.
3. Check the response / error and the log.</t>
  </si>
  <si>
    <t>200 OK - status=CANCELLED</t>
  </si>
  <si>
    <t>FR3.9.2-09</t>
  </si>
  <si>
    <t>[Boundary] Downgrade Plan with currentUser = owner, subscription just created</t>
  </si>
  <si>
    <t>1. Prepare the state listed in Pre-conditions.
2. Call SubscriptionServiceImpl.cancel with: currentUser = owner, subscription just created.
3. Check the response / error and the log.</t>
  </si>
  <si>
    <t>FR3.9.2-10</t>
  </si>
  <si>
    <t>[Boundary] Downgrade Plan with targetPlanId = Basic, workspaces = = plan max</t>
  </si>
  <si>
    <t>1. Prepare the state listed in Pre-conditions.
2. Call SubscriptionServiceImpl.cancel with: targetPlanId = Basic; workspaces = = plan max.
3. Check the response / error and the log.</t>
  </si>
  <si>
    <t>200 OK - downgrade allowed at exact limit (spec)</t>
  </si>
  <si>
    <t>- Can connect with server
- User is authenticated
- User is OWNER of agency</t>
  </si>
  <si>
    <t>FR3.9.2-11</t>
  </si>
  <si>
    <t>[Boundary] Downgrade Plan with targetPlanId = Basic, workspaces = max + 1</t>
  </si>
  <si>
    <t>1. Prepare the state listed in Pre-conditions.
2. Call SubscriptionServiceImpl.cancel with: targetPlanId = Basic; workspaces = max + 1.
3. Check the response / error and the log.</t>
  </si>
  <si>
    <t>Error: WORKSPACE_LIMIT_REACHED (409) per spec; code has DOWNGRADE_NOT_ALLOWED</t>
  </si>
  <si>
    <t>FR3.9.2-12</t>
  </si>
  <si>
    <t>[Abnormal] Downgrade Plan with currentUser = user without subscription</t>
  </si>
  <si>
    <t>1. Prepare the state listed in Pre-conditions.
2. Call SubscriptionServiceImpl.cancel with: currentUser = user without subscription.
3. Check the response / error and the log.</t>
  </si>
  <si>
    <t>Error: NO_ACTIVE_SUBSCRIPTION - No active subscription found</t>
  </si>
  <si>
    <t>- Can connect with server
- User is authenticated
- User has no subscription</t>
  </si>
  <si>
    <t>FR3.9.2-13</t>
  </si>
  <si>
    <t>[Abnormal] Downgrade Plan with currentUser = owner with CANCELLED sub</t>
  </si>
  <si>
    <t>1. Prepare the state listed in Pre-conditions.
2. Call SubscriptionServiceImpl.cancel with: currentUser = owner with CANCELLED sub.
3. Check the response / error and the log.</t>
  </si>
  <si>
    <t>Error: ALREADY_CANCELLED - Subscription is already pending cancellation</t>
  </si>
  <si>
    <t>- Can connect with server
- User is authenticated
- User subscription is CANCELLED</t>
  </si>
  <si>
    <t>FR3.9.2-14</t>
  </si>
  <si>
    <t>[Abnormal] Downgrade Plan with currentUser = user without subscription, call = getMySubscription</t>
  </si>
  <si>
    <t>1. Prepare the state listed in Pre-conditions.
2. Call SubscriptionServiceImpl.cancel with: currentUser = user without subscription; call = getMySubscription.
3. Check the response / error and the log.</t>
  </si>
  <si>
    <t>FR3.9.2-15</t>
  </si>
  <si>
    <t>[Abnormal] Downgrade Plan with currentUser = creator</t>
  </si>
  <si>
    <t>1. Prepare the state listed in Pre-conditions.
2. Call SubscriptionServiceImpl.cancel with: currentUser = creator.
3. Check the response / error and the log.</t>
  </si>
  <si>
    <t>Error: 403 FORBIDDEN - only OWNER can downgrade (spec)</t>
  </si>
  <si>
    <t>- Can connect with server
- User is CREATOR (not OWNER)
- User has ACTIVE subscription</t>
  </si>
  <si>
    <t>FR3.9.2-16</t>
  </si>
  <si>
    <t>[Abnormal] Downgrade Plan with currentUser = null</t>
  </si>
  <si>
    <t>1. Prepare the state listed in Pre-conditions.
2. Call SubscriptionServiceImpl.cancel with: currentUser = null.
3. Check the response / error and the log.</t>
  </si>
  <si>
    <t>FR3.9.3-01</t>
  </si>
  <si>
    <t>[Normal] Make Payment (PayOS) with type = upgrade_plan, refId = Pro plan id</t>
  </si>
  <si>
    <t>1. Prepare the state listed in Pre-conditions.
2. Call BillingServiceImpl.createPayment with: type = upgrade_plan; refId = Pro plan id.
3. Check the response / error and the log.</t>
  </si>
  <si>
    <t>200 OK - TransactionResponse(status=PENDING, paymentUrl)</t>
  </si>
  <si>
    <t>- Can connect with server
- User is authenticated
- Plan exists and is active</t>
  </si>
  <si>
    <t>FR3.9.3-02</t>
  </si>
  <si>
    <t>[Normal] Make Payment (PayOS) with type = buy_credit, refId = credit pack id</t>
  </si>
  <si>
    <t>1. Prepare the state listed in Pre-conditions.
2. Call BillingServiceImpl.createPayment with: type = buy_credit; refId = credit pack id.
3. Check the response / error and the log.</t>
  </si>
  <si>
    <t>FR3.9.3-03</t>
  </si>
  <si>
    <t>[Normal] Make Payment (PayOS) with type = upgrade_plan, refId = Enterprise plan id</t>
  </si>
  <si>
    <t>1. Prepare the state listed in Pre-conditions.
2. Call BillingServiceImpl.createPayment with: type = upgrade_plan; refId = Enterprise plan id.
3. Check the response / error and the log.</t>
  </si>
  <si>
    <t>200 OK - Transaction PENDING created with transactionId</t>
  </si>
  <si>
    <t>FR3.9.3-04</t>
  </si>
  <si>
    <t>[Normal] Make Payment (PayOS) with callback = status=SUCCESS, valid signature</t>
  </si>
  <si>
    <t>1. Prepare the state listed in Pre-conditions.
2. Call BillingServiceImpl.createPayment with: callback = status=SUCCESS, valid signature.
3. Check the response / error and the log.</t>
  </si>
  <si>
    <t>200 OK - Transaction SUCCESS, plan/credit activated
Log: Payment confirmed</t>
  </si>
  <si>
    <t>- Can connect with server
- Transaction is PENDING
- Valid PayOS signature</t>
  </si>
  <si>
    <t>FR3.9.3-05</t>
  </si>
  <si>
    <t>[Normal] Make Payment (PayOS) with callback = status=FAILED, valid signature</t>
  </si>
  <si>
    <t>1. Prepare the state listed in Pre-conditions.
2. Call BillingServiceImpl.createPayment with: callback = status=FAILED, valid signature.
3. Check the response / error and the log.</t>
  </si>
  <si>
    <t>200 OK - Transaction FAILED, no plan/credit granted</t>
  </si>
  <si>
    <t>FR3.9.3-06</t>
  </si>
  <si>
    <t>[Normal] Make Payment (PayOS) with transactionId = existing owned transaction id</t>
  </si>
  <si>
    <t>1. Prepare the state listed in Pre-conditions.
2. Call BillingServiceImpl.createPayment with: transactionId = existing owned transaction id.
3. Check the response / error and the log.</t>
  </si>
  <si>
    <t>200 OK - TransactionResponse</t>
  </si>
  <si>
    <t>- Can connect with server
- User is authenticated
- Transaction exists</t>
  </si>
  <si>
    <t>FR3.9.3-07</t>
  </si>
  <si>
    <t>[Normal] Make Payment (PayOS) with callback = duplicate SUCCESS (PayOS retry)</t>
  </si>
  <si>
    <t>1. Prepare the state listed in Pre-conditions.
2. Call BillingServiceImpl.createPayment with: callback = duplicate SUCCESS (PayOS retry).
3. Check the response / error and the log.</t>
  </si>
  <si>
    <t>200 OK - idempotent, credit/plan not granted twice</t>
  </si>
  <si>
    <t>- Can connect with server
- Transaction is SUCCESS
- Valid PayOS signature</t>
  </si>
  <si>
    <t>FR3.9.3-08</t>
  </si>
  <si>
    <t>[Boundary] Make Payment (PayOS) with type = buy_credit, refId = minimum credit pack</t>
  </si>
  <si>
    <t>1. Prepare the state listed in Pre-conditions.
2. Call BillingServiceImpl.createPayment with: type = buy_credit; refId = minimum credit pack.
3. Check the response / error and the log.</t>
  </si>
  <si>
    <t>200 OK - Transaction PENDING</t>
  </si>
  <si>
    <t>FR3.9.3-09</t>
  </si>
  <si>
    <t>[Boundary] Make Payment (PayOS) with type = upgrade_plan, refId = free Basic plan (amount 0)</t>
  </si>
  <si>
    <t>1. Prepare the state listed in Pre-conditions.
2. Call BillingServiceImpl.createPayment with: type = upgrade_plan; refId = free Basic plan (amount 0).
3. Check the response / error and the log.</t>
  </si>
  <si>
    <t>200 OK - handled without checkout (spec TBD)</t>
  </si>
  <si>
    <t>FR3.9.3-10</t>
  </si>
  <si>
    <t>[Boundary] Make Payment (PayOS) with callback = webhook arrives 2 times concurrently</t>
  </si>
  <si>
    <t>1. Prepare the state listed in Pre-conditions.
2. Call BillingServiceImpl.createPayment with: callback = webhook arrives 2 times concurrently.
3. Check the response / error and the log.</t>
  </si>
  <si>
    <t>200 OK - only one activation (idempotent by transactionId)</t>
  </si>
  <si>
    <t>FR3.9.3-11</t>
  </si>
  <si>
    <t>[Abnormal] Make Payment (PayOS) with type = null, refId = Pro plan id</t>
  </si>
  <si>
    <t>1. Prepare the state listed in Pre-conditions.
2. Call BillingServiceImpl.createPayment with: type = null; refId = Pro plan id.
3. Check the response / error and the log.</t>
  </si>
  <si>
    <t>Error: 400 Bad Request - type is required</t>
  </si>
  <si>
    <t>FR3.9.3-12</t>
  </si>
  <si>
    <t>[Abnormal] Make Payment (PayOS) with type = unknown_type, refId = x</t>
  </si>
  <si>
    <t>1. Prepare the state listed in Pre-conditions.
2. Call BillingServiceImpl.createPayment with: type = unknown_type; refId = x.
3. Check the response / error and the log.</t>
  </si>
  <si>
    <t>Error: 400 Bad Request - unsupported payment type</t>
  </si>
  <si>
    <t>FR3.9.3-13</t>
  </si>
  <si>
    <t>[Abnormal] Make Payment (PayOS) with type = upgrade_plan, refId = non-existent plan id</t>
  </si>
  <si>
    <t>1. Prepare the state listed in Pre-conditions.
2. Call BillingServiceImpl.createPayment with: type = upgrade_plan; refId = non-existent plan id.
3. Check the response / error and the log.</t>
  </si>
  <si>
    <t>FR3.9.3-14</t>
  </si>
  <si>
    <t>[Abnormal] Make Payment (PayOS) with callback = signature mismatch</t>
  </si>
  <si>
    <t>1. Prepare the state listed in Pre-conditions.
2. Call BillingServiceImpl.createPayment with: callback = signature mismatch.
3. Check the response / error and the log.</t>
  </si>
  <si>
    <t>Error: INVALID_WEBHOOK_SIGNATURE (400) per spec - not yet in ErrorCode</t>
  </si>
  <si>
    <t>- Can connect with server
- Transaction is PENDING</t>
  </si>
  <si>
    <t>FR3.9.3-15</t>
  </si>
  <si>
    <t>[Abnormal] Make Payment (PayOS) with transactionId = non-existent UUID</t>
  </si>
  <si>
    <t>1. Prepare the state listed in Pre-conditions.
2. Call BillingServiceImpl.createPayment with: transactionId = non-existent UUID.
3. Check the response / error and the log.</t>
  </si>
  <si>
    <t>Error: 404 Not Found - transaction not found</t>
  </si>
  <si>
    <t>FR3.9.3-16</t>
  </si>
  <si>
    <t>[Abnormal] Make Payment (PayOS) with callback = plan update OK but transaction log fails</t>
  </si>
  <si>
    <t>1. Prepare the state listed in Pre-conditions.
2. Call BillingServiceImpl.createPayment with: callback = plan update OK but transaction log fails.
3. Check the response / error and the log.</t>
  </si>
  <si>
    <t>Error: Whole transaction rolled back (ACID)</t>
  </si>
  <si>
    <t>FR3.9.3-17</t>
  </si>
  <si>
    <t>[Abnormal] Make Payment (PayOS) with type = upgrade_plan, refId = Pro plan id</t>
  </si>
  <si>
    <t>FR3.9.4-01</t>
  </si>
  <si>
    <t>[Normal] View Invoice History with currentUser = owner with 3 transactions</t>
  </si>
  <si>
    <t>1. Prepare the state listed in Pre-conditions.
2. Call BillingServiceImpl.listTransactions with: currentUser = owner with 3 transactions.
3. Check the response / error and the log.</t>
  </si>
  <si>
    <t>200 OK - List&lt;TransactionResponse&gt; size=3</t>
  </si>
  <si>
    <t>- Can connect with server
- User is authenticated
- User is OWNER of agency
- User has transactions</t>
  </si>
  <si>
    <t>FR3.9.4-02</t>
  </si>
  <si>
    <t>[Normal] View Invoice History with currentUser = owner with upgrade + buy credit</t>
  </si>
  <si>
    <t>1. Prepare the state listed in Pre-conditions.
2. Call BillingServiceImpl.listTransactions with: currentUser = owner with upgrade + buy credit.
3. Check the response / error and the log.</t>
  </si>
  <si>
    <t>200 OK - items include type, amount, status, createdAt</t>
  </si>
  <si>
    <t>FR3.9.4-03</t>
  </si>
  <si>
    <t>[Normal] View Invoice History with currentUser = owner with FAILED transaction</t>
  </si>
  <si>
    <t>1. Prepare the state listed in Pre-conditions.
2. Call BillingServiceImpl.listTransactions with: currentUser = owner with FAILED transaction.
3. Check the response / error and the log.</t>
  </si>
  <si>
    <t>200 OK - FAILED transaction listed with status=FAILED</t>
  </si>
  <si>
    <t>FR3.9.4-04</t>
  </si>
  <si>
    <t>[Normal] View Invoice History with currentUser = owner with PENDING transaction</t>
  </si>
  <si>
    <t>1. Prepare the state listed in Pre-conditions.
2. Call BillingServiceImpl.listTransactions with: currentUser = owner with PENDING transaction.
3. Check the response / error and the log.</t>
  </si>
  <si>
    <t>200 OK - PENDING transaction listed</t>
  </si>
  <si>
    <t>FR3.9.4-05</t>
  </si>
  <si>
    <t>[Normal] View Invoice History with currentUser = owner with SUCCESS transaction</t>
  </si>
  <si>
    <t>1. Prepare the state listed in Pre-conditions.
2. Call BillingServiceImpl.listTransactions with: currentUser = owner with SUCCESS transaction.
3. Check the response / error and the log.</t>
  </si>
  <si>
    <t>200 OK - SUCCESS transaction listed</t>
  </si>
  <si>
    <t>FR3.9.4-06</t>
  </si>
  <si>
    <t>[Normal] View Invoice History with currentUser = owner with mixed history</t>
  </si>
  <si>
    <t>1. Prepare the state listed in Pre-conditions.
2. Call BillingServiceImpl.listTransactions with: currentUser = owner with mixed history.
3. Check the response / error and the log.</t>
  </si>
  <si>
    <t>200 OK - only caller's transactions returned</t>
  </si>
  <si>
    <t>FR3.9.4-07</t>
  </si>
  <si>
    <t>[Normal] View Invoice History with transactionId = own transaction id</t>
  </si>
  <si>
    <t>1. Prepare the state listed in Pre-conditions.
2. Call BillingServiceImpl.listTransactions with: transactionId = own transaction id.
3. Check the response / error and the log.</t>
  </si>
  <si>
    <t>200 OK - TransactionResponse detail</t>
  </si>
  <si>
    <t>- Can connect with server
- User is authenticated
- User is OWNER of agency
- Transaction exists</t>
  </si>
  <si>
    <t>FR3.9.4-08</t>
  </si>
  <si>
    <t>[Boundary] View Invoice History with currentUser = owner never paid</t>
  </si>
  <si>
    <t>1. Prepare the state listed in Pre-conditions.
2. Call BillingServiceImpl.listTransactions with: currentUser = owner never paid.
3. Check the response / error and the log.</t>
  </si>
  <si>
    <t>- Can connect with server
- User is authenticated
- User is OWNER of agency
- User has no transactions</t>
  </si>
  <si>
    <t>FR3.9.4-09</t>
  </si>
  <si>
    <t>[Boundary] View Invoice History with currentUser = owner with exactly 1 transaction</t>
  </si>
  <si>
    <t>1. Prepare the state listed in Pre-conditions.
2. Call BillingServiceImpl.listTransactions with: currentUser = owner with exactly 1 transaction.
3. Check the response / error and the log.</t>
  </si>
  <si>
    <t>200 OK - list size=1</t>
  </si>
  <si>
    <t>FR3.9.4-10</t>
  </si>
  <si>
    <t>[Boundary] View Invoice History with currentUser = owner with 1000 transactions</t>
  </si>
  <si>
    <t>1. Prepare the state listed in Pre-conditions.
2. Call BillingServiceImpl.listTransactions with: currentUser = owner with 1000 transactions.
3. Check the response / error and the log.</t>
  </si>
  <si>
    <t>200 OK - all items returned</t>
  </si>
  <si>
    <t>FR3.9.4-11</t>
  </si>
  <si>
    <t>[Boundary] View Invoice History with currentUser = owner, transactions same createdAt</t>
  </si>
  <si>
    <t>1. Prepare the state listed in Pre-conditions.
2. Call BillingServiceImpl.listTransactions with: currentUser = owner, transactions same createdAt.
3. Check the response / error and the log.</t>
  </si>
  <si>
    <t>200 OK - stable ordering</t>
  </si>
  <si>
    <t>FR3.9.4-12</t>
  </si>
  <si>
    <t>[Abnormal] View Invoice History with transactionId = non-existent UUID</t>
  </si>
  <si>
    <t>1. Prepare the state listed in Pre-conditions.
2. Call BillingServiceImpl.listTransactions with: transactionId = non-existent UUID.
3. Check the response / error and the log.</t>
  </si>
  <si>
    <t>FR3.9.4-13</t>
  </si>
  <si>
    <t>[Abnormal] View Invoice History with transactionId = null</t>
  </si>
  <si>
    <t>1. Prepare the state listed in Pre-conditions.
2. Call BillingServiceImpl.listTransactions with: transactionId = null.
3. Check the response / error and the log.</t>
  </si>
  <si>
    <t>Error: 400 Bad Request - invalid transactionId</t>
  </si>
  <si>
    <t>FR3.9.4-14</t>
  </si>
  <si>
    <t>[Abnormal] View Invoice History with transactionId = other user's transaction id</t>
  </si>
  <si>
    <t>1. Prepare the state listed in Pre-conditions.
2. Call BillingServiceImpl.listTransactions with: transactionId = other user's transaction id.
3. Check the response / error and the log.</t>
  </si>
  <si>
    <t>Error: 403 FORBIDDEN - not your transaction</t>
  </si>
  <si>
    <t>- Can connect with server
- User is authenticated
- Transaction belongs to another user</t>
  </si>
  <si>
    <t>FR3.9.4-15</t>
  </si>
  <si>
    <t>[Abnormal] View Invoice History with currentUser = creator</t>
  </si>
  <si>
    <t>1. Prepare the state listed in Pre-conditions.
2. Call BillingServiceImpl.listTransactions with: currentUser = creator.
3. Check the response / error and the log.</t>
  </si>
  <si>
    <t>Error: 403 FORBIDDEN - only OWNER can view invoices (spec)</t>
  </si>
  <si>
    <t>- Can connect with server
- User is CREATOR (not OWNER)</t>
  </si>
  <si>
    <t>FR3.9.4-16</t>
  </si>
  <si>
    <t>[Abnormal] View Invoice History with currentUser = null</t>
  </si>
  <si>
    <t>1. Prepare the state listed in Pre-conditions.
2. Call BillingServiceImpl.listTransactions with: currentUser = null.
3. Check the response / error and the log.</t>
  </si>
  <si>
    <t>FR3.9.5-01</t>
  </si>
  <si>
    <t>[Normal] View AI Credit Tracking with agencyId = own agency id, month = 2026-09, role = CREATOR</t>
  </si>
  <si>
    <t>1. Prepare the state listed in Pre-conditions.
2. Call BillingServiceImpl.getCreditUsage with: agencyId = own agency id; month = 2026-09; role = CREATOR.
3. Check the response / error and the log.</t>
  </si>
  <si>
    <t>200 OK - CreditUsageResponse(used, limit, byFeature) for self only</t>
  </si>
  <si>
    <t>- Can connect with server
- User is authenticated
- User is CREATOR of agency
- Agency exists</t>
  </si>
  <si>
    <t>FR3.9.5-02</t>
  </si>
  <si>
    <t>[Normal] View AI Credit Tracking with agencyId = own agency id, month = 2026-09, role = OWNER</t>
  </si>
  <si>
    <t>1. Prepare the state listed in Pre-conditions.
2. Call BillingServiceImpl.getCreditUsage with: agencyId = own agency id; month = 2026-09; role = OWNER.
3. Check the response / error and the log.</t>
  </si>
  <si>
    <t>200 OK - per-creator usage list for whole agency</t>
  </si>
  <si>
    <t>- Can connect with server
- User is authenticated
- User is OWNER of agency
- Agency exists</t>
  </si>
  <si>
    <t>FR3.9.5-03</t>
  </si>
  <si>
    <t>1. Prepare the state listed in Pre-conditions.
2. Call BillingServiceImpl.getCreditUsage with: agencyId = own agency id; month = 2026-09; role = CREATOR; usage = mixed.
3. Check the response / error and the log.</t>
  </si>
  <si>
    <t>200 OK - byFeature has image, content, video breakdown</t>
  </si>
  <si>
    <t>FR3.9.5-04</t>
  </si>
  <si>
    <t>[Normal] View AI Credit Tracking with agencyId = own agency id, month = 2026-08, role = OWNER</t>
  </si>
  <si>
    <t>1. Prepare the state listed in Pre-conditions.
2. Call BillingServiceImpl.getCreditUsage with: agencyId = own agency id; month = 2026-08; role = OWNER.
3. Check the response / error and the log.</t>
  </si>
  <si>
    <t>200 OK - usage of previous month</t>
  </si>
  <si>
    <t>FR3.9.5-05</t>
  </si>
  <si>
    <t>[Normal] View AI Credit Tracking with agencyId = own agency id, month = null, role = OWNER</t>
  </si>
  <si>
    <t>1. Prepare the state listed in Pre-conditions.
2. Call BillingServiceImpl.getCreditUsage with: agencyId = own agency id; month = null; role = OWNER.
3. Check the response / error and the log.</t>
  </si>
  <si>
    <t>200 OK - defaults to current month</t>
  </si>
  <si>
    <t>FR3.9.5-06</t>
  </si>
  <si>
    <t>1. Prepare the state listed in Pre-conditions.
2. Call BillingServiceImpl.getCreditUsage with: agencyId = own agency id; month = 2026-09; role = OWNER; usage = mixed.
3. Check the response / error and the log.</t>
  </si>
  <si>
    <t>200 OK - totals equal sum of creators</t>
  </si>
  <si>
    <t>FR3.9.5-07</t>
  </si>
  <si>
    <t>[Boundary] View AI Credit Tracking with agencyId = own agency id, month = 2026-09, role = CREATOR</t>
  </si>
  <si>
    <t>1. Prepare the state listed in Pre-conditions.
2. Call BillingServiceImpl.getCreditUsage with: agencyId = own agency id; month = 2026-09; role = CREATOR; usage = 0.
3. Check the response / error and the log.</t>
  </si>
  <si>
    <t>200 OK - used=0, byFeature all zero</t>
  </si>
  <si>
    <t>FR3.9.5-08</t>
  </si>
  <si>
    <t>1. Prepare the state listed in Pre-conditions.
2. Call BillingServiceImpl.getCreditUsage with: agencyId = own agency id; month = 2026-09; role = CREATOR; usage = = limit.
3. Check the response / error and the log.</t>
  </si>
  <si>
    <t>200 OK - used=limit, remaining 0</t>
  </si>
  <si>
    <t>FR3.9.5-09</t>
  </si>
  <si>
    <t>[Boundary] View AI Credit Tracking with agencyId = own agency id, month = first day of new month, role = CREATOR</t>
  </si>
  <si>
    <t>1. Prepare the state listed in Pre-conditions.
2. Call BillingServiceImpl.getCreditUsage with: agencyId = own agency id; month = first day of new month; role = CREATOR.
3. Check the response / error and the log.</t>
  </si>
  <si>
    <t>200 OK - usage reset for new month</t>
  </si>
  <si>
    <t>FR3.9.5-10</t>
  </si>
  <si>
    <t>[Boundary] View AI Credit Tracking with agencyId = own agency id, month = 2026-12, role = OWNER</t>
  </si>
  <si>
    <t>1. Prepare the state listed in Pre-conditions.
2. Call BillingServiceImpl.getCreditUsage with: agencyId = own agency id; month = 2026-12; role = OWNER.
3. Check the response / error and the log.</t>
  </si>
  <si>
    <t>200 OK - last month of year handled</t>
  </si>
  <si>
    <t>FR3.9.5-11</t>
  </si>
  <si>
    <t>[Boundary] View AI Credit Tracking with agencyId = own agency id, month = 2026-09, role = OWNER</t>
  </si>
  <si>
    <t>- Can connect with server
- User is authenticated
- User is OWNER of agency
- Agency has 1 creator</t>
  </si>
  <si>
    <t>FR3.9.5-12</t>
  </si>
  <si>
    <t>[Abnormal] View AI Credit Tracking with agencyId = own agency id, month = invalid-month, role = CREATOR</t>
  </si>
  <si>
    <t>1. Prepare the state listed in Pre-conditions.
2. Call BillingServiceImpl.getCreditUsage with: agencyId = own agency id; month = invalid-month; role = CREATOR.
3. Check the response / error and the log.</t>
  </si>
  <si>
    <t>Error: 400 Bad Request - month must be yyyy-MM</t>
  </si>
  <si>
    <t>FR3.9.5-13</t>
  </si>
  <si>
    <t>[Abnormal] View AI Credit Tracking with agencyId = own agency id, month = 2026-09, role = CREATOR</t>
  </si>
  <si>
    <t>1. Prepare the state listed in Pre-conditions.
2. Call BillingServiceImpl.getCreditUsage with: agencyId = own agency id; month = 2026-09; role = CREATOR; target = other creator's usage.
3. Check the response / error and the log.</t>
  </si>
  <si>
    <t>Error: 403 FORBIDDEN - cannot view other creator's credit</t>
  </si>
  <si>
    <t>FR3.9.5-14</t>
  </si>
  <si>
    <t>[Abnormal] View AI Credit Tracking with agencyId = non-existent UUID, month = 2026-09, role = OWNER</t>
  </si>
  <si>
    <t>1. Prepare the state listed in Pre-conditions.
2. Call BillingServiceImpl.getCreditUsage with: agencyId = non-existent UUID; month = 2026-09; role = OWNER.
3. Check the response / error and the log.</t>
  </si>
  <si>
    <t>Error: 404 Not Found - agency not found</t>
  </si>
  <si>
    <t>FR3.9.5-15</t>
  </si>
  <si>
    <t>[Abnormal] View AI Credit Tracking with agencyId = other agency id, month = 2026-09</t>
  </si>
  <si>
    <t>1. Prepare the state listed in Pre-conditions.
2. Call BillingServiceImpl.getCreditUsage with: agencyId = other agency id; month = 2026-09.
3. Check the response / error and the log.</t>
  </si>
  <si>
    <t>Error: 403 FORBIDDEN - not a member of agency</t>
  </si>
  <si>
    <t>- Can connect with server
- User is authenticated
- User is not member of agency</t>
  </si>
  <si>
    <t>FR3.9.5-16</t>
  </si>
  <si>
    <t>[Abnormal] View AI Credit Tracking with agencyId = own agency id, month = 2026-09</t>
  </si>
  <si>
    <t>1. Prepare the state listed in Pre-conditions.
2. Call BillingServiceImpl.getCreditUsage with: agencyId = own agency id; month = 2026-09.
3. Check the response / error and the log.</t>
  </si>
  <si>
    <t>FR3.9.6-01</t>
  </si>
  <si>
    <t>[Normal] Buy Credit with amount = 100</t>
  </si>
  <si>
    <t>1. Prepare the state listed in Pre-conditions.
2. Call BillingServiceImpl.buyCredit with: amount = 100.
3. Check the response / error and the log.</t>
  </si>
  <si>
    <t>- Can connect with server
- User is authenticated
- User is OWNER of agency
- Agency on Pro plan</t>
  </si>
  <si>
    <t>FR3.9.6-02</t>
  </si>
  <si>
    <t>[Normal] Buy Credit with amount = 500</t>
  </si>
  <si>
    <t>1. Prepare the state listed in Pre-conditions.
2. Call BillingServiceImpl.buyCredit with: amount = 500.
3. Check the response / error and the log.</t>
  </si>
  <si>
    <t>- Can connect with server
- User is authenticated
- User is OWNER of agency
- Agency on Enterprise plan</t>
  </si>
  <si>
    <t>FR3.9.6-03</t>
  </si>
  <si>
    <t>[Normal] Buy Credit with amount = 1000</t>
  </si>
  <si>
    <t>1. Prepare the state listed in Pre-conditions.
2. Call BillingServiceImpl.buyCredit with: amount = 1000.
3. Check the response / error and the log.</t>
  </si>
  <si>
    <t>200 OK - Transaction PENDING with amount computed</t>
  </si>
  <si>
    <t>FR3.9.6-04</t>
  </si>
  <si>
    <t>[Normal] Buy Credit with callback = SUCCESS for buy_credit</t>
  </si>
  <si>
    <t>1. Prepare the state listed in Pre-conditions.
2. Call BillingServiceImpl.buyCredit with: callback = SUCCESS for buy_credit.
3. Check the response / error and the log.</t>
  </si>
  <si>
    <t>200 OK - agency credit increased by purchased amount</t>
  </si>
  <si>
    <t>FR3.9.6-05</t>
  </si>
  <si>
    <t>[Normal] Buy Credit with callback = FAILED for buy_credit</t>
  </si>
  <si>
    <t>1. Prepare the state listed in Pre-conditions.
2. Call BillingServiceImpl.buyCredit with: callback = FAILED for buy_credit.
3. Check the response / error and the log.</t>
  </si>
  <si>
    <t>200 OK - Transaction FAILED, credit unchanged</t>
  </si>
  <si>
    <t>FR3.9.6-06</t>
  </si>
  <si>
    <t>[Normal] Buy Credit with callback = duplicate SUCCESS callback</t>
  </si>
  <si>
    <t>1. Prepare the state listed in Pre-conditions.
2. Call BillingServiceImpl.buyCredit with: callback = duplicate SUCCESS callback.
3. Check the response / error and the log.</t>
  </si>
  <si>
    <t>200 OK - idempotent, credit added only once</t>
  </si>
  <si>
    <t>FR3.9.6-07</t>
  </si>
  <si>
    <t>[Normal] Buy Credit with amount = 10</t>
  </si>
  <si>
    <t>1. Prepare the state listed in Pre-conditions.
2. Call BillingServiceImpl.buyCredit with: amount = 10.
3. Check the response / error and the log.</t>
  </si>
  <si>
    <t>FR3.9.6-08</t>
  </si>
  <si>
    <t>[Boundary] Buy Credit with amount = 1</t>
  </si>
  <si>
    <t>1. Prepare the state listed in Pre-conditions.
2. Call BillingServiceImpl.buyCredit with: amount = 1.
3. Check the response / error and the log.</t>
  </si>
  <si>
    <t>200 OK - minimum purchase accepted</t>
  </si>
  <si>
    <t>FR3.9.6-09</t>
  </si>
  <si>
    <t>[Boundary] Buy Credit with amount = 0</t>
  </si>
  <si>
    <t>1. Prepare the state listed in Pre-conditions.
2. Call BillingServiceImpl.buyCredit with: amount = 0.
3. Check the response / error and the log.</t>
  </si>
  <si>
    <t>Error: 400 Bad Request - amount must be positive</t>
  </si>
  <si>
    <t>FR3.9.6-10</t>
  </si>
  <si>
    <t>[Boundary] Buy Credit with amount = -1</t>
  </si>
  <si>
    <t>1. Prepare the state listed in Pre-conditions.
2. Call BillingServiceImpl.buyCredit with: amount = -1.
3. Check the response / error and the log.</t>
  </si>
  <si>
    <t>FR3.9.6-11</t>
  </si>
  <si>
    <t>[Boundary] Buy Credit with amount = maximum allowed + 1</t>
  </si>
  <si>
    <t>1. Prepare the state listed in Pre-conditions.
2. Call BillingServiceImpl.buyCredit with: amount = maximum allowed + 1.
3. Check the response / error and the log.</t>
  </si>
  <si>
    <t>Error: 400 Bad Request - amount exceeds maximum</t>
  </si>
  <si>
    <t>FR3.9.6-12</t>
  </si>
  <si>
    <t>[Abnormal] Buy Credit with amount = null</t>
  </si>
  <si>
    <t>1. Prepare the state listed in Pre-conditions.
2. Call BillingServiceImpl.buyCredit with: amount = null.
3. Check the response / error and the log.</t>
  </si>
  <si>
    <t>Error: 400 Bad Request - amount is required</t>
  </si>
  <si>
    <t>FR3.9.6-13</t>
  </si>
  <si>
    <t>[Abnormal] Buy Credit with amount = abc (non-numeric)</t>
  </si>
  <si>
    <t>1. Prepare the state listed in Pre-conditions.
2. Call BillingServiceImpl.buyCredit with: amount = abc (non-numeric).
3. Check the response / error and the log.</t>
  </si>
  <si>
    <t>Error: 400 Bad Request - invalid amount</t>
  </si>
  <si>
    <t>FR3.9.6-14</t>
  </si>
  <si>
    <t>[Abnormal] Buy Credit with amount = 100, role = CREATOR</t>
  </si>
  <si>
    <t>1. Prepare the state listed in Pre-conditions.
2. Call BillingServiceImpl.buyCredit with: amount = 100; role = CREATOR.
3. Check the response / error and the log.</t>
  </si>
  <si>
    <t>Error: 403 FORBIDDEN - only OWNER can buy credit</t>
  </si>
  <si>
    <t>- Can connect with server
- User is authenticated
- User is CREATOR of agency</t>
  </si>
  <si>
    <t>FR3.9.6-15</t>
  </si>
  <si>
    <t>[Abnormal] Buy Credit with amount = 100</t>
  </si>
  <si>
    <t>Error: 403 FORBIDDEN - credit purchase requires Pro/Enterprise (spec objective)</t>
  </si>
  <si>
    <t>- Can connect with server
- User is authenticated
- User is OWNER of agency
- Agency on Basic plan</t>
  </si>
  <si>
    <t>FR3.9.6-16</t>
  </si>
  <si>
    <t>FR3.9.7-01</t>
  </si>
  <si>
    <t>[Normal] Set Credit with agencyId = own agency id, monthlyLimit = 100, agencyCredit = 500</t>
  </si>
  <si>
    <t>1. Prepare the state listed in Pre-conditions.
2. Call BillingServiceImpl.setCreditLimit with: agencyId = own agency id; monthlyLimit = 100; agencyCredit = 500.
3. Check the response / error and the log.</t>
  </si>
  <si>
    <t>200 OK - CreditLimitResponse(creatorId, monthlyLimit=100)</t>
  </si>
  <si>
    <t>- Can connect with server
- User is authenticated
- User is OWNER of agency
- Agency exists
- Creator belongs to agency</t>
  </si>
  <si>
    <t>FR3.9.7-02</t>
  </si>
  <si>
    <t>[Normal] Set Credit with agencyId = own agency id, monthlyLimit = 250, agencyCredit = 500</t>
  </si>
  <si>
    <t>1. Prepare the state listed in Pre-conditions.
2. Call BillingServiceImpl.setCreditLimit with: agencyId = own agency id; monthlyLimit = 250; agencyCredit = 500.
3. Check the response / error and the log.</t>
  </si>
  <si>
    <t>200 OK - CreditLimitResponse(monthlyLimit=250)</t>
  </si>
  <si>
    <t>FR3.9.7-03</t>
  </si>
  <si>
    <t>[Normal] Set Credit with agencyId = own agency id, monthlyLimit = 300, agencyCredit = 500</t>
  </si>
  <si>
    <t>1. Prepare the state listed in Pre-conditions.
2. Call BillingServiceImpl.setCreditLimit with: agencyId = own agency id; monthlyLimit = 300; agencyCredit = 500.
3. Check the response / error and the log.</t>
  </si>
  <si>
    <t>200 OK - limit updated to 300</t>
  </si>
  <si>
    <t>- Can connect with server
- User is authenticated
- User is OWNER of agency
- Agency exists
- Creator has existing limit</t>
  </si>
  <si>
    <t>FR3.9.7-04</t>
  </si>
  <si>
    <t>[Normal] Set Credit with agencyId = own agency id, monthlyLimit = 50, used = 80</t>
  </si>
  <si>
    <t>1. Prepare the state listed in Pre-conditions.
2. Call BillingServiceImpl.setCreditLimit with: agencyId = own agency id; monthlyLimit = 50; used = 80.
3. Check the response / error and the log.</t>
  </si>
  <si>
    <t>200 OK - limit set, old usage not rolled back</t>
  </si>
  <si>
    <t>- Can connect with server
- User is authenticated
- User is OWNER of agency
- Agency exists
- Creator already used more than new limit</t>
  </si>
  <si>
    <t>FR3.9.7-05</t>
  </si>
  <si>
    <t>[Normal] Set Credit with agencyId = own agency id, monthlyLimit = 50, agencyCredit = 500</t>
  </si>
  <si>
    <t>1. Prepare the state listed in Pre-conditions.
2. Call BillingServiceImpl.setCreditLimit with: agencyId = own agency id; monthlyLimit = 50; agencyCredit = 500.
3. Check the response / error and the log.</t>
  </si>
  <si>
    <t>200 OK - Creator blocked from AI when usage &gt;= 50</t>
  </si>
  <si>
    <t>FR3.9.7-06</t>
  </si>
  <si>
    <t>[Normal] Set Credit with agencyId = own agency id, monthlyLimit = 100, creator = second creator</t>
  </si>
  <si>
    <t>1. Prepare the state listed in Pre-conditions.
2. Call BillingServiceImpl.setCreditLimit with: agencyId = own agency id; monthlyLimit = 100; creator = second creator.
3. Check the response / error and the log.</t>
  </si>
  <si>
    <t>200 OK - limit set only for target creator</t>
  </si>
  <si>
    <t>- Can connect with server
- User is authenticated
- User is OWNER of agency
- Agency exists
- Two creators in agency</t>
  </si>
  <si>
    <t>FR3.9.7-07</t>
  </si>
  <si>
    <t>[Normal] Set Credit with agencyId = own agency id, monthlyLimit = 500, agencyCredit = 500</t>
  </si>
  <si>
    <t>1. Prepare the state listed in Pre-conditions.
2. Call BillingServiceImpl.setCreditLimit with: agencyId = own agency id; monthlyLimit = 500; agencyCredit = 500.
3. Check the response / error and the log.</t>
  </si>
  <si>
    <t>200 OK - limit equals agency total credit</t>
  </si>
  <si>
    <t>FR3.9.7-08</t>
  </si>
  <si>
    <t>[Boundary] Set Credit with agencyId = own agency id, monthlyLimit = 0, agencyCredit = 500</t>
  </si>
  <si>
    <t>1. Prepare the state listed in Pre-conditions.
2. Call BillingServiceImpl.setCreditLimit with: agencyId = own agency id; monthlyLimit = 0; agencyCredit = 500.
3. Check the response / error and the log.</t>
  </si>
  <si>
    <t>200 OK - creator blocked from AI (limit 0)</t>
  </si>
  <si>
    <t>FR3.9.7-09</t>
  </si>
  <si>
    <t>[Boundary] Set Credit with agencyId = own agency id, monthlyLimit = 1, agencyCredit = 500</t>
  </si>
  <si>
    <t>1. Prepare the state listed in Pre-conditions.
2. Call BillingServiceImpl.setCreditLimit with: agencyId = own agency id; monthlyLimit = 1; agencyCredit = 500.
3. Check the response / error and the log.</t>
  </si>
  <si>
    <t>200 OK - minimum limit accepted</t>
  </si>
  <si>
    <t>FR3.9.7-10</t>
  </si>
  <si>
    <t>[Boundary] Set Credit with agencyId = own agency id, monthlyLimit = 501, agencyCredit = 500</t>
  </si>
  <si>
    <t>1. Prepare the state listed in Pre-conditions.
2. Call BillingServiceImpl.setCreditLimit with: agencyId = own agency id; monthlyLimit = 501; agencyCredit = 500.
3. Check the response / error and the log.</t>
  </si>
  <si>
    <t>Error: LIMIT_EXCEEDS_AGENCY_CREDIT (400) per spec - not yet in ErrorCode</t>
  </si>
  <si>
    <t>FR3.9.7-11</t>
  </si>
  <si>
    <t>[Boundary] Set Credit with agencyId = own agency id, monthlyLimit = -1, agencyCredit = 500</t>
  </si>
  <si>
    <t>1. Prepare the state listed in Pre-conditions.
2. Call BillingServiceImpl.setCreditLimit with: agencyId = own agency id; monthlyLimit = -1; agencyCredit = 500.
3. Check the response / error and the log.</t>
  </si>
  <si>
    <t>Error: 400 Bad Request - monthlyLimit must be &gt;= 0</t>
  </si>
  <si>
    <t>FR3.9.7-12</t>
  </si>
  <si>
    <t>[Abnormal] Set Credit with agencyId = own agency id, monthlyLimit = null</t>
  </si>
  <si>
    <t>1. Prepare the state listed in Pre-conditions.
2. Call BillingServiceImpl.setCreditLimit with: agencyId = own agency id; monthlyLimit = null.
3. Check the response / error and the log.</t>
  </si>
  <si>
    <t>Error: 400 Bad Request - monthlyLimit is required</t>
  </si>
  <si>
    <t>FR3.9.7-13</t>
  </si>
  <si>
    <t>[Abnormal] Set Credit with agencyId = own agency id, monthlyLimit = 100, role = CREATOR</t>
  </si>
  <si>
    <t>1. Prepare the state listed in Pre-conditions.
2. Call BillingServiceImpl.setCreditLimit with: agencyId = own agency id; monthlyLimit = 100; role = CREATOR.
3. Check the response / error and the log.</t>
  </si>
  <si>
    <t>Error: 403 FORBIDDEN - only OWNER can set credit limit</t>
  </si>
  <si>
    <t>FR3.9.7-14</t>
  </si>
  <si>
    <t>[Abnormal] Set Credit with agencyId = non-existent UUID, monthlyLimit = 100</t>
  </si>
  <si>
    <t>1. Prepare the state listed in Pre-conditions.
2. Call BillingServiceImpl.setCreditLimit with: agencyId = non-existent UUID; monthlyLimit = 100.
3. Check the response / error and the log.</t>
  </si>
  <si>
    <t>FR3.9.7-15</t>
  </si>
  <si>
    <t>[Abnormal] Set Credit with agencyId = own agency id, monthlyLimit = 100, creator = not in agency</t>
  </si>
  <si>
    <t>1. Prepare the state listed in Pre-conditions.
2. Call BillingServiceImpl.setCreditLimit with: agencyId = own agency id; monthlyLimit = 100; creator = not in agency.
3. Check the response / error and the log.</t>
  </si>
  <si>
    <t>Error: 404 Not Found - creator not found in agency</t>
  </si>
  <si>
    <t>FR3.9.7-16</t>
  </si>
  <si>
    <t>[Abnormal] Set Credit with agencyId = other agency id, monthlyLimit = 100</t>
  </si>
  <si>
    <t>1. Prepare the state listed in Pre-conditions.
2. Call BillingServiceImpl.setCreditLimit with: agencyId = other agency id; monthlyLimit = 100.
3. Check the response / error and the log.</t>
  </si>
  <si>
    <t>Error: 403 FORBIDDEN - not owner of this agency</t>
  </si>
  <si>
    <t>- Can connect with server
- User is authenticated
- User is OWNER of another agency</t>
  </si>
  <si>
    <t>FR3.9.7-17</t>
  </si>
  <si>
    <t>[Abnormal] Set Credit with agencyId = own agency id, monthlyLimit = 100</t>
  </si>
  <si>
    <t>1. Prepare the state listed in Pre-conditions.
2. Call BillingServiceImpl.setCreditLimit with: agencyId = own agency id; monthlyLimit = 100.
3. Check the response / error and the log.</t>
  </si>
  <si>
    <t>Functional test of 3.10.1 Push Notification; 3.10.2 Platform Statistics Overview; 3.10.3 System Health Monitoring; 3.10.4 Content Moderation Queue and 7 more</t>
  </si>
  <si>
    <t>FR3.10.1-01</t>
  </si>
  <si>
    <t>[Normal] Push Notification with title = Maintenance, content = Down at 22:00, targetAudience = all</t>
  </si>
  <si>
    <t>1. Prepare the state listed in Pre-conditions.
2. Call AdminNotificationServiceImpl.createNotification with: title = Maintenance; content = Down at 22:00; targetAudience = all.
3. Check the response / error and the log.</t>
  </si>
  <si>
    <t>201 Created - NotificationResponse(id, recipientCount=all active users)
Log: Notification dispatched to all users</t>
  </si>
  <si>
    <t>- Can connect with server
- Caller has ADMIN system role</t>
  </si>
  <si>
    <t>FR3.10.1-02</t>
  </si>
  <si>
    <t>[Normal] Push Notification with title = New feature, content = Try AI, targetAudience = plan=PRO</t>
  </si>
  <si>
    <t>1. Prepare the state listed in Pre-conditions.
2. Call AdminNotificationServiceImpl.createNotification with: title = New feature; content = Try AI; targetAudience = plan=PRO.
3. Check the response / error and the log.</t>
  </si>
  <si>
    <t>201 Created - NotificationResponse(id, recipientCount=PRO users)
Log: Notification dispatched to PRO users</t>
  </si>
  <si>
    <t>FR3.10.1-03</t>
  </si>
  <si>
    <t>[Normal] Push Notification with title = Role notice, content = Hello, targetAudience = role=AGENCY_OWNER</t>
  </si>
  <si>
    <t>1. Prepare the state listed in Pre-conditions.
2. Call AdminNotificationServiceImpl.createNotification with: title = Role notice; content = Hello; targetAudience = role=AGENCY_OWNER.
3. Check the response / error and the log.</t>
  </si>
  <si>
    <t>201 Created - NotificationResponse(id, recipientCount=owner count)
Log: Notification dispatched to role</t>
  </si>
  <si>
    <t>FR3.10.1-04</t>
  </si>
  <si>
    <t>[Normal] Push Notification with title = Scheduled, content = Later, targetAudience = all</t>
  </si>
  <si>
    <t>1. Prepare the state listed in Pre-conditions.
2. Call AdminNotificationServiceImpl.createNotification with: title = Scheduled; content = Later; targetAudience = all; scheduledAt = future datetime.
3. Check the response / error and the log.</t>
  </si>
  <si>
    <t>201 Created - NotificationResponse(id, recipientCount=n), status=SCHEDULED
Log: Notification scheduled</t>
  </si>
  <si>
    <t>FR3.10.1-05</t>
  </si>
  <si>
    <t>[Normal] Push Notification with title = No match, content = Hi, targetAudience = plan=ENTERPRISE</t>
  </si>
  <si>
    <t>1. Prepare the state listed in Pre-conditions.
2. Call AdminNotificationServiceImpl.createNotification with: title = No match; content = Hi; targetAudience = plan=ENTERPRISE.
3. Check the response / error and the log.</t>
  </si>
  <si>
    <t>201 Created - NotificationResponse(id, recipientCount=0), still created</t>
  </si>
  <si>
    <t>FR3.10.1-06</t>
  </si>
  <si>
    <t>[Normal] Push Notification with title = Role no match, content = Hi, targetAudience = role=NO_USERS</t>
  </si>
  <si>
    <t>1. Prepare the state listed in Pre-conditions.
2. Call AdminNotificationServiceImpl.createNotification with: title = Role no match; content = Hi; targetAudience = role=NO_USERS.
3. Check the response / error and the log.</t>
  </si>
  <si>
    <t>FR3.10.1-07</t>
  </si>
  <si>
    <t>[Boundary] Push Notification with title = T, content = C, targetAudience = all</t>
  </si>
  <si>
    <t>1. Prepare the state listed in Pre-conditions.
2. Call AdminNotificationServiceImpl.createNotification with: title = T; content = C; targetAudience = all.
3. Check the response / error and the log.</t>
  </si>
  <si>
    <t>201 Created - NotificationResponse(id, recipientCount=n), min length title and content</t>
  </si>
  <si>
    <t>FR3.10.1-08</t>
  </si>
  <si>
    <t>[Boundary] Push Notification with title = title at max length, content = C, targetAudience = all</t>
  </si>
  <si>
    <t>1. Prepare the state listed in Pre-conditions.
2. Call AdminNotificationServiceImpl.createNotification with: title = title at max length; content = C; targetAudience = all.
3. Check the response / error and the log.</t>
  </si>
  <si>
    <t>201 Created - NotificationResponse(id, recipientCount=n)</t>
  </si>
  <si>
    <t>FR3.10.1-09</t>
  </si>
  <si>
    <t>[Boundary] Push Notification with title = Scheduled, content = Later, targetAudience = all</t>
  </si>
  <si>
    <t>1. Prepare the state listed in Pre-conditions.
2. Call AdminNotificationServiceImpl.createNotification with: title = Scheduled; content = Later; targetAudience = all; scheduledAt = now + 1 minute.
3. Check the response / error and the log.</t>
  </si>
  <si>
    <t>201 Created - NotificationResponse(id, recipientCount=n), status=SCHEDULED</t>
  </si>
  <si>
    <t>FR3.10.1-10</t>
  </si>
  <si>
    <t>[Abnormal] Push Notification with title = Hello, content = Hi, targetAudience = all</t>
  </si>
  <si>
    <t>1. Prepare the state listed in Pre-conditions.
2. Call AdminNotificationServiceImpl.createNotification with: title = Hello; content = Hi; targetAudience = all.
3. Check the response / error and the log.</t>
  </si>
  <si>
    <t>Error: BusinessException(FORBIDDEN) - Your role does not have permission to perform this action</t>
  </si>
  <si>
    <t>- Can connect with server
- Caller does not have ADMIN system role</t>
  </si>
  <si>
    <t>FR3.10.1-11</t>
  </si>
  <si>
    <t>Error: BusinessException(UNAUTHORIZED)</t>
  </si>
  <si>
    <t>- Can connect with server
- Request has no valid JWT</t>
  </si>
  <si>
    <t>FR3.10.1-12</t>
  </si>
  <si>
    <t>[Abnormal] Push Notification with title = null, content = Hi, targetAudience = all</t>
  </si>
  <si>
    <t>1. Prepare the state listed in Pre-conditions.
2. Call AdminNotificationServiceImpl.createNotification with: title = null; content = Hi; targetAudience = all.
3. Check the response / error and the log.</t>
  </si>
  <si>
    <t>Error: BusinessException(INVALID_REQUEST) - Invalid request format or parameters</t>
  </si>
  <si>
    <t>FR3.10.1-13</t>
  </si>
  <si>
    <t>[Abnormal] Push Notification with title = Hello, content = empty, targetAudience = all</t>
  </si>
  <si>
    <t>1. Prepare the state listed in Pre-conditions.
2. Call AdminNotificationServiceImpl.createNotification with: title = Hello; content = empty; targetAudience = all.
3. Check the response / error and the log.</t>
  </si>
  <si>
    <t>FR3.10.1-14</t>
  </si>
  <si>
    <t>[Abnormal] Push Notification with title = Hello, content = Hi, targetAudience = null</t>
  </si>
  <si>
    <t>1. Prepare the state listed in Pre-conditions.
2. Call AdminNotificationServiceImpl.createNotification with: title = Hello; content = Hi; targetAudience = null.
3. Check the response / error and the log.</t>
  </si>
  <si>
    <t>FR3.10.1-15</t>
  </si>
  <si>
    <t>[Abnormal] Push Notification with title = Hello, content = Hi, targetAudience = unknown audience type</t>
  </si>
  <si>
    <t>1. Prepare the state listed in Pre-conditions.
2. Call AdminNotificationServiceImpl.createNotification with: title = Hello; content = Hi; targetAudience = unknown audience type.
3. Check the response / error and the log.</t>
  </si>
  <si>
    <t>FR3.10.1-16</t>
  </si>
  <si>
    <t>1. Prepare the state listed in Pre-conditions.
2. Call AdminNotificationServiceImpl.createNotification with: title = Hello; content = Hi; targetAudience = all; scheduledAt = past datetime.
3. Check the response / error and the log.</t>
  </si>
  <si>
    <t>FR3.10.2-01</t>
  </si>
  <si>
    <t>[Normal] Platform Statistics Overview</t>
  </si>
  <si>
    <t>1. Prepare the state listed in Pre-conditions.
2. Call AdminStatisticsServiceImpl.getOverview with: no input.
3. Check the response / error and the log.</t>
  </si>
  <si>
    <t>200 OK - totalUsers, newUsersByDay, revenueByMonth, activeAgencies</t>
  </si>
  <si>
    <t>- Can connect with server
- Caller has ADMIN system role
- Users, payments and agencies exist</t>
  </si>
  <si>
    <t>FR3.10.2-02</t>
  </si>
  <si>
    <t>200 OK - totalUsers equals count of all non-deleted users</t>
  </si>
  <si>
    <t>FR3.10.2-03</t>
  </si>
  <si>
    <t>200 OK - revenueByMonth has one entry per month with payments</t>
  </si>
  <si>
    <t>- Can connect with server
- Caller has ADMIN system role
- Payments exist in several months</t>
  </si>
  <si>
    <t>FR3.10.2-04</t>
  </si>
  <si>
    <t>200 OK - activeAgencies counts only ACTIVE agencies</t>
  </si>
  <si>
    <t>- Can connect with server
- Caller has ADMIN system role
- Agencies with ACTIVE and INACTIVE status</t>
  </si>
  <si>
    <t>FR3.10.2-05</t>
  </si>
  <si>
    <t>200 OK - newUsersByDay grouped by createdAt date</t>
  </si>
  <si>
    <t>- Can connect with server
- Caller has ADMIN system role
- Users created on different days</t>
  </si>
  <si>
    <t>FR3.10.2-06</t>
  </si>
  <si>
    <t>200 OK - plan distribution matches subscriptions</t>
  </si>
  <si>
    <t>- Can connect with server
- Caller has ADMIN system role
- Users on FREE and PRO plans</t>
  </si>
  <si>
    <t>FR3.10.2-07</t>
  </si>
  <si>
    <t>[Boundary] Platform Statistics Overview</t>
  </si>
  <si>
    <t>200 OK - totalUsers=0, revenueByMonth=[], activeAgencies=0</t>
  </si>
  <si>
    <t>- Can connect with server
- Caller has ADMIN system role
- System has no data</t>
  </si>
  <si>
    <t>FR3.10.2-08</t>
  </si>
  <si>
    <t>200 OK - totalUsers=1, newUsersByDay has 1 entry</t>
  </si>
  <si>
    <t>- Can connect with server
- Caller has ADMIN system role
- Exactly one user exists</t>
  </si>
  <si>
    <t>FR3.10.2-09</t>
  </si>
  <si>
    <t>200 OK - revenueByMonth has 12 entries</t>
  </si>
  <si>
    <t>- Can connect with server
- Caller has ADMIN system role
- Payments in each of last 12 months</t>
  </si>
  <si>
    <t>FR3.10.2-10</t>
  </si>
  <si>
    <t>200 OK - totalUsers=0 when all users soft-deleted</t>
  </si>
  <si>
    <t>- Can connect with server
- Caller has ADMIN system role
- All users are soft-deleted</t>
  </si>
  <si>
    <t>FR3.10.2-11</t>
  </si>
  <si>
    <t>200 OK - month-end payment counted in correct month</t>
  </si>
  <si>
    <t>- Can connect with server
- Caller has ADMIN system role
- Payment at 23:59:59 on last day of month</t>
  </si>
  <si>
    <t>FR3.10.2-12</t>
  </si>
  <si>
    <t>[Abnormal] Platform Statistics Overview</t>
  </si>
  <si>
    <t>FR3.10.2-13</t>
  </si>
  <si>
    <t>- Can connect with server
- Caller has role USER</t>
  </si>
  <si>
    <t>FR3.10.2-14</t>
  </si>
  <si>
    <t>FR3.10.2-15</t>
  </si>
  <si>
    <t>- Can connect with server
- JWT is expired</t>
  </si>
  <si>
    <t>FR3.10.2-16</t>
  </si>
  <si>
    <t>Error: BusinessException(INTERNAL_ERROR)</t>
  </si>
  <si>
    <t>- Can connect with server
- Caller has ADMIN system role
- Statistics repository throws exception</t>
  </si>
  <si>
    <t>FR3.10.3-01</t>
  </si>
  <si>
    <t>[Normal] System Health Monitoring with serviceFilter = none</t>
  </si>
  <si>
    <t>1. Prepare the state listed in Pre-conditions.
2. Call HealthQueryService.list with: serviceFilter = none.
3. Check the response / error and the log.</t>
  </si>
  <si>
    <t>200 OK - each service status=UP with cpuPercent, ramPercent, uptime</t>
  </si>
  <si>
    <t>- Can connect with server
- Caller has ADMIN system role
- All services respond</t>
  </si>
  <si>
    <t>FR3.10.3-02</t>
  </si>
  <si>
    <t>200 OK - business-service status=DOWN, others UP
Log: Service marked DOWN</t>
  </si>
  <si>
    <t>- Can connect with server
- Caller has ADMIN system role
- business-service not responding</t>
  </si>
  <si>
    <t>FR3.10.3-03</t>
  </si>
  <si>
    <t>[Normal] System Health Monitoring with serviceFilter = business-service</t>
  </si>
  <si>
    <t>1. Prepare the state listed in Pre-conditions.
2. Call HealthQueryService.list with: serviceFilter = business-service.
3. Check the response / error and the log.</t>
  </si>
  <si>
    <t>200 OK - only business-service entry</t>
  </si>
  <si>
    <t>FR3.10.3-04</t>
  </si>
  <si>
    <t>[Normal] System Health Monitoring with status = UP</t>
  </si>
  <si>
    <t>1. Prepare the state listed in Pre-conditions.
2. Call HealthQueryService.list with: status = UP.
3. Check the response / error and the log.</t>
  </si>
  <si>
    <t>200 OK - only UP services</t>
  </si>
  <si>
    <t>FR3.10.3-05</t>
  </si>
  <si>
    <t>[Normal] System Health Monitoring with status = DOWN</t>
  </si>
  <si>
    <t>1. Prepare the state listed in Pre-conditions.
2. Call HealthQueryService.list with: status = DOWN.
3. Check the response / error and the log.</t>
  </si>
  <si>
    <t>200 OK - only DOWN services</t>
  </si>
  <si>
    <t>- Can connect with server
- Caller has ADMIN system role
- One service DOWN</t>
  </si>
  <si>
    <t>FR3.10.3-06</t>
  </si>
  <si>
    <t>200 OK - latest evidence returned, no probe credentials</t>
  </si>
  <si>
    <t>- Can connect with server
- Caller has ADMIN system role
- Collector heartbeat received recently</t>
  </si>
  <si>
    <t>FR3.10.3-07</t>
  </si>
  <si>
    <t>200 OK - second call returns newer sample time</t>
  </si>
  <si>
    <t>- Can connect with server
- Caller has ADMIN system role
- Two refreshes 30s apart</t>
  </si>
  <si>
    <t>FR3.10.3-08</t>
  </si>
  <si>
    <t>[Boundary] System Health Monitoring with serviceFilter = none</t>
  </si>
  <si>
    <t>200 OK - cpuPercent=100</t>
  </si>
  <si>
    <t>- Can connect with server
- Caller has ADMIN system role
- CPU at 100% usage</t>
  </si>
  <si>
    <t>FR3.10.3-09</t>
  </si>
  <si>
    <t>200 OK - ramPercent=0</t>
  </si>
  <si>
    <t>- Can connect with server
- Caller has ADMIN system role
- RAM at 0% usage</t>
  </si>
  <si>
    <t>FR3.10.3-10</t>
  </si>
  <si>
    <t>200 OK - uptime=0s</t>
  </si>
  <si>
    <t>- Can connect with server
- Caller has ADMIN system role
- Service just started</t>
  </si>
  <si>
    <t>FR3.10.3-11</t>
  </si>
  <si>
    <t>- Can connect with server
- Caller has ADMIN system role
- No services registered</t>
  </si>
  <si>
    <t>FR3.10.3-12</t>
  </si>
  <si>
    <t>200 OK - every service status=DOWN, no page-level error</t>
  </si>
  <si>
    <t>- Can connect with server
- Caller has ADMIN system role
- All services DOWN</t>
  </si>
  <si>
    <t>FR3.10.3-13</t>
  </si>
  <si>
    <t>[Abnormal] System Health Monitoring with serviceFilter = none</t>
  </si>
  <si>
    <t>Error: BusinessException(MONITORING_FORBIDDEN) - Monitoring access denied</t>
  </si>
  <si>
    <t>FR3.10.3-14</t>
  </si>
  <si>
    <t>- Can connect with server
- Request has no authenticated principal</t>
  </si>
  <si>
    <t>FR3.10.3-15</t>
  </si>
  <si>
    <t>[Abnormal] System Health Monitoring with serviceFilter = unknown-service</t>
  </si>
  <si>
    <t>1. Prepare the state listed in Pre-conditions.
2. Call HealthQueryService.list with: serviceFilter = unknown-service.
3. Check the response / error and the log.</t>
  </si>
  <si>
    <t>FR3.10.3-16</t>
  </si>
  <si>
    <t>200 OK - stale service reported as DOWN</t>
  </si>
  <si>
    <t>- Can connect with server
- Caller has ADMIN system role
- Latest sample is stale</t>
  </si>
  <si>
    <t>FR3.10.4-01</t>
  </si>
  <si>
    <t>[Normal] Content Moderation Queue with action = list</t>
  </si>
  <si>
    <t>1. Prepare the state listed in Pre-conditions.
2. Call AdminModerationServiceImpl.overrideDecision with: action = list.
3. Check the response / error and the log.</t>
  </si>
  <si>
    <t>200 OK - list of (taskId, violationSummary, flaggedAt)</t>
  </si>
  <si>
    <t>- Can connect with server
- Caller has ADMIN system role
- Moderation queue has flagged tasks</t>
  </si>
  <si>
    <t>FR3.10.4-02</t>
  </si>
  <si>
    <t>[Normal] Content Moderation Queue with action = list, source = compliance</t>
  </si>
  <si>
    <t>1. Prepare the state listed in Pre-conditions.
2. Call AdminModerationServiceImpl.overrideDecision with: action = list; source = compliance.
3. Check the response / error and the log.</t>
  </si>
  <si>
    <t>200 OK - only FR 3.6.33 compliance flags</t>
  </si>
  <si>
    <t>FR3.10.4-03</t>
  </si>
  <si>
    <t>[Normal] Content Moderation Queue with action = list, source = copyright</t>
  </si>
  <si>
    <t>1. Prepare the state listed in Pre-conditions.
2. Call AdminModerationServiceImpl.overrideDecision with: action = list; source = copyright.
3. Check the response / error and the log.</t>
  </si>
  <si>
    <t>200 OK - only FR 3.6.34 copyright flags</t>
  </si>
  <si>
    <t>FR3.10.4-04</t>
  </si>
  <si>
    <t>[Normal] Content Moderation Queue with taskId = valid flagged task, decision = approve, note = false positive</t>
  </si>
  <si>
    <t>1. Prepare the state listed in Pre-conditions.
2. Call AdminModerationServiceImpl.overrideDecision with: taskId = valid flagged task; decision = approve; note = false positive.
3. Check the response / error and the log.</t>
  </si>
  <si>
    <t>200 OK - decision=APPROVED, content may continue
Log: Moderation override recorded</t>
  </si>
  <si>
    <t>FR3.10.4-05</t>
  </si>
  <si>
    <t>[Normal] Content Moderation Queue with taskId = valid flagged task, decision = block</t>
  </si>
  <si>
    <t>1. Prepare the state listed in Pre-conditions.
2. Call AdminModerationServiceImpl.overrideDecision with: taskId = valid flagged task; decision = block.
3. Check the response / error and the log.</t>
  </si>
  <si>
    <t>200 OK - decision=BLOCKED, system decision kept
Log: Moderation decision confirmed</t>
  </si>
  <si>
    <t>FR3.10.4-06</t>
  </si>
  <si>
    <t>[Normal] Content Moderation Queue with taskId = valid flagged task, decision = approve</t>
  </si>
  <si>
    <t>1. Prepare the state listed in Pre-conditions.
2. Call AdminModerationServiceImpl.overrideDecision with: taskId = valid flagged task; decision = approve.
3. Check the response / error and the log.</t>
  </si>
  <si>
    <t>200 OK - task removed from queue after decision</t>
  </si>
  <si>
    <t>FR3.10.4-07</t>
  </si>
  <si>
    <t>[Boundary] Content Moderation Queue with action = list</t>
  </si>
  <si>
    <t>- Can connect with server
- Caller has ADMIN system role
- Moderation queue is empty</t>
  </si>
  <si>
    <t>FR3.10.4-08</t>
  </si>
  <si>
    <t>[Boundary] Content Moderation Queue with taskId = valid flagged task, decision = approve, note = empty</t>
  </si>
  <si>
    <t>1. Prepare the state listed in Pre-conditions.
2. Call AdminModerationServiceImpl.overrideDecision with: taskId = valid flagged task; decision = approve; note = empty.
3. Check the response / error and the log.</t>
  </si>
  <si>
    <t>200 OK - note optional, decision saved</t>
  </si>
  <si>
    <t>FR3.10.4-09</t>
  </si>
  <si>
    <t>[Boundary] Content Moderation Queue with taskId = valid flagged task, decision = block, note = max length note</t>
  </si>
  <si>
    <t>1. Prepare the state listed in Pre-conditions.
2. Call AdminModerationServiceImpl.overrideDecision with: taskId = valid flagged task; decision = block; note = max length note.
3. Check the response / error and the log.</t>
  </si>
  <si>
    <t>200 OK - decision saved</t>
  </si>
  <si>
    <t>FR3.10.4-10</t>
  </si>
  <si>
    <t>- Can connect with server
- Caller has ADMIN system role
- Queue has exactly 1 flagged task</t>
  </si>
  <si>
    <t>FR3.10.4-11</t>
  </si>
  <si>
    <t>[Abnormal] Content Moderation Queue with action = list</t>
  </si>
  <si>
    <t>- Can connect with server
- Caller does not have ADMIN system role
- Moderation queue has flagged tasks</t>
  </si>
  <si>
    <t>FR3.10.4-12</t>
  </si>
  <si>
    <t>[Abnormal] Content Moderation Queue with taskId = valid flagged task, decision = approve</t>
  </si>
  <si>
    <t>FR3.10.4-13</t>
  </si>
  <si>
    <t>[Abnormal] Content Moderation Queue with taskId = non-existent id, decision = approve</t>
  </si>
  <si>
    <t>1. Prepare the state listed in Pre-conditions.
2. Call AdminModerationServiceImpl.overrideDecision with: taskId = non-existent id; decision = approve.
3. Check the response / error and the log.</t>
  </si>
  <si>
    <t>Error: BusinessException(TASK_NOT_FOUND) - Task not found</t>
  </si>
  <si>
    <t>FR3.10.4-14</t>
  </si>
  <si>
    <t>[Abnormal] Content Moderation Queue with taskId = valid flagged task, decision = maybe</t>
  </si>
  <si>
    <t>1. Prepare the state listed in Pre-conditions.
2. Call AdminModerationServiceImpl.overrideDecision with: taskId = valid flagged task; decision = maybe.
3. Check the response / error and the log.</t>
  </si>
  <si>
    <t>FR3.10.4-15</t>
  </si>
  <si>
    <t>[Abnormal] Content Moderation Queue with taskId = valid flagged task, decision = null</t>
  </si>
  <si>
    <t>1. Prepare the state listed in Pre-conditions.
2. Call AdminModerationServiceImpl.overrideDecision with: taskId = valid flagged task; decision = null.
3. Check the response / error and the log.</t>
  </si>
  <si>
    <t>FR3.10.4-16</t>
  </si>
  <si>
    <t>[Abnormal] Content Moderation Queue with taskId = unflagged task, decision = approve</t>
  </si>
  <si>
    <t>1. Prepare the state listed in Pre-conditions.
2. Call AdminModerationServiceImpl.overrideDecision with: taskId = unflagged task; decision = approve.
3. Check the response / error and the log.</t>
  </si>
  <si>
    <t>Error: BusinessException(INVALID_REQUEST) - Task is not in moderation queue</t>
  </si>
  <si>
    <t>- Can connect with server
- Caller has ADMIN system role
- Task was not flagged by system</t>
  </si>
  <si>
    <t>FR3.10.4-17</t>
  </si>
  <si>
    <t>[Abnormal] Content Moderation Queue with taskId = already decided task, decision = block</t>
  </si>
  <si>
    <t>1. Prepare the state listed in Pre-conditions.
2. Call AdminModerationServiceImpl.overrideDecision with: taskId = already decided task; decision = block.
3. Check the response / error and the log.</t>
  </si>
  <si>
    <t>Error: BusinessException(INVALID_REQUEST) - Decision already made</t>
  </si>
  <si>
    <t>- Can connect with server
- Caller has ADMIN system role
- Task already overridden</t>
  </si>
  <si>
    <t>FR3.10.5-01</t>
  </si>
  <si>
    <t>[Normal] User Management (Verify/Disable/Delete) with userId = valid user id, action = verify</t>
  </si>
  <si>
    <t>1. Prepare the state listed in Pre-conditions.
2. Call AdminUserServiceImpl.updateUserStatus with: userId = valid user id; action = verify.
3. Check the response / error and the log.</t>
  </si>
  <si>
    <t>200 OK - user status=ACTIVE, emailVerified=true</t>
  </si>
  <si>
    <t>- Can connect with server
- Caller has ADMIN system role
- Target user exists
- User status is PENDING_VERIFY</t>
  </si>
  <si>
    <t>FR3.10.5-02</t>
  </si>
  <si>
    <t>[Normal] User Management (Verify/Disable/Delete) with userId = valid user id, action = disable</t>
  </si>
  <si>
    <t>1. Prepare the state listed in Pre-conditions.
2. Call AdminUserServiceImpl.updateUserStatus with: userId = valid user id; action = disable.
3. Check the response / error and the log.</t>
  </si>
  <si>
    <t>200 OK - user status=SUSPENDED, active=false
Log: Account disabled email sent</t>
  </si>
  <si>
    <t>- Can connect with server
- Caller has ADMIN system role
- Target user exists
- User status is ACTIVE</t>
  </si>
  <si>
    <t>FR3.10.5-03</t>
  </si>
  <si>
    <t>[Normal] User Management (Verify/Disable/Delete) with userId = valid user id, action = delete</t>
  </si>
  <si>
    <t>1. Prepare the state listed in Pre-conditions.
2. Call AdminUserServiceImpl.updateUserStatus with: userId = valid user id; action = delete.
3. Check the response / error and the log.</t>
  </si>
  <si>
    <t>200 OK - user soft-deleted (deletedAt set)</t>
  </si>
  <si>
    <t>FR3.10.5-04</t>
  </si>
  <si>
    <t>200 OK - user status=ACTIVE</t>
  </si>
  <si>
    <t>- Can connect with server
- Caller has ADMIN system role
- Target user exists
- User status is SUSPENDED</t>
  </si>
  <si>
    <t>FR3.10.5-05</t>
  </si>
  <si>
    <t>200 OK - user soft-deleted</t>
  </si>
  <si>
    <t>FR3.10.5-06</t>
  </si>
  <si>
    <t>200 OK - idempotent, user stays ACTIVE</t>
  </si>
  <si>
    <t>FR3.10.5-07</t>
  </si>
  <si>
    <t>[Boundary] User Management (Verify/Disable/Delete) with userId = valid user id, action = disable</t>
  </si>
  <si>
    <t>200 OK - idempotent, user stays SUSPENDED</t>
  </si>
  <si>
    <t>- Can connect with server
- Caller has ADMIN system role
- Target user exists
- User already SUSPENDED</t>
  </si>
  <si>
    <t>FR3.10.5-08</t>
  </si>
  <si>
    <t>[Boundary] User Management (Verify/Disable/Delete) with userId = valid user id, action = delete</t>
  </si>
  <si>
    <t>Error: BusinessException(USER_NOT_FOUND) - User not found</t>
  </si>
  <si>
    <t>- Can connect with server
- Caller has ADMIN system role
- Target user exists
- User already soft-deleted</t>
  </si>
  <si>
    <t>FR3.10.5-09</t>
  </si>
  <si>
    <t>[Boundary] User Management (Verify/Disable/Delete) with userId = valid user id, action = VERIFY (uppercase)</t>
  </si>
  <si>
    <t>1. Prepare the state listed in Pre-conditions.
2. Call AdminUserServiceImpl.updateUserStatus with: userId = valid user id; action = VERIFY (uppercase).
3. Check the response / error and the log.</t>
  </si>
  <si>
    <t>200 OK - action handled case-insensitively</t>
  </si>
  <si>
    <t>- Can connect with server
- Caller has ADMIN system role
- Target user exists</t>
  </si>
  <si>
    <t>FR3.10.5-10</t>
  </si>
  <si>
    <t>200 OK - status changed, no email sent</t>
  </si>
  <si>
    <t>- Can connect with server
- Caller has ADMIN system role
- Target user exists
- User has no email</t>
  </si>
  <si>
    <t>FR3.10.5-11</t>
  </si>
  <si>
    <t>[Abnormal] User Management (Verify/Disable/Delete) with userId = valid user id, action = disable</t>
  </si>
  <si>
    <t>- Can connect with server
- Caller does not have ADMIN system role
- Target user exists</t>
  </si>
  <si>
    <t>FR3.10.5-12</t>
  </si>
  <si>
    <t>[Abnormal] User Management (Verify/Disable/Delete) with userId = non-existent id, action = disable</t>
  </si>
  <si>
    <t>1. Prepare the state listed in Pre-conditions.
2. Call AdminUserServiceImpl.updateUserStatus with: userId = non-existent id; action = disable.
3. Check the response / error and the log.</t>
  </si>
  <si>
    <t>FR3.10.5-13</t>
  </si>
  <si>
    <t>[Abnormal] User Management (Verify/Disable/Delete) with userId = valid user id, action = null</t>
  </si>
  <si>
    <t>1. Prepare the state listed in Pre-conditions.
2. Call AdminUserServiceImpl.updateUserStatus with: userId = valid user id; action = null.
3. Check the response / error and the log.</t>
  </si>
  <si>
    <t>FR3.10.5-14</t>
  </si>
  <si>
    <t>[Abnormal] User Management (Verify/Disable/Delete) with userId = valid user id, action = suspend</t>
  </si>
  <si>
    <t>1. Prepare the state listed in Pre-conditions.
2. Call AdminUserServiceImpl.updateUserStatus with: userId = valid user id; action = suspend.
3. Check the response / error and the log.</t>
  </si>
  <si>
    <t>FR3.10.5-15</t>
  </si>
  <si>
    <t>[Abnormal] User Management (Verify/Disable/Delete) with userId = malformed uuid, action = verify</t>
  </si>
  <si>
    <t>1. Prepare the state listed in Pre-conditions.
2. Call AdminUserServiceImpl.updateUserStatus with: userId = malformed uuid; action = verify.
3. Check the response / error and the log.</t>
  </si>
  <si>
    <t>Error: IllegalArgumentException - Invalid UUID string</t>
  </si>
  <si>
    <t>FR3.10.5-16</t>
  </si>
  <si>
    <t>[Abnormal] User Management (Verify/Disable/Delete) with userId = admin user id, action = disable</t>
  </si>
  <si>
    <t>1. Prepare the state listed in Pre-conditions.
2. Call AdminUserServiceImpl.updateUserStatus with: userId = admin user id; action = disable.
3. Check the response / error and the log.</t>
  </si>
  <si>
    <t>Error: BusinessException(CANNOT_SUSPEND_ADMIN)</t>
  </si>
  <si>
    <t>- Can connect with server
- Caller has ADMIN system role
- Target user is ADMIN</t>
  </si>
  <si>
    <t>FR3.10.5-17</t>
  </si>
  <si>
    <t>[Abnormal] User Management (Verify/Disable/Delete) with userId = own user id, action = delete</t>
  </si>
  <si>
    <t>1. Prepare the state listed in Pre-conditions.
2. Call AdminUserServiceImpl.updateUserStatus with: userId = own user id; action = delete.
3. Check the response / error and the log.</t>
  </si>
  <si>
    <t>- Can connect with server
- Caller has ADMIN system role
- Target user is the caller</t>
  </si>
  <si>
    <t>FR3.10.6-01</t>
  </si>
  <si>
    <t>[Normal] View User with page = 1, size = 20, search = null</t>
  </si>
  <si>
    <t>1. Prepare the state listed in Pre-conditions.
2. Call UserServiceImpl.getUsers with: page = 1; size = 20; search = null.
3. Check the response / error and the log.</t>
  </si>
  <si>
    <t>200 OK - data(page of users), page=1, size=20, total</t>
  </si>
  <si>
    <t>- Can connect with server
- Caller has ADMIN system role
- Users exist</t>
  </si>
  <si>
    <t>FR3.10.6-02</t>
  </si>
  <si>
    <t>[Normal] View User with page = 1, size = 20, search = alice</t>
  </si>
  <si>
    <t>1. Prepare the state listed in Pre-conditions.
2. Call UserServiceImpl.getUsers with: page = 1; size = 20; search = alice.
3. Check the response / error and the log.</t>
  </si>
  <si>
    <t>200 OK - data contains matching user</t>
  </si>
  <si>
    <t>- Can connect with server
- Caller has ADMIN system role
- User with email alice@brandhub.vn exists</t>
  </si>
  <si>
    <t>FR3.10.6-03</t>
  </si>
  <si>
    <t>[Normal] View User with page = 1, size = 20, search = Alice</t>
  </si>
  <si>
    <t>1. Prepare the state listed in Pre-conditions.
2. Call UserServiceImpl.getUsers with: page = 1; size = 20; search = Alice.
3. Check the response / error and the log.</t>
  </si>
  <si>
    <t>- Can connect with server
- Caller has ADMIN system role
- User with fullName Alice exists</t>
  </si>
  <si>
    <t>FR3.10.6-04</t>
  </si>
  <si>
    <t>[Normal] View User with page = 2, size = 20, search = null</t>
  </si>
  <si>
    <t>1. Prepare the state listed in Pre-conditions.
2. Call UserServiceImpl.getUsers with: page = 2; size = 20; search = null.
3. Check the response / error and the log.</t>
  </si>
  <si>
    <t>200 OK - data has 5 users, page=2, total=25</t>
  </si>
  <si>
    <t>- Can connect with server
- Caller has ADMIN system role
- 25 users exist</t>
  </si>
  <si>
    <t>FR3.10.6-05</t>
  </si>
  <si>
    <t>[Normal] View User with page = 1, size = 10, search = null</t>
  </si>
  <si>
    <t>1. Prepare the state listed in Pre-conditions.
2. Call UserServiceImpl.getUsers with: page = 1; size = 10; search = null.
3. Check the response / error and the log.</t>
  </si>
  <si>
    <t>200 OK - data has 10 users, total=25</t>
  </si>
  <si>
    <t>FR3.10.6-06</t>
  </si>
  <si>
    <t>[Normal] View User with page = 1, size = 20, search = no match text</t>
  </si>
  <si>
    <t>1. Prepare the state listed in Pre-conditions.
2. Call UserServiceImpl.getUsers with: page = 1; size = 20; search = no match text.
3. Check the response / error and the log.</t>
  </si>
  <si>
    <t>200 OK - data=[], total=0</t>
  </si>
  <si>
    <t>FR3.10.6-07</t>
  </si>
  <si>
    <t>[Normal] View User with page = 1, size = 20, search = empty</t>
  </si>
  <si>
    <t>1. Prepare the state listed in Pre-conditions.
2. Call UserServiceImpl.getUsers with: page = 1; size = 20; search = empty.
3. Check the response / error and the log.</t>
  </si>
  <si>
    <t>200 OK - search ignored, all users returned</t>
  </si>
  <si>
    <t>FR3.10.6-08</t>
  </si>
  <si>
    <t>[Normal] View User with page = 1, size = 20, search = blank spaces</t>
  </si>
  <si>
    <t>1. Prepare the state listed in Pre-conditions.
2. Call UserServiceImpl.getUsers with: page = 1; size = 20; search = blank spaces.
3. Check the response / error and the log.</t>
  </si>
  <si>
    <t>FR3.10.6-09</t>
  </si>
  <si>
    <t>[Boundary] View User with page = 1, size = 20, search = null</t>
  </si>
  <si>
    <t>- Can connect with server
- Caller has ADMIN system role
- No users exist</t>
  </si>
  <si>
    <t>FR3.10.6-10</t>
  </si>
  <si>
    <t>[Boundary] View User with page = 1, size = 25, search = null</t>
  </si>
  <si>
    <t>1. Prepare the state listed in Pre-conditions.
2. Call UserServiceImpl.getUsers with: page = 1; size = 25; search = null.
3. Check the response / error and the log.</t>
  </si>
  <si>
    <t>200 OK - data has all 25 users</t>
  </si>
  <si>
    <t>FR3.10.6-11</t>
  </si>
  <si>
    <t>[Boundary] View User with page = 3, size = 10, search = null</t>
  </si>
  <si>
    <t>1. Prepare the state listed in Pre-conditions.
2. Call UserServiceImpl.getUsers with: page = 3; size = 10; search = null.
3. Check the response / error and the log.</t>
  </si>
  <si>
    <t>200 OK - data has last 5 users</t>
  </si>
  <si>
    <t>FR3.10.6-12</t>
  </si>
  <si>
    <t>[Boundary] View User with page = 4, size = 10, search = null</t>
  </si>
  <si>
    <t>1. Prepare the state listed in Pre-conditions.
2. Call UserServiceImpl.getUsers with: page = 4; size = 10; search = null.
3. Check the response / error and the log.</t>
  </si>
  <si>
    <t>200 OK - data=[] (page beyond last)</t>
  </si>
  <si>
    <t>FR3.10.6-13</t>
  </si>
  <si>
    <t>[Boundary] View User with page = 1, size = 1, search = null</t>
  </si>
  <si>
    <t>1. Prepare the state listed in Pre-conditions.
2. Call UserServiceImpl.getUsers with: page = 1; size = 1; search = null.
3. Check the response / error and the log.</t>
  </si>
  <si>
    <t>200 OK - data has exactly 1 user</t>
  </si>
  <si>
    <t>FR3.10.6-14</t>
  </si>
  <si>
    <t>[Abnormal] View User with page = 0, size = 20, search = null</t>
  </si>
  <si>
    <t>1. Prepare the state listed in Pre-conditions.
2. Call UserServiceImpl.getUsers with: page = 0; size = 20; search = null.
3. Check the response / error and the log.</t>
  </si>
  <si>
    <t>Error: IllegalArgumentException - Page index must not be less than zero</t>
  </si>
  <si>
    <t>FR3.10.6-15</t>
  </si>
  <si>
    <t>[Abnormal] View User with page = 1, size = 0, search = null</t>
  </si>
  <si>
    <t>1. Prepare the state listed in Pre-conditions.
2. Call UserServiceImpl.getUsers with: page = 1; size = 0; search = null.
3. Check the response / error and the log.</t>
  </si>
  <si>
    <t>Error: IllegalArgumentException - Page size must not be less than one</t>
  </si>
  <si>
    <t>FR3.10.6-16</t>
  </si>
  <si>
    <t>[Abnormal] View User with page = -1, size = 20, search = null</t>
  </si>
  <si>
    <t>1. Prepare the state listed in Pre-conditions.
2. Call UserServiceImpl.getUsers with: page = -1; size = 20; search = null.
3. Check the response / error and the log.</t>
  </si>
  <si>
    <t>FR3.10.6-17</t>
  </si>
  <si>
    <t>[Abnormal] View User with page = 1, size = 20, search = null</t>
  </si>
  <si>
    <t>FR3.10.7-01</t>
  </si>
  <si>
    <t>[Normal] Create User with email = valid unused email, fullName = Nguyen Van A, initialPlan = FREE</t>
  </si>
  <si>
    <t>1. Prepare the state listed in Pre-conditions.
2. Call AdminUserServiceImpl.createUser with: email = valid unused email; fullName = Nguyen Van A; initialPlan = FREE.
3. Check the response / error and the log.</t>
  </si>
  <si>
    <t>201 Created - (id, email)
Log: Set-password email sent to user</t>
  </si>
  <si>
    <t>- Can connect with server
- Caller has ADMIN system role
- Email not registered</t>
  </si>
  <si>
    <t>FR3.10.7-02</t>
  </si>
  <si>
    <t>[Normal] Create User with email = valid unused email, fullName = Nguyen Van A, initialPlan = PRO</t>
  </si>
  <si>
    <t>1. Prepare the state listed in Pre-conditions.
2. Call AdminUserServiceImpl.createUser with: email = valid unused email; fullName = Nguyen Van A; initialPlan = PRO.
3. Check the response / error and the log.</t>
  </si>
  <si>
    <t>201 Created - (id, email), subscription=PRO
Log: Set-password email sent to user</t>
  </si>
  <si>
    <t>FR3.10.7-03</t>
  </si>
  <si>
    <t>[Normal] Create User with email = valid unused email, fullName = Nguyen Van A</t>
  </si>
  <si>
    <t>1. Prepare the state listed in Pre-conditions.
2. Call AdminUserServiceImpl.createUser with: email = valid unused email; fullName = Nguyen Van A.
3. Check the response / error and the log.</t>
  </si>
  <si>
    <t>201 Created - (id, email), default plan FREE
Log: Set-password email sent to user</t>
  </si>
  <si>
    <t>FR3.10.7-04</t>
  </si>
  <si>
    <t>[Normal] Create User with email = Upper@BrandHub.vn, fullName = Demo Account, initialPlan = FREE</t>
  </si>
  <si>
    <t>1. Prepare the state listed in Pre-conditions.
2. Call AdminUserServiceImpl.createUser with: email = Upper@BrandHub.vn; fullName = Demo Account; initialPlan = FREE.
3. Check the response / error and the log.</t>
  </si>
  <si>
    <t>201 Created - (id, email), email stored lowercase</t>
  </si>
  <si>
    <t>FR3.10.7-05</t>
  </si>
  <si>
    <t>[Normal] Create User with email = valid unused email, fullName = Ten Co Dau (unicode), initialPlan = FREE</t>
  </si>
  <si>
    <t>1. Prepare the state listed in Pre-conditions.
2. Call AdminUserServiceImpl.createUser with: email = valid unused email; fullName = Ten Co Dau (unicode); initialPlan = FREE.
3. Check the response / error and the log.</t>
  </si>
  <si>
    <t>201 Created - (id, email)</t>
  </si>
  <si>
    <t>FR3.10.7-06</t>
  </si>
  <si>
    <t>201 Created - (id, email), password stored hashed
Log: Temporary password generated</t>
  </si>
  <si>
    <t>FR3.10.7-07</t>
  </si>
  <si>
    <t>[Boundary] Create User with email = valid unused email, fullName = 1 char name, initialPlan = FREE</t>
  </si>
  <si>
    <t>1. Prepare the state listed in Pre-conditions.
2. Call AdminUserServiceImpl.createUser with: email = valid unused email; fullName = 1 char name; initialPlan = FREE.
3. Check the response / error and the log.</t>
  </si>
  <si>
    <t>FR3.10.7-08</t>
  </si>
  <si>
    <t>[Boundary] Create User with email = valid unused email, fullName = max length name, initialPlan = FREE</t>
  </si>
  <si>
    <t>1. Prepare the state listed in Pre-conditions.
2. Call AdminUserServiceImpl.createUser with: email = valid unused email; fullName = max length name; initialPlan = FREE.
3. Check the response / error and the log.</t>
  </si>
  <si>
    <t>FR3.10.7-09</t>
  </si>
  <si>
    <t>[Boundary] Create User with email = email at 254 chars, fullName = Nguyen Van A, initialPlan = FREE</t>
  </si>
  <si>
    <t>1. Prepare the state listed in Pre-conditions.
2. Call AdminUserServiceImpl.createUser with: email = email at 254 chars; fullName = Nguyen Van A; initialPlan = FREE.
3. Check the response / error and the log.</t>
  </si>
  <si>
    <t>FR3.10.7-10</t>
  </si>
  <si>
    <t>[Boundary] Create User with email = email at 255 chars, fullName = Nguyen Van A, initialPlan = FREE</t>
  </si>
  <si>
    <t>1. Prepare the state listed in Pre-conditions.
2. Call AdminUserServiceImpl.createUser with: email = email at 255 chars; fullName = Nguyen Van A; initialPlan = FREE.
3. Check the response / error and the log.</t>
  </si>
  <si>
    <t>FR3.10.7-11</t>
  </si>
  <si>
    <t>[Abnormal] Create User with email = valid unused email, fullName = Nguyen Van A, initialPlan = FREE</t>
  </si>
  <si>
    <t>FR3.10.7-12</t>
  </si>
  <si>
    <t>[Abnormal] Create User with email = existing email, fullName = Nguyen Van A, initialPlan = FREE</t>
  </si>
  <si>
    <t>1. Prepare the state listed in Pre-conditions.
2. Call AdminUserServiceImpl.createUser with: email = existing email; fullName = Nguyen Van A; initialPlan = FREE.
3. Check the response / error and the log.</t>
  </si>
  <si>
    <t>Error: BusinessException(EMAIL_ALREADY_EXISTS) - This email is already associated with another account</t>
  </si>
  <si>
    <t>- Can connect with server
- Caller has ADMIN system role
- Email already registered</t>
  </si>
  <si>
    <t>FR3.10.7-13</t>
  </si>
  <si>
    <t>[Abnormal] Create User with email = deleted user email, fullName = Nguyen Van A, initialPlan = FREE</t>
  </si>
  <si>
    <t>1. Prepare the state listed in Pre-conditions.
2. Call AdminUserServiceImpl.createUser with: email = deleted user email; fullName = Nguyen Van A; initialPlan = FREE.
3. Check the response / error and the log.</t>
  </si>
  <si>
    <t>- Can connect with server
- Caller has ADMIN system role
- Email registered but soft-deleted</t>
  </si>
  <si>
    <t>FR3.10.7-14</t>
  </si>
  <si>
    <t>[Abnormal] Create User with email = null, fullName = Nguyen Van A, initialPlan = FREE</t>
  </si>
  <si>
    <t>1. Prepare the state listed in Pre-conditions.
2. Call AdminUserServiceImpl.createUser with: email = null; fullName = Nguyen Van A; initialPlan = FREE.
3. Check the response / error and the log.</t>
  </si>
  <si>
    <t>FR3.10.7-15</t>
  </si>
  <si>
    <t>[Abnormal] Create User with email = invalid email format, fullName = Nguyen Van A, initialPlan = FREE</t>
  </si>
  <si>
    <t>1. Prepare the state listed in Pre-conditions.
2. Call AdminUserServiceImpl.createUser with: email = invalid email format; fullName = Nguyen Van A; initialPlan = FREE.
3. Check the response / error and the log.</t>
  </si>
  <si>
    <t>FR3.10.7-16</t>
  </si>
  <si>
    <t>[Abnormal] Create User with email = valid unused email, fullName = empty, initialPlan = FREE</t>
  </si>
  <si>
    <t>1. Prepare the state listed in Pre-conditions.
2. Call AdminUserServiceImpl.createUser with: email = valid unused email; fullName = empty; initialPlan = FREE.
3. Check the response / error and the log.</t>
  </si>
  <si>
    <t>FR3.10.7-17</t>
  </si>
  <si>
    <t>[Abnormal] Create User with email = valid unused email, fullName = Nguyen Van A, initialPlan = UNKNOWN_PLAN</t>
  </si>
  <si>
    <t>1. Prepare the state listed in Pre-conditions.
2. Call AdminUserServiceImpl.createUser with: email = valid unused email; fullName = Nguyen Van A; initialPlan = UNKNOWN_PLAN.
3. Check the response / error and the log.</t>
  </si>
  <si>
    <t>Error: BusinessException(PLAN_NOT_FOUND) - Plan not found</t>
  </si>
  <si>
    <t>FR3.10.8-01</t>
  </si>
  <si>
    <t>[Normal] Update User with userId = valid user id, fullName = New Name</t>
  </si>
  <si>
    <t>1. Prepare the state listed in Pre-conditions.
2. Call AdminUserServiceImpl.updateUser with: userId = valid user id; fullName = New Name.
3. Check the response / error and the log.</t>
  </si>
  <si>
    <t>200 OK - updated user with new fullName</t>
  </si>
  <si>
    <t>FR3.10.8-02</t>
  </si>
  <si>
    <t>[Normal] Update User with userId = valid user id, email = new unused email</t>
  </si>
  <si>
    <t>1. Prepare the state listed in Pre-conditions.
2. Call AdminUserServiceImpl.updateUser with: userId = valid user id; email = new unused email.
3. Check the response / error and the log.</t>
  </si>
  <si>
    <t>200 OK - updated user with new email</t>
  </si>
  <si>
    <t>- Can connect with server
- Caller has ADMIN system role
- Target user exists
- New email not used</t>
  </si>
  <si>
    <t>FR3.10.8-03</t>
  </si>
  <si>
    <t>[Normal] Update User with userId = valid user id, plan = PRO</t>
  </si>
  <si>
    <t>1. Prepare the state listed in Pre-conditions.
2. Call AdminUserServiceImpl.updateUser with: userId = valid user id; plan = PRO.
3. Check the response / error and the log.</t>
  </si>
  <si>
    <t>200 OK - updated user with plan=PRO</t>
  </si>
  <si>
    <t>FR3.10.8-04</t>
  </si>
  <si>
    <t>[Normal] Update User with userId = valid user id, fullName = New Name, email = new unused email</t>
  </si>
  <si>
    <t>1. Prepare the state listed in Pre-conditions.
2. Call AdminUserServiceImpl.updateUser with: userId = valid user id; fullName = New Name; email = new unused email; plan = PRO.
3. Check the response / error and the log.</t>
  </si>
  <si>
    <t>200 OK - updated user with all fields changed</t>
  </si>
  <si>
    <t>FR3.10.8-05</t>
  </si>
  <si>
    <t>[Normal] Update User with userId = valid user id, email = same email as current</t>
  </si>
  <si>
    <t>1. Prepare the state listed in Pre-conditions.
2. Call AdminUserServiceImpl.updateUser with: userId = valid user id; email = same email as current.
3. Check the response / error and the log.</t>
  </si>
  <si>
    <t>200 OK - updated user, email unchanged, no conflict</t>
  </si>
  <si>
    <t>FR3.10.8-06</t>
  </si>
  <si>
    <t>[Normal] Update User with userId = valid user id</t>
  </si>
  <si>
    <t>1. Prepare the state listed in Pre-conditions.
2. Call AdminUserServiceImpl.updateUser with: userId = valid user id.
3. Check the response / error and the log.</t>
  </si>
  <si>
    <t>200 OK - updated user, nothing changed</t>
  </si>
  <si>
    <t>FR3.10.8-07</t>
  </si>
  <si>
    <t xml:space="preserve">[Normal] Update User with userId = valid user id, fullName =   Padded Name  </t>
  </si>
  <si>
    <t>1. Prepare the state listed in Pre-conditions.
2. Call AdminUserServiceImpl.updateUser with: userId = valid user id; fullName =   Padded Name  .
3. Check the response / error and the log.</t>
  </si>
  <si>
    <t>200 OK - updated user, fullName trimmed</t>
  </si>
  <si>
    <t>FR3.10.8-08</t>
  </si>
  <si>
    <t>[Boundary] Update User with userId = valid user id, fullName = 1 char name</t>
  </si>
  <si>
    <t>1. Prepare the state listed in Pre-conditions.
2. Call AdminUserServiceImpl.updateUser with: userId = valid user id; fullName = 1 char name.
3. Check the response / error and the log.</t>
  </si>
  <si>
    <t>200 OK - updated user</t>
  </si>
  <si>
    <t>FR3.10.8-09</t>
  </si>
  <si>
    <t>[Boundary] Update User with userId = valid user id, fullName = max length name</t>
  </si>
  <si>
    <t>1. Prepare the state listed in Pre-conditions.
2. Call AdminUserServiceImpl.updateUser with: userId = valid user id; fullName = max length name.
3. Check the response / error and the log.</t>
  </si>
  <si>
    <t>FR3.10.8-10</t>
  </si>
  <si>
    <t>[Boundary] Update User with userId = valid user id, email = email at 255 chars</t>
  </si>
  <si>
    <t>1. Prepare the state listed in Pre-conditions.
2. Call AdminUserServiceImpl.updateUser with: userId = valid user id; email = email at 255 chars.
3. Check the response / error and the log.</t>
  </si>
  <si>
    <t>FR3.10.8-11</t>
  </si>
  <si>
    <t>[Abnormal] Update User with userId = valid user id, fullName = New Name</t>
  </si>
  <si>
    <t>FR3.10.8-12</t>
  </si>
  <si>
    <t>[Abnormal] Update User with userId = non-existent id, fullName = New Name</t>
  </si>
  <si>
    <t>1. Prepare the state listed in Pre-conditions.
2. Call AdminUserServiceImpl.updateUser with: userId = non-existent id; fullName = New Name.
3. Check the response / error and the log.</t>
  </si>
  <si>
    <t>FR3.10.8-13</t>
  </si>
  <si>
    <t>[Abnormal] Update User with userId = valid user id, email = existing other email</t>
  </si>
  <si>
    <t>1. Prepare the state listed in Pre-conditions.
2. Call AdminUserServiceImpl.updateUser with: userId = valid user id; email = existing other email.
3. Check the response / error and the log.</t>
  </si>
  <si>
    <t>- Can connect with server
- Caller has ADMIN system role
- Target user exists
- Email used by another user</t>
  </si>
  <si>
    <t>FR3.10.8-14</t>
  </si>
  <si>
    <t>[Abnormal] Update User with userId = valid user id, email = invalid email format</t>
  </si>
  <si>
    <t>1. Prepare the state listed in Pre-conditions.
2. Call AdminUserServiceImpl.updateUser with: userId = valid user id; email = invalid email format.
3. Check the response / error and the log.</t>
  </si>
  <si>
    <t>FR3.10.8-15</t>
  </si>
  <si>
    <t>[Abnormal] Update User with userId = valid user id, fullName = empty</t>
  </si>
  <si>
    <t>1. Prepare the state listed in Pre-conditions.
2. Call AdminUserServiceImpl.updateUser with: userId = valid user id; fullName = empty.
3. Check the response / error and the log.</t>
  </si>
  <si>
    <t>FR3.10.8-16</t>
  </si>
  <si>
    <t>[Abnormal] Update User with userId = valid user id, plan = UNKNOWN_PLAN</t>
  </si>
  <si>
    <t>1. Prepare the state listed in Pre-conditions.
2. Call AdminUserServiceImpl.updateUser with: userId = valid user id; plan = UNKNOWN_PLAN.
3. Check the response / error and the log.</t>
  </si>
  <si>
    <t>FR3.10.8-17</t>
  </si>
  <si>
    <t>[Abnormal] Update User with userId = deleted user id, fullName = New Name</t>
  </si>
  <si>
    <t>1. Prepare the state listed in Pre-conditions.
2. Call AdminUserServiceImpl.updateUser with: userId = deleted user id; fullName = New Name.
3. Check the response / error and the log.</t>
  </si>
  <si>
    <t>- Can connect with server
- Caller has ADMIN system role
- Target user is soft-deleted</t>
  </si>
  <si>
    <t>FR3.10.9-01</t>
  </si>
  <si>
    <t>[Normal] Deactive User with userId = valid active user id</t>
  </si>
  <si>
    <t>1. Prepare the state listed in Pre-conditions.
2. Call UserServiceImpl.banUser with: userId = valid active user id.
3. Check the response / error and the log.</t>
  </si>
  <si>
    <t>200 OK - data=null, user status=DEACTIVATED, active=false
Log: Deactivation email sent</t>
  </si>
  <si>
    <t>- Can connect with server
- Caller has ADMIN system role
- Target is ACTIVE non-admin user</t>
  </si>
  <si>
    <t>FR3.10.9-02</t>
  </si>
  <si>
    <t>[Normal] Deactive User with userId = valid pending user id</t>
  </si>
  <si>
    <t>1. Prepare the state listed in Pre-conditions.
2. Call UserServiceImpl.banUser with: userId = valid pending user id.
3. Check the response / error and the log.</t>
  </si>
  <si>
    <t>200 OK - user deactivated</t>
  </si>
  <si>
    <t>- Can connect with server
- Caller has ADMIN system role
- Target is PENDING_VERIFY non-admin user</t>
  </si>
  <si>
    <t>FR3.10.9-03</t>
  </si>
  <si>
    <t>200 OK - deactivation timestamp set</t>
  </si>
  <si>
    <t>FR3.10.9-04</t>
  </si>
  <si>
    <t>200 OK - deactivated user cannot log in (ACCOUNT_DEACTIVATED)</t>
  </si>
  <si>
    <t>FR3.10.9-05</t>
  </si>
  <si>
    <t>[Normal] Deactive User with userId = user without email</t>
  </si>
  <si>
    <t>1. Prepare the state listed in Pre-conditions.
2. Call UserServiceImpl.banUser with: userId = user without email.
3. Check the response / error and the log.</t>
  </si>
  <si>
    <t>200 OK - deactivated, no email sent</t>
  </si>
  <si>
    <t>- Can connect with server
- Caller has ADMIN system role
- Target is non-admin with email null</t>
  </si>
  <si>
    <t>FR3.10.9-06</t>
  </si>
  <si>
    <t>200 OK - user data retained, not deleted</t>
  </si>
  <si>
    <t>FR3.10.9-07</t>
  </si>
  <si>
    <t>[Boundary] Deactive User with userId = already deactivated user id</t>
  </si>
  <si>
    <t>1. Prepare the state listed in Pre-conditions.
2. Call UserServiceImpl.banUser with: userId = already deactivated user id.
3. Check the response / error and the log.</t>
  </si>
  <si>
    <t>200 OK - idempotent, status stays DEACTIVATED</t>
  </si>
  <si>
    <t>- Can connect with server
- Caller has ADMIN system role
- Target already DEACTIVATED</t>
  </si>
  <si>
    <t>FR3.10.9-08</t>
  </si>
  <si>
    <t>[Boundary] Deactive User with userId = suspended user id</t>
  </si>
  <si>
    <t>1. Prepare the state listed in Pre-conditions.
2. Call UserServiceImpl.banUser with: userId = suspended user id.
3. Check the response / error and the log.</t>
  </si>
  <si>
    <t>200 OK - status becomes DEACTIVATED</t>
  </si>
  <si>
    <t>- Can connect with server
- Caller has ADMIN system role
- Target is SUSPENDED user</t>
  </si>
  <si>
    <t>FR3.10.9-09</t>
  </si>
  <si>
    <t>[Boundary] Deactive User with userId = user without fullName</t>
  </si>
  <si>
    <t>1. Prepare the state listed in Pre-conditions.
2. Call UserServiceImpl.banUser with: userId = user without fullName.
3. Check the response / error and the log.</t>
  </si>
  <si>
    <t>200 OK - email uses default name 'User'</t>
  </si>
  <si>
    <t>- Can connect with server
- Caller has ADMIN system role
- Target has fullName null</t>
  </si>
  <si>
    <t>FR3.10.9-10</t>
  </si>
  <si>
    <t>[Boundary] Deactive User with userId = deleted user id</t>
  </si>
  <si>
    <t>1. Prepare the state listed in Pre-conditions.
2. Call UserServiceImpl.banUser with: userId = deleted user id.
3. Check the response / error and the log.</t>
  </si>
  <si>
    <t>FR3.10.9-11</t>
  </si>
  <si>
    <t>[Abnormal] Deactive User with userId = valid active user id</t>
  </si>
  <si>
    <t>FR3.10.9-12</t>
  </si>
  <si>
    <t>[Abnormal] Deactive User with userId = non-existent id</t>
  </si>
  <si>
    <t>1. Prepare the state listed in Pre-conditions.
2. Call UserServiceImpl.banUser with: userId = non-existent id.
3. Check the response / error and the log.</t>
  </si>
  <si>
    <t>FR3.10.9-13</t>
  </si>
  <si>
    <t>[Abnormal] Deactive User with userId = other admin user id</t>
  </si>
  <si>
    <t>1. Prepare the state listed in Pre-conditions.
2. Call UserServiceImpl.banUser with: userId = other admin user id.
3. Check the response / error and the log.</t>
  </si>
  <si>
    <t>- Can connect with server
- Caller has ADMIN system role
- Target user is another ADMIN</t>
  </si>
  <si>
    <t>FR3.10.9-14</t>
  </si>
  <si>
    <t>[Abnormal] Deactive User with userId = own admin user id</t>
  </si>
  <si>
    <t>1. Prepare the state listed in Pre-conditions.
2. Call UserServiceImpl.banUser with: userId = own admin user id.
3. Check the response / error and the log.</t>
  </si>
  <si>
    <t>FR3.10.9-15</t>
  </si>
  <si>
    <t>[Abnormal] Deactive User with userId = malformed uuid</t>
  </si>
  <si>
    <t>1. Prepare the state listed in Pre-conditions.
2. Call UserServiceImpl.banUser with: userId = malformed uuid.
3. Check the response / error and the log.</t>
  </si>
  <si>
    <t>FR3.10.9-16</t>
  </si>
  <si>
    <t>[Abnormal] Deactive User with userId = null</t>
  </si>
  <si>
    <t>1. Prepare the state listed in Pre-conditions.
2. Call UserServiceImpl.banUser with: userId = null.
3. Check the response / error and the log.</t>
  </si>
  <si>
    <t>Error: NullPointerException - userId must not be null</t>
  </si>
  <si>
    <t>FR3.10.9-17</t>
  </si>
  <si>
    <t>FR3.10.11-01</t>
  </si>
  <si>
    <t>[Normal] View Revenue Dashboard with from = 2026-01-01, to = 2026-12-31</t>
  </si>
  <si>
    <t>1. Prepare the state listed in Pre-conditions.
2. Call AdminRevenueServiceImpl.getRevenue with: from = 2026-01-01; to = 2026-12-31.
3. Check the response / error and the log.</t>
  </si>
  <si>
    <t>200 OK - totalRevenue = byPlan + byCredit</t>
  </si>
  <si>
    <t>- Can connect with server
- Caller has ADMIN system role
- Payments exist for plans and credits</t>
  </si>
  <si>
    <t>FR3.10.11-02</t>
  </si>
  <si>
    <t>[Normal] View Revenue Dashboard with from = 2026-09-01, to = 2026-09-30</t>
  </si>
  <si>
    <t>1. Prepare the state listed in Pre-conditions.
2. Call AdminRevenueServiceImpl.getRevenue with: from = 2026-09-01; to = 2026-09-30.
3. Check the response / error and the log.</t>
  </si>
  <si>
    <t>200 OK - only payments in September</t>
  </si>
  <si>
    <t>FR3.10.11-03</t>
  </si>
  <si>
    <t>[Normal] View Revenue Dashboard with from = null, to = null</t>
  </si>
  <si>
    <t>1. Prepare the state listed in Pre-conditions.
2. Call AdminRevenueServiceImpl.getRevenue with: from = null; to = null.
3. Check the response / error and the log.</t>
  </si>
  <si>
    <t>200 OK - all-time revenue (no filter)</t>
  </si>
  <si>
    <t>FR3.10.11-04</t>
  </si>
  <si>
    <t>[Normal] View Revenue Dashboard with from = 2026-01-01, to = null</t>
  </si>
  <si>
    <t>1. Prepare the state listed in Pre-conditions.
2. Call AdminRevenueServiceImpl.getRevenue with: from = 2026-01-01; to = null.
3. Check the response / error and the log.</t>
  </si>
  <si>
    <t>200 OK - revenue from 2026-01-01 to now</t>
  </si>
  <si>
    <t>FR3.10.11-05</t>
  </si>
  <si>
    <t>[Normal] View Revenue Dashboard with from = null, to = 2026-06-30</t>
  </si>
  <si>
    <t>1. Prepare the state listed in Pre-conditions.
2. Call AdminRevenueServiceImpl.getRevenue with: from = null; to = 2026-06-30.
3. Check the response / error and the log.</t>
  </si>
  <si>
    <t>200 OK - revenue up to 2026-06-30</t>
  </si>
  <si>
    <t>FR3.10.11-06</t>
  </si>
  <si>
    <t>200 OK - byCredit=0, byPlan=total</t>
  </si>
  <si>
    <t>- Can connect with server
- Caller has ADMIN system role
- Only plan payments exist</t>
  </si>
  <si>
    <t>FR3.10.11-07</t>
  </si>
  <si>
    <t>200 OK - byPlan=0, byCredit=total</t>
  </si>
  <si>
    <t>- Can connect with server
- Caller has ADMIN system role
- Only credit payments exist</t>
  </si>
  <si>
    <t>FR3.10.11-08</t>
  </si>
  <si>
    <t>200 OK - failed and refunded payments excluded</t>
  </si>
  <si>
    <t>- Can connect with server
- Caller has ADMIN system role
- Failed/refunded payments exist</t>
  </si>
  <si>
    <t>FR3.10.11-09</t>
  </si>
  <si>
    <t>[Boundary] View Revenue Dashboard with from = 2026-09-15, to = 2026-09-15</t>
  </si>
  <si>
    <t>1. Prepare the state listed in Pre-conditions.
2. Call AdminRevenueServiceImpl.getRevenue with: from = 2026-09-15; to = 2026-09-15.
3. Check the response / error and the log.</t>
  </si>
  <si>
    <t>200 OK - from == to, revenue of one day</t>
  </si>
  <si>
    <t>FR3.10.11-10</t>
  </si>
  <si>
    <t>[Boundary] View Revenue Dashboard with from = 2026-09-01, to = 2026-09-30</t>
  </si>
  <si>
    <t>200 OK - end-date payment included</t>
  </si>
  <si>
    <t>- Can connect with server
- Caller has ADMIN system role
- Payment at 23:59:59 on end date</t>
  </si>
  <si>
    <t>FR3.10.11-11</t>
  </si>
  <si>
    <t>[Boundary] View Revenue Dashboard with from = 2020-01-01, to = 2020-01-31</t>
  </si>
  <si>
    <t>1. Prepare the state listed in Pre-conditions.
2. Call AdminRevenueServiceImpl.getRevenue with: from = 2020-01-01; to = 2020-01-31.
3. Check the response / error and the log.</t>
  </si>
  <si>
    <t>200 OK - totalRevenue=0, byPlan=0, byCredit=0</t>
  </si>
  <si>
    <t>- Can connect with server
- Caller has ADMIN system role
- No payments in range</t>
  </si>
  <si>
    <t>FR3.10.11-12</t>
  </si>
  <si>
    <t>[Boundary] View Revenue Dashboard with from = 2026-01-01, to = 2026-12-31</t>
  </si>
  <si>
    <t>200 OK - all zero</t>
  </si>
  <si>
    <t>- Can connect with server
- Caller has ADMIN system role
- No payments exist</t>
  </si>
  <si>
    <t>FR3.10.11-13</t>
  </si>
  <si>
    <t>[Abnormal] View Revenue Dashboard with from = 2026-01-01, to = 2026-12-31</t>
  </si>
  <si>
    <t>FR3.10.11-14</t>
  </si>
  <si>
    <t>[Abnormal] View Revenue Dashboard with from = 2026-12-31, to = 2026-01-01</t>
  </si>
  <si>
    <t>1. Prepare the state listed in Pre-conditions.
2. Call AdminRevenueServiceImpl.getRevenue with: from = 2026-12-31; to = 2026-01-01.
3. Check the response / error and the log.</t>
  </si>
  <si>
    <t>Error: BusinessException(INVALID_DATE_RANGE) - Date range is invalid</t>
  </si>
  <si>
    <t>FR3.10.11-15</t>
  </si>
  <si>
    <t>[Abnormal] View Revenue Dashboard with from = not-a-date, to = 2026-12-31</t>
  </si>
  <si>
    <t>1. Prepare the state listed in Pre-conditions.
2. Call AdminRevenueServiceImpl.getRevenue with: from = not-a-date; to = 2026-12-31.
3. Check the response / error and the log.</t>
  </si>
  <si>
    <t>FR3.10.11-16</t>
  </si>
  <si>
    <t>[Abnormal] View Revenue Dashboard with from = 2026-01-01, to = not-a-date</t>
  </si>
  <si>
    <t>1. Prepare the state listed in Pre-conditions.
2. Call AdminRevenueServiceImpl.getRevenue with: from = 2026-01-01; to = not-a-date.
3. Check the response / error and the log.</t>
  </si>
  <si>
    <t>FR3.10.11-17</t>
  </si>
  <si>
    <t>FR3.10.12-01</t>
  </si>
  <si>
    <t>[Normal] Export Report File PDF with type = user, from = 2026-01-01, to = 2026-12-31</t>
  </si>
  <si>
    <t>1. Prepare the state listed in Pre-conditions.
2. Call AdminReportServiceImpl.exportReport with: type = user; from = 2026-01-01; to = 2026-12-31; format = pdf.
3. Check the response / error and the log.</t>
  </si>
  <si>
    <t>200 OK - binary PDF stream (application/pdf) with user list rows</t>
  </si>
  <si>
    <t>FR3.10.12-02</t>
  </si>
  <si>
    <t>[Normal] Export Report File PDF with type = revenue, from = 2026-01-01, to = 2026-12-31</t>
  </si>
  <si>
    <t>1. Prepare the state listed in Pre-conditions.
2. Call AdminReportServiceImpl.exportReport with: type = revenue; from = 2026-01-01; to = 2026-12-31; format = pdf.
3. Check the response / error and the log.</t>
  </si>
  <si>
    <t>200 OK - binary PDF stream (application/pdf) with revenue breakdown</t>
  </si>
  <si>
    <t>- Can connect with server
- Caller has ADMIN system role
- Payments exist</t>
  </si>
  <si>
    <t>FR3.10.12-03</t>
  </si>
  <si>
    <t>[Normal] Export Report File PDF with type = user, from = null, to = null</t>
  </si>
  <si>
    <t>1. Prepare the state listed in Pre-conditions.
2. Call AdminReportServiceImpl.exportReport with: type = user; from = null; to = null; format = pdf.
3. Check the response / error and the log.</t>
  </si>
  <si>
    <t>200 OK - binary PDF stream (application/pdf), all-time user list</t>
  </si>
  <si>
    <t>FR3.10.12-04</t>
  </si>
  <si>
    <t>[Normal] Export Report File PDF with type = revenue, from = 2026-09-01, to = 2026-09-30</t>
  </si>
  <si>
    <t>1. Prepare the state listed in Pre-conditions.
2. Call AdminReportServiceImpl.exportReport with: type = revenue; from = 2026-09-01; to = 2026-09-30; format = pdf.
3. Check the response / error and the log.</t>
  </si>
  <si>
    <t>200 OK - binary PDF stream (application/pdf), only September data</t>
  </si>
  <si>
    <t>FR3.10.12-05</t>
  </si>
  <si>
    <t>1. Prepare the state listed in Pre-conditions.
2. Call AdminReportServiceImpl.exportReport with: type = user; from = 2026-01-01; to = 2026-12-31; format = null.
3. Check the response / error and the log.</t>
  </si>
  <si>
    <t>200 OK - binary PDF stream (application/pdf), format defaults to pdf</t>
  </si>
  <si>
    <t>FR3.10.12-06</t>
  </si>
  <si>
    <t>200 OK - binary PDF stream (application/pdf), attachment filename header set</t>
  </si>
  <si>
    <t>FR3.10.12-07</t>
  </si>
  <si>
    <t>200 OK - binary PDF stream (application/pdf), Vietnamese names rendered correctly</t>
  </si>
  <si>
    <t>FR3.10.12-08</t>
  </si>
  <si>
    <t>[Boundary] Export Report File PDF with type = user, from = 2020-01-01, to = 2020-01-31</t>
  </si>
  <si>
    <t>1. Prepare the state listed in Pre-conditions.
2. Call AdminReportServiceImpl.exportReport with: type = user; from = 2020-01-01; to = 2020-01-31; format = pdf.
3. Check the response / error and the log.</t>
  </si>
  <si>
    <t>200 OK - binary PDF stream (application/pdf) with 'no data' note page</t>
  </si>
  <si>
    <t>- Can connect with server
- Caller has ADMIN system role
- No users in range</t>
  </si>
  <si>
    <t>FR3.10.12-09</t>
  </si>
  <si>
    <t>[Boundary] Export Report File PDF with type = revenue, from = 2020-01-01, to = 2020-01-31</t>
  </si>
  <si>
    <t>1. Prepare the state listed in Pre-conditions.
2. Call AdminReportServiceImpl.exportReport with: type = revenue; from = 2020-01-01; to = 2020-01-31; format = pdf.
3. Check the response / error and the log.</t>
  </si>
  <si>
    <t>FR3.10.12-10</t>
  </si>
  <si>
    <t>[Boundary] Export Report File PDF with type = user, from = 2026-09-15, to = 2026-09-15</t>
  </si>
  <si>
    <t>1. Prepare the state listed in Pre-conditions.
2. Call AdminReportServiceImpl.exportReport with: type = user; from = 2026-09-15; to = 2026-09-15; format = pdf.
3. Check the response / error and the log.</t>
  </si>
  <si>
    <t>200 OK - binary PDF stream (application/pdf), from == to, one day</t>
  </si>
  <si>
    <t>FR3.10.12-11</t>
  </si>
  <si>
    <t>[Boundary] Export Report File PDF with type = user, from = null, to = null</t>
  </si>
  <si>
    <t>200 OK - binary PDF stream (application/pdf), multi-page PDF</t>
  </si>
  <si>
    <t>- Can connect with server
- Caller has ADMIN system role
- 10000 users exist</t>
  </si>
  <si>
    <t>FR3.10.12-12</t>
  </si>
  <si>
    <t>[Boundary] Export Report File PDF with type = user, from = 2026-01-01, to = 2026-12-31</t>
  </si>
  <si>
    <t>200 OK - binary PDF stream (application/pdf) with 1 row</t>
  </si>
  <si>
    <t>- Can connect with server
- Caller has ADMIN system role
- Exactly 1 user in range</t>
  </si>
  <si>
    <t>FR3.10.12-13</t>
  </si>
  <si>
    <t>[Abnormal] Export Report File PDF with type = user, from = 2026-01-01, to = 2026-12-31</t>
  </si>
  <si>
    <t>FR3.10.12-14</t>
  </si>
  <si>
    <t>[Abnormal] Export Report File PDF with type = unknown-type, from = 2026-01-01, to = 2026-12-31</t>
  </si>
  <si>
    <t>1. Prepare the state listed in Pre-conditions.
2. Call AdminReportServiceImpl.exportReport with: type = unknown-type; from = 2026-01-01; to = 2026-12-31; format = pdf.
3. Check the response / error and the log.</t>
  </si>
  <si>
    <t>FR3.10.12-15</t>
  </si>
  <si>
    <t>[Abnormal] Export Report File PDF with type = null, from = 2026-01-01, to = 2026-12-31</t>
  </si>
  <si>
    <t>1. Prepare the state listed in Pre-conditions.
2. Call AdminReportServiceImpl.exportReport with: type = null; from = 2026-01-01; to = 2026-12-31; format = pdf.
3. Check the response / error and the log.</t>
  </si>
  <si>
    <t>FR3.10.12-16</t>
  </si>
  <si>
    <t>1. Prepare the state listed in Pre-conditions.
2. Call AdminReportServiceImpl.exportReport with: type = user; from = 2026-01-01; to = 2026-12-31; format = xlsx.
3. Check the response / error and the log.</t>
  </si>
  <si>
    <t>Error: BusinessException(INVALID_REQUEST) - Only pdf format is supported</t>
  </si>
  <si>
    <t>FR3.10.12-17</t>
  </si>
  <si>
    <t>[Abnormal] Export Report File PDF with type = revenue, from = 2026-12-31, to = 2026-01-01</t>
  </si>
  <si>
    <t>1. Prepare the state listed in Pre-conditions.
2. Call AdminReportServiceImpl.exportReport with: type = revenue; from = 2026-12-31; to = 2026-01-01; format = pdf.
3. Check the response / error and the log.</t>
  </si>
  <si>
    <t>FR3.10.12-18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</si>
</sst>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mm\-yy;@"/>
    <numFmt numFmtId="165" formatCode="yyyy\-mm\-dd\ h:mm:ss"/>
  </numFmts>
  <fonts count="23">
    <font>
      <sz val="11"/>
      <name val="ＭＳ Ｐゴシック"/>
      <charset val="128"/>
    </font>
    <font>
      <sz val="9"/>
      <name val="ＭＳ ゴシック"/>
      <family val="3"/>
      <charset val="128"/>
    </font>
    <font>
      <sz val="10"/>
      <name val="Tahoma"/>
      <family val="2"/>
    </font>
    <font>
      <b/>
      <sz val="26"/>
      <color indexed="10"/>
      <name val="Tahoma"/>
      <family val="2"/>
    </font>
    <font>
      <b/>
      <sz val="20"/>
      <color indexed="8"/>
      <name val="Tahoma"/>
      <family val="2"/>
    </font>
    <font>
      <b/>
      <sz val="10"/>
      <color indexed="60"/>
      <name val="Tahoma"/>
      <family val="2"/>
    </font>
    <font>
      <i/>
      <sz val="10"/>
      <color indexed="17"/>
      <name val="Tahoma"/>
      <family val="2"/>
    </font>
    <font>
      <b/>
      <sz val="10"/>
      <color indexed="9"/>
      <name val="Tahoma"/>
      <family val="2"/>
    </font>
    <font>
      <b/>
      <sz val="10"/>
      <color indexed="8"/>
      <name val="Tahoma"/>
      <family val="2"/>
    </font>
    <font>
      <b/>
      <sz val="10"/>
      <color indexed="10"/>
      <name val="Tahoma"/>
      <family val="2"/>
    </font>
    <font>
      <b/>
      <sz val="10"/>
      <name val="Tahoma"/>
      <family val="2"/>
    </font>
    <font>
      <u/>
      <sz val="10"/>
      <color indexed="12"/>
      <name val="Tahoma"/>
      <family val="2"/>
    </font>
    <font>
      <u/>
      <sz val="11"/>
      <color indexed="12"/>
      <name val="ＭＳ Ｐゴシック"/>
      <family val="3"/>
      <charset val="128"/>
    </font>
    <font>
      <sz val="10"/>
      <color indexed="10"/>
      <name val="Tahoma"/>
      <family val="2"/>
    </font>
    <font>
      <sz val="10"/>
      <color indexed="8"/>
      <name val="Tahoma"/>
      <family val="2"/>
    </font>
    <font>
      <sz val="10"/>
      <color indexed="9"/>
      <name val="Tahoma"/>
      <family val="2"/>
    </font>
    <font>
      <b/>
      <sz val="10"/>
      <color indexed="12"/>
      <name val="Tahoma"/>
      <family val="2"/>
    </font>
    <font>
      <sz val="11"/>
      <name val="ＭＳ Ｐゴシック"/>
      <family val="2"/>
      <charset val="128"/>
    </font>
    <font>
      <b/>
      <i/>
      <sz val="10"/>
      <name val="Tahoma"/>
      <family val="2"/>
    </font>
    <font>
      <sz val="11"/>
      <name val="ＭＳ Ｐゴシック"/>
      <family val="3"/>
      <charset val="128"/>
    </font>
    <font>
      <i/>
      <sz val="10"/>
      <name val="Tahoma"/>
      <family val="2"/>
    </font>
    <font>
      <sz val="10"/>
      <color rgb="FF000000"/>
      <name val="Tahoma"/>
      <family val="2"/>
    </font>
    <font>
      <i/>
      <sz val="10"/>
      <color rgb="FF0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8"/>
        <bgColor indexed="32"/>
      </patternFill>
    </fill>
    <fill>
      <patternFill patternType="solid">
        <fgColor indexed="62"/>
        <bgColor indexed="56"/>
      </patternFill>
    </fill>
    <fill>
      <patternFill patternType="solid">
        <fgColor indexed="27"/>
        <bgColor indexed="41"/>
      </patternFill>
    </fill>
    <fill>
      <patternFill patternType="solid">
        <fgColor theme="6" tint="-0.249977111117893"/>
        <bgColor indexed="32"/>
      </patternFill>
    </fill>
  </fills>
  <borders count="3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2" fillId="0" borderId="0"/>
    <xf numFmtId="0" fontId="17" fillId="0" borderId="0"/>
    <xf numFmtId="0" fontId="17" fillId="0" borderId="0"/>
    <xf numFmtId="0" fontId="1" fillId="0" borderId="0"/>
    <xf numFmtId="0" fontId="19" fillId="0" borderId="0"/>
  </cellStyleXfs>
  <cellXfs count="133">
    <xf numFmtId="0" fontId="0" fillId="0" borderId="0" xfId="0"/>
    <xf numFmtId="0" fontId="2" fillId="2" borderId="0" xfId="0" applyFont="1" applyFill="1"/>
    <xf numFmtId="0" fontId="5" fillId="2" borderId="1" xfId="0" applyFont="1" applyFill="1" applyBorder="1" applyAlignment="1">
      <alignment horizontal="left" vertical="center"/>
    </xf>
    <xf numFmtId="1" fontId="2" fillId="2" borderId="0" xfId="0" applyNumberFormat="1" applyFont="1" applyFill="1"/>
    <xf numFmtId="0" fontId="2" fillId="2" borderId="0" xfId="0" applyFont="1" applyFill="1" applyAlignment="1">
      <alignment horizontal="left"/>
    </xf>
    <xf numFmtId="1" fontId="2" fillId="2" borderId="0" xfId="0" applyNumberFormat="1" applyFont="1" applyFill="1" applyProtection="1">
      <protection hidden="1"/>
    </xf>
    <xf numFmtId="0" fontId="4" fillId="2" borderId="0" xfId="0" applyFont="1" applyFill="1" applyAlignment="1">
      <alignment horizontal="left"/>
    </xf>
    <xf numFmtId="0" fontId="8" fillId="2" borderId="0" xfId="0" applyFont="1" applyFill="1" applyAlignment="1">
      <alignment horizontal="left"/>
    </xf>
    <xf numFmtId="0" fontId="9" fillId="2" borderId="0" xfId="0" applyFont="1" applyFill="1" applyAlignment="1">
      <alignment horizontal="left"/>
    </xf>
    <xf numFmtId="0" fontId="2" fillId="2" borderId="0" xfId="0" applyFont="1" applyFill="1" applyAlignment="1">
      <alignment wrapText="1"/>
    </xf>
    <xf numFmtId="1" fontId="5" fillId="2" borderId="0" xfId="0" applyNumberFormat="1" applyFont="1" applyFill="1"/>
    <xf numFmtId="0" fontId="2" fillId="2" borderId="0" xfId="0" applyFont="1" applyFill="1" applyAlignment="1">
      <alignment vertical="center"/>
    </xf>
    <xf numFmtId="1" fontId="2" fillId="2" borderId="0" xfId="0" applyNumberFormat="1" applyFont="1" applyFill="1" applyAlignment="1" applyProtection="1">
      <alignment vertical="center"/>
      <protection hidden="1"/>
    </xf>
    <xf numFmtId="0" fontId="2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center"/>
    </xf>
    <xf numFmtId="1" fontId="7" fillId="4" borderId="3" xfId="0" applyNumberFormat="1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1" fontId="2" fillId="2" borderId="6" xfId="0" applyNumberFormat="1" applyFont="1" applyFill="1" applyBorder="1" applyAlignment="1">
      <alignment vertical="center"/>
    </xf>
    <xf numFmtId="49" fontId="2" fillId="2" borderId="7" xfId="0" applyNumberFormat="1" applyFont="1" applyFill="1" applyBorder="1" applyAlignment="1">
      <alignment horizontal="left" vertical="center"/>
    </xf>
    <xf numFmtId="0" fontId="11" fillId="2" borderId="7" xfId="1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0" fontId="13" fillId="2" borderId="0" xfId="0" applyFont="1" applyFill="1"/>
    <xf numFmtId="0" fontId="13" fillId="2" borderId="0" xfId="0" applyFont="1" applyFill="1" applyAlignment="1">
      <alignment wrapText="1"/>
    </xf>
    <xf numFmtId="0" fontId="14" fillId="2" borderId="0" xfId="0" applyFont="1" applyFill="1"/>
    <xf numFmtId="0" fontId="2" fillId="2" borderId="0" xfId="0" applyFont="1" applyFill="1" applyAlignment="1">
      <alignment horizontal="center" wrapText="1"/>
    </xf>
    <xf numFmtId="0" fontId="13" fillId="2" borderId="0" xfId="0" applyFont="1" applyFill="1" applyAlignment="1">
      <alignment horizontal="center" wrapText="1"/>
    </xf>
    <xf numFmtId="0" fontId="14" fillId="2" borderId="0" xfId="0" applyFont="1" applyFill="1" applyAlignment="1">
      <alignment horizontal="center" wrapText="1"/>
    </xf>
    <xf numFmtId="0" fontId="9" fillId="2" borderId="0" xfId="3" applyFont="1" applyFill="1" applyAlignment="1">
      <alignment horizontal="center" vertical="center" wrapText="1"/>
    </xf>
    <xf numFmtId="0" fontId="9" fillId="2" borderId="0" xfId="3" applyFont="1" applyFill="1" applyAlignment="1">
      <alignment horizontal="left" vertical="center"/>
    </xf>
    <xf numFmtId="0" fontId="13" fillId="2" borderId="0" xfId="0" applyFont="1" applyFill="1" applyAlignment="1">
      <alignment vertical="top" wrapText="1"/>
    </xf>
    <xf numFmtId="0" fontId="14" fillId="2" borderId="0" xfId="0" applyFont="1" applyFill="1" applyAlignment="1">
      <alignment vertical="top"/>
    </xf>
    <xf numFmtId="0" fontId="10" fillId="2" borderId="0" xfId="2" applyFont="1" applyFill="1"/>
    <xf numFmtId="0" fontId="2" fillId="2" borderId="0" xfId="2" applyFont="1" applyFill="1"/>
    <xf numFmtId="164" fontId="2" fillId="2" borderId="0" xfId="2" applyNumberFormat="1" applyFont="1" applyFill="1"/>
    <xf numFmtId="0" fontId="5" fillId="2" borderId="2" xfId="0" applyFont="1" applyFill="1" applyBorder="1" applyAlignment="1">
      <alignment horizontal="left"/>
    </xf>
    <xf numFmtId="0" fontId="2" fillId="2" borderId="2" xfId="0" applyFont="1" applyFill="1" applyBorder="1" applyAlignment="1">
      <alignment vertical="top"/>
    </xf>
    <xf numFmtId="0" fontId="5" fillId="2" borderId="1" xfId="0" applyFont="1" applyFill="1" applyBorder="1" applyAlignment="1">
      <alignment vertical="center"/>
    </xf>
    <xf numFmtId="0" fontId="5" fillId="2" borderId="0" xfId="0" applyFont="1" applyFill="1"/>
    <xf numFmtId="0" fontId="6" fillId="2" borderId="0" xfId="2" applyFont="1" applyFill="1"/>
    <xf numFmtId="0" fontId="2" fillId="2" borderId="15" xfId="0" applyFont="1" applyFill="1" applyBorder="1"/>
    <xf numFmtId="0" fontId="7" fillId="3" borderId="16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 wrapText="1"/>
    </xf>
    <xf numFmtId="0" fontId="7" fillId="3" borderId="12" xfId="0" applyFont="1" applyFill="1" applyBorder="1" applyAlignment="1">
      <alignment horizontal="center"/>
    </xf>
    <xf numFmtId="0" fontId="7" fillId="3" borderId="17" xfId="0" applyFont="1" applyFill="1" applyBorder="1" applyAlignment="1">
      <alignment horizontal="center" wrapText="1"/>
    </xf>
    <xf numFmtId="0" fontId="2" fillId="2" borderId="18" xfId="0" applyFont="1" applyFill="1" applyBorder="1" applyAlignment="1">
      <alignment horizontal="center"/>
    </xf>
    <xf numFmtId="0" fontId="2" fillId="2" borderId="7" xfId="0" applyFont="1" applyFill="1" applyBorder="1"/>
    <xf numFmtId="0" fontId="2" fillId="2" borderId="7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15" fillId="3" borderId="20" xfId="0" applyFont="1" applyFill="1" applyBorder="1" applyAlignment="1">
      <alignment horizontal="center"/>
    </xf>
    <xf numFmtId="0" fontId="7" fillId="3" borderId="10" xfId="0" applyFont="1" applyFill="1" applyBorder="1"/>
    <xf numFmtId="0" fontId="15" fillId="3" borderId="10" xfId="0" applyFont="1" applyFill="1" applyBorder="1" applyAlignment="1">
      <alignment horizontal="center"/>
    </xf>
    <xf numFmtId="0" fontId="15" fillId="3" borderId="21" xfId="0" applyFont="1" applyFill="1" applyBorder="1" applyAlignment="1">
      <alignment horizontal="center"/>
    </xf>
    <xf numFmtId="0" fontId="5" fillId="2" borderId="0" xfId="0" applyFont="1" applyFill="1" applyAlignment="1">
      <alignment horizontal="left"/>
    </xf>
    <xf numFmtId="2" fontId="16" fillId="2" borderId="0" xfId="0" applyNumberFormat="1" applyFont="1" applyFill="1" applyAlignment="1">
      <alignment horizontal="right" wrapText="1"/>
    </xf>
    <xf numFmtId="0" fontId="6" fillId="2" borderId="0" xfId="3" applyFont="1" applyFill="1" applyAlignment="1">
      <alignment horizontal="left" wrapText="1"/>
    </xf>
    <xf numFmtId="0" fontId="8" fillId="2" borderId="0" xfId="0" applyFont="1" applyFill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10" fillId="5" borderId="22" xfId="3" applyFont="1" applyFill="1" applyBorder="1" applyAlignment="1">
      <alignment horizontal="left" vertical="center"/>
    </xf>
    <xf numFmtId="0" fontId="10" fillId="5" borderId="23" xfId="3" applyFont="1" applyFill="1" applyBorder="1" applyAlignment="1">
      <alignment horizontal="left" vertical="center"/>
    </xf>
    <xf numFmtId="0" fontId="10" fillId="5" borderId="24" xfId="3" applyFont="1" applyFill="1" applyBorder="1" applyAlignment="1">
      <alignment horizontal="left" vertical="center"/>
    </xf>
    <xf numFmtId="0" fontId="6" fillId="2" borderId="0" xfId="3" applyFont="1" applyFill="1" applyAlignment="1">
      <alignment wrapText="1"/>
    </xf>
    <xf numFmtId="0" fontId="7" fillId="6" borderId="25" xfId="3" applyFont="1" applyFill="1" applyBorder="1" applyAlignment="1">
      <alignment horizontal="center" vertical="center" wrapText="1"/>
    </xf>
    <xf numFmtId="0" fontId="18" fillId="2" borderId="25" xfId="3" applyFont="1" applyFill="1" applyBorder="1" applyAlignment="1">
      <alignment horizontal="center" vertical="top" wrapText="1"/>
    </xf>
    <xf numFmtId="0" fontId="2" fillId="2" borderId="25" xfId="3" applyFont="1" applyFill="1" applyBorder="1" applyAlignment="1">
      <alignment horizontal="center" vertical="top" wrapText="1"/>
    </xf>
    <xf numFmtId="0" fontId="18" fillId="2" borderId="28" xfId="3" applyFont="1" applyFill="1" applyBorder="1" applyAlignment="1">
      <alignment horizontal="center" vertical="top" wrapText="1"/>
    </xf>
    <xf numFmtId="0" fontId="18" fillId="2" borderId="29" xfId="3" applyFont="1" applyFill="1" applyBorder="1" applyAlignment="1">
      <alignment horizontal="center" vertical="top" wrapText="1"/>
    </xf>
    <xf numFmtId="0" fontId="18" fillId="2" borderId="30" xfId="3" applyFont="1" applyFill="1" applyBorder="1" applyAlignment="1">
      <alignment horizontal="center" vertical="top" wrapText="1"/>
    </xf>
    <xf numFmtId="0" fontId="2" fillId="2" borderId="31" xfId="3" applyFont="1" applyFill="1" applyBorder="1" applyAlignment="1">
      <alignment horizontal="center" vertical="top" wrapText="1"/>
    </xf>
    <xf numFmtId="0" fontId="2" fillId="2" borderId="32" xfId="3" applyFont="1" applyFill="1" applyBorder="1" applyAlignment="1">
      <alignment horizontal="center" vertical="top" wrapText="1"/>
    </xf>
    <xf numFmtId="0" fontId="2" fillId="2" borderId="29" xfId="3" applyFont="1" applyFill="1" applyBorder="1" applyAlignment="1">
      <alignment horizontal="center" vertical="top" wrapText="1"/>
    </xf>
    <xf numFmtId="0" fontId="10" fillId="2" borderId="26" xfId="3" applyFont="1" applyFill="1" applyBorder="1" applyAlignment="1">
      <alignment horizontal="center" vertical="top" wrapText="1"/>
    </xf>
    <xf numFmtId="0" fontId="10" fillId="2" borderId="28" xfId="3" applyFont="1" applyFill="1" applyBorder="1" applyAlignment="1">
      <alignment horizontal="center" vertical="top" wrapText="1"/>
    </xf>
    <xf numFmtId="0" fontId="12" fillId="2" borderId="7" xfId="1" applyFill="1" applyBorder="1" applyAlignment="1">
      <alignment horizontal="left" vertical="center"/>
    </xf>
    <xf numFmtId="0" fontId="3" fillId="0" borderId="13" xfId="5" applyFont="1" applyBorder="1" applyAlignment="1">
      <alignment horizontal="center" vertical="center"/>
    </xf>
    <xf numFmtId="0" fontId="2" fillId="0" borderId="0" xfId="5" applyFont="1" applyAlignment="1">
      <alignment horizontal="center" vertical="center"/>
    </xf>
    <xf numFmtId="0" fontId="5" fillId="2" borderId="0" xfId="5" applyFont="1" applyFill="1" applyAlignment="1">
      <alignment horizontal="left" indent="1"/>
    </xf>
    <xf numFmtId="0" fontId="6" fillId="0" borderId="0" xfId="5" applyFont="1" applyAlignment="1">
      <alignment horizontal="left" indent="1"/>
    </xf>
    <xf numFmtId="0" fontId="2" fillId="0" borderId="0" xfId="5" applyFont="1"/>
    <xf numFmtId="0" fontId="2" fillId="2" borderId="0" xfId="5" applyFont="1" applyFill="1"/>
    <xf numFmtId="0" fontId="10" fillId="2" borderId="1" xfId="5" applyFont="1" applyFill="1" applyBorder="1" applyAlignment="1">
      <alignment horizontal="left"/>
    </xf>
    <xf numFmtId="0" fontId="2" fillId="0" borderId="2" xfId="5" applyFont="1" applyBorder="1"/>
    <xf numFmtId="0" fontId="10" fillId="2" borderId="1" xfId="5" applyFont="1" applyFill="1" applyBorder="1" applyAlignment="1">
      <alignment vertical="center"/>
    </xf>
    <xf numFmtId="0" fontId="20" fillId="0" borderId="2" xfId="5" applyFont="1" applyBorder="1" applyAlignment="1">
      <alignment horizontal="left" indent="1"/>
    </xf>
    <xf numFmtId="0" fontId="10" fillId="0" borderId="0" xfId="5" applyFont="1"/>
    <xf numFmtId="0" fontId="6" fillId="0" borderId="0" xfId="5" applyFont="1" applyAlignment="1">
      <alignment horizontal="left"/>
    </xf>
    <xf numFmtId="0" fontId="5" fillId="0" borderId="0" xfId="5" applyFont="1" applyAlignment="1">
      <alignment horizontal="left" indent="1"/>
    </xf>
    <xf numFmtId="0" fontId="10" fillId="0" borderId="0" xfId="5" applyFont="1" applyAlignment="1">
      <alignment horizontal="left"/>
    </xf>
    <xf numFmtId="164" fontId="7" fillId="3" borderId="3" xfId="5" applyNumberFormat="1" applyFont="1" applyFill="1" applyBorder="1" applyAlignment="1">
      <alignment horizontal="center" vertical="center"/>
    </xf>
    <xf numFmtId="0" fontId="7" fillId="3" borderId="4" xfId="5" applyFont="1" applyFill="1" applyBorder="1" applyAlignment="1">
      <alignment horizontal="center" vertical="center"/>
    </xf>
    <xf numFmtId="0" fontId="7" fillId="3" borderId="5" xfId="5" applyFont="1" applyFill="1" applyBorder="1" applyAlignment="1">
      <alignment horizontal="center" vertical="center"/>
    </xf>
    <xf numFmtId="0" fontId="2" fillId="0" borderId="0" xfId="5" applyFont="1" applyAlignment="1">
      <alignment vertical="center"/>
    </xf>
    <xf numFmtId="49" fontId="2" fillId="0" borderId="7" xfId="5" applyNumberFormat="1" applyFont="1" applyBorder="1" applyAlignment="1">
      <alignment vertical="top"/>
    </xf>
    <xf numFmtId="0" fontId="2" fillId="0" borderId="7" xfId="5" applyFont="1" applyBorder="1" applyAlignment="1">
      <alignment vertical="top"/>
    </xf>
    <xf numFmtId="15" fontId="2" fillId="0" borderId="7" xfId="5" applyNumberFormat="1" applyFont="1" applyBorder="1" applyAlignment="1">
      <alignment vertical="top"/>
    </xf>
    <xf numFmtId="0" fontId="20" fillId="0" borderId="8" xfId="5" applyFont="1" applyBorder="1" applyAlignment="1">
      <alignment vertical="top" wrapText="1"/>
    </xf>
    <xf numFmtId="0" fontId="2" fillId="0" borderId="0" xfId="5" applyFont="1" applyAlignment="1">
      <alignment vertical="top"/>
    </xf>
    <xf numFmtId="164" fontId="2" fillId="0" borderId="6" xfId="5" applyNumberFormat="1" applyFont="1" applyBorder="1" applyAlignment="1">
      <alignment vertical="top"/>
    </xf>
    <xf numFmtId="0" fontId="2" fillId="0" borderId="8" xfId="5" applyFont="1" applyBorder="1" applyAlignment="1">
      <alignment vertical="top"/>
    </xf>
    <xf numFmtId="164" fontId="2" fillId="0" borderId="9" xfId="5" applyNumberFormat="1" applyFont="1" applyBorder="1" applyAlignment="1">
      <alignment vertical="top"/>
    </xf>
    <xf numFmtId="49" fontId="2" fillId="0" borderId="10" xfId="5" applyNumberFormat="1" applyFont="1" applyBorder="1" applyAlignment="1">
      <alignment vertical="top"/>
    </xf>
    <xf numFmtId="0" fontId="2" fillId="0" borderId="10" xfId="5" applyFont="1" applyBorder="1" applyAlignment="1">
      <alignment vertical="top"/>
    </xf>
    <xf numFmtId="0" fontId="2" fillId="0" borderId="11" xfId="5" applyFont="1" applyBorder="1" applyAlignment="1">
      <alignment vertical="top"/>
    </xf>
    <xf numFmtId="0" fontId="2" fillId="0" borderId="0" xfId="5" applyFont="1" applyAlignment="1">
      <alignment horizontal="left" indent="1"/>
    </xf>
    <xf numFmtId="165" fontId="20" fillId="0" borderId="2" xfId="5" applyNumberFormat="1" applyFont="1" applyBorder="1"/>
    <xf numFmtId="165" fontId="20" fillId="0" borderId="6" xfId="5" applyNumberFormat="1" applyFont="1" applyBorder="1" applyAlignment="1">
      <alignment vertical="top" wrapText="1"/>
    </xf>
    <xf numFmtId="165" fontId="6" fillId="2" borderId="2" xfId="0" applyNumberFormat="1" applyFont="1" applyFill="1" applyBorder="1" applyAlignment="1">
      <alignment vertical="top"/>
    </xf>
    <xf numFmtId="0" fontId="21" fillId="2" borderId="1" xfId="3" applyFont="1" applyFill="1" applyBorder="1" applyAlignment="1">
      <alignment vertical="top" wrapText="1"/>
    </xf>
    <xf numFmtId="0" fontId="22" fillId="2" borderId="1" xfId="3" applyFont="1" applyFill="1" applyBorder="1" applyAlignment="1">
      <alignment vertical="top" wrapText="1"/>
    </xf>
    <xf numFmtId="0" fontId="22" fillId="2" borderId="1" xfId="0" applyFont="1" applyFill="1" applyBorder="1" applyAlignment="1">
      <alignment horizontal="left" vertical="top" wrapText="1"/>
    </xf>
    <xf numFmtId="14" fontId="21" fillId="2" borderId="1" xfId="3" applyNumberFormat="1" applyFont="1" applyFill="1" applyBorder="1" applyAlignment="1">
      <alignment vertical="top" wrapText="1"/>
    </xf>
    <xf numFmtId="0" fontId="21" fillId="2" borderId="1" xfId="0" applyFont="1" applyFill="1" applyBorder="1" applyAlignment="1">
      <alignment vertical="top" wrapText="1"/>
    </xf>
    <xf numFmtId="0" fontId="4" fillId="0" borderId="1" xfId="5" applyFont="1" applyBorder="1" applyAlignment="1">
      <alignment horizontal="center" vertical="center"/>
    </xf>
    <xf numFmtId="0" fontId="0" fillId="0" borderId="14" xfId="0" applyBorder="1"/>
    <xf numFmtId="0" fontId="0" fillId="0" borderId="2" xfId="0" applyBorder="1"/>
    <xf numFmtId="0" fontId="20" fillId="0" borderId="1" xfId="5" applyFont="1" applyBorder="1" applyAlignment="1">
      <alignment horizontal="left" vertical="center"/>
    </xf>
    <xf numFmtId="0" fontId="20" fillId="0" borderId="1" xfId="5" applyFont="1" applyBorder="1" applyAlignment="1">
      <alignment horizontal="left"/>
    </xf>
    <xf numFmtId="0" fontId="6" fillId="2" borderId="1" xfId="0" applyFont="1" applyFill="1" applyBorder="1" applyAlignment="1">
      <alignment vertical="top" wrapText="1"/>
    </xf>
    <xf numFmtId="1" fontId="5" fillId="2" borderId="13" xfId="0" applyNumberFormat="1" applyFont="1" applyFill="1" applyBorder="1"/>
    <xf numFmtId="1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6" fillId="2" borderId="1" xfId="2" applyFont="1" applyFill="1" applyBorder="1" applyAlignment="1">
      <alignment vertical="top"/>
    </xf>
    <xf numFmtId="0" fontId="4" fillId="2" borderId="0" xfId="2" applyFont="1" applyFill="1" applyAlignment="1">
      <alignment horizontal="center"/>
    </xf>
    <xf numFmtId="0" fontId="2" fillId="2" borderId="0" xfId="0" applyFont="1" applyFill="1"/>
    <xf numFmtId="0" fontId="2" fillId="2" borderId="25" xfId="3" applyFont="1" applyFill="1" applyBorder="1" applyAlignment="1">
      <alignment horizontal="left" vertical="top" wrapText="1"/>
    </xf>
    <xf numFmtId="0" fontId="0" fillId="0" borderId="35" xfId="0" applyBorder="1"/>
    <xf numFmtId="0" fontId="0" fillId="0" borderId="36" xfId="0" applyBorder="1"/>
    <xf numFmtId="0" fontId="2" fillId="2" borderId="27" xfId="3" applyFont="1" applyFill="1" applyBorder="1" applyAlignment="1">
      <alignment horizontal="left" vertical="top" wrapText="1"/>
    </xf>
    <xf numFmtId="0" fontId="0" fillId="0" borderId="33" xfId="0" applyBorder="1"/>
    <xf numFmtId="0" fontId="0" fillId="0" borderId="34" xfId="0" applyBorder="1"/>
  </cellXfs>
  <cellStyles count="6">
    <cellStyle name="Hyperlink" xfId="1" builtinId="8"/>
    <cellStyle name="Normal" xfId="0" builtinId="0"/>
    <cellStyle name="Normal_Functional Test Case v1.0" xfId="2" xr:uid="{00000000-0005-0000-0000-000002000000}"/>
    <cellStyle name="Normal_Sheet1" xfId="3" xr:uid="{00000000-0005-0000-0000-000003000000}"/>
    <cellStyle name="Normal_Template_UnitTest Case_v0.9" xfId="5" xr:uid="{00000000-0005-0000-0000-000005000000}"/>
    <cellStyle name="標準_結合試験(AllOvertheWorld)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88900</xdr:rowOff>
    </xdr:from>
    <xdr:to>
      <xdr:col>0</xdr:col>
      <xdr:colOff>2133600</xdr:colOff>
      <xdr:row>1</xdr:row>
      <xdr:rowOff>787400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4000"/>
          <a:ext cx="2133600" cy="69850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17"/>
  <sheetViews>
    <sheetView showGridLines="0" tabSelected="1" workbookViewId="0">
      <selection activeCell="B3" sqref="B3"/>
    </sheetView>
  </sheetViews>
  <sheetFormatPr defaultColWidth="9" defaultRowHeight="13.2"/>
  <cols>
    <col min="1" max="1" width="28.109375" style="105" customWidth="1"/>
    <col min="2" max="2" width="10" style="80" customWidth="1"/>
    <col min="3" max="3" width="14.33203125" style="80" customWidth="1"/>
    <col min="4" max="4" width="8" style="80" customWidth="1"/>
    <col min="5" max="5" width="38" style="80" customWidth="1"/>
    <col min="6" max="6" width="48.109375" style="80" customWidth="1"/>
    <col min="7" max="256" width="9" style="80" customWidth="1"/>
    <col min="257" max="257" width="28.109375" style="80" customWidth="1"/>
    <col min="258" max="258" width="10" style="80" customWidth="1"/>
    <col min="259" max="259" width="14.33203125" style="80" customWidth="1"/>
    <col min="260" max="260" width="8" style="80" customWidth="1"/>
    <col min="261" max="261" width="38" style="80" customWidth="1"/>
    <col min="262" max="262" width="48.109375" style="80" customWidth="1"/>
    <col min="263" max="512" width="9" style="80" customWidth="1"/>
    <col min="513" max="513" width="28.109375" style="80" customWidth="1"/>
    <col min="514" max="514" width="10" style="80" customWidth="1"/>
    <col min="515" max="515" width="14.33203125" style="80" customWidth="1"/>
    <col min="516" max="516" width="8" style="80" customWidth="1"/>
    <col min="517" max="517" width="38" style="80" customWidth="1"/>
    <col min="518" max="518" width="48.109375" style="80" customWidth="1"/>
    <col min="519" max="768" width="9" style="80" customWidth="1"/>
    <col min="769" max="769" width="28.109375" style="80" customWidth="1"/>
    <col min="770" max="770" width="10" style="80" customWidth="1"/>
    <col min="771" max="771" width="14.33203125" style="80" customWidth="1"/>
    <col min="772" max="772" width="8" style="80" customWidth="1"/>
    <col min="773" max="773" width="38" style="80" customWidth="1"/>
    <col min="774" max="774" width="48.109375" style="80" customWidth="1"/>
    <col min="775" max="1024" width="9" style="80" customWidth="1"/>
    <col min="1025" max="1025" width="28.109375" style="80" customWidth="1"/>
    <col min="1026" max="1026" width="10" style="80" customWidth="1"/>
    <col min="1027" max="1027" width="14.33203125" style="80" customWidth="1"/>
    <col min="1028" max="1028" width="8" style="80" customWidth="1"/>
    <col min="1029" max="1029" width="38" style="80" customWidth="1"/>
    <col min="1030" max="1030" width="48.109375" style="80" customWidth="1"/>
    <col min="1031" max="1280" width="9" style="80" customWidth="1"/>
    <col min="1281" max="1281" width="28.109375" style="80" customWidth="1"/>
    <col min="1282" max="1282" width="10" style="80" customWidth="1"/>
    <col min="1283" max="1283" width="14.33203125" style="80" customWidth="1"/>
    <col min="1284" max="1284" width="8" style="80" customWidth="1"/>
    <col min="1285" max="1285" width="38" style="80" customWidth="1"/>
    <col min="1286" max="1286" width="48.109375" style="80" customWidth="1"/>
    <col min="1287" max="1536" width="9" style="80" customWidth="1"/>
    <col min="1537" max="1537" width="28.109375" style="80" customWidth="1"/>
    <col min="1538" max="1538" width="10" style="80" customWidth="1"/>
    <col min="1539" max="1539" width="14.33203125" style="80" customWidth="1"/>
    <col min="1540" max="1540" width="8" style="80" customWidth="1"/>
    <col min="1541" max="1541" width="38" style="80" customWidth="1"/>
    <col min="1542" max="1542" width="48.109375" style="80" customWidth="1"/>
    <col min="1543" max="1792" width="9" style="80" customWidth="1"/>
    <col min="1793" max="1793" width="28.109375" style="80" customWidth="1"/>
    <col min="1794" max="1794" width="10" style="80" customWidth="1"/>
    <col min="1795" max="1795" width="14.33203125" style="80" customWidth="1"/>
    <col min="1796" max="1796" width="8" style="80" customWidth="1"/>
    <col min="1797" max="1797" width="38" style="80" customWidth="1"/>
    <col min="1798" max="1798" width="48.109375" style="80" customWidth="1"/>
    <col min="1799" max="2048" width="9" style="80" customWidth="1"/>
    <col min="2049" max="2049" width="28.109375" style="80" customWidth="1"/>
    <col min="2050" max="2050" width="10" style="80" customWidth="1"/>
    <col min="2051" max="2051" width="14.33203125" style="80" customWidth="1"/>
    <col min="2052" max="2052" width="8" style="80" customWidth="1"/>
    <col min="2053" max="2053" width="38" style="80" customWidth="1"/>
    <col min="2054" max="2054" width="48.109375" style="80" customWidth="1"/>
    <col min="2055" max="2304" width="9" style="80" customWidth="1"/>
    <col min="2305" max="2305" width="28.109375" style="80" customWidth="1"/>
    <col min="2306" max="2306" width="10" style="80" customWidth="1"/>
    <col min="2307" max="2307" width="14.33203125" style="80" customWidth="1"/>
    <col min="2308" max="2308" width="8" style="80" customWidth="1"/>
    <col min="2309" max="2309" width="38" style="80" customWidth="1"/>
    <col min="2310" max="2310" width="48.109375" style="80" customWidth="1"/>
    <col min="2311" max="2560" width="9" style="80" customWidth="1"/>
    <col min="2561" max="2561" width="28.109375" style="80" customWidth="1"/>
    <col min="2562" max="2562" width="10" style="80" customWidth="1"/>
    <col min="2563" max="2563" width="14.33203125" style="80" customWidth="1"/>
    <col min="2564" max="2564" width="8" style="80" customWidth="1"/>
    <col min="2565" max="2565" width="38" style="80" customWidth="1"/>
    <col min="2566" max="2566" width="48.109375" style="80" customWidth="1"/>
    <col min="2567" max="2816" width="9" style="80" customWidth="1"/>
    <col min="2817" max="2817" width="28.109375" style="80" customWidth="1"/>
    <col min="2818" max="2818" width="10" style="80" customWidth="1"/>
    <col min="2819" max="2819" width="14.33203125" style="80" customWidth="1"/>
    <col min="2820" max="2820" width="8" style="80" customWidth="1"/>
    <col min="2821" max="2821" width="38" style="80" customWidth="1"/>
    <col min="2822" max="2822" width="48.109375" style="80" customWidth="1"/>
    <col min="2823" max="3072" width="9" style="80" customWidth="1"/>
    <col min="3073" max="3073" width="28.109375" style="80" customWidth="1"/>
    <col min="3074" max="3074" width="10" style="80" customWidth="1"/>
    <col min="3075" max="3075" width="14.33203125" style="80" customWidth="1"/>
    <col min="3076" max="3076" width="8" style="80" customWidth="1"/>
    <col min="3077" max="3077" width="38" style="80" customWidth="1"/>
    <col min="3078" max="3078" width="48.109375" style="80" customWidth="1"/>
    <col min="3079" max="3328" width="9" style="80" customWidth="1"/>
    <col min="3329" max="3329" width="28.109375" style="80" customWidth="1"/>
    <col min="3330" max="3330" width="10" style="80" customWidth="1"/>
    <col min="3331" max="3331" width="14.33203125" style="80" customWidth="1"/>
    <col min="3332" max="3332" width="8" style="80" customWidth="1"/>
    <col min="3333" max="3333" width="38" style="80" customWidth="1"/>
    <col min="3334" max="3334" width="48.109375" style="80" customWidth="1"/>
    <col min="3335" max="3584" width="9" style="80" customWidth="1"/>
    <col min="3585" max="3585" width="28.109375" style="80" customWidth="1"/>
    <col min="3586" max="3586" width="10" style="80" customWidth="1"/>
    <col min="3587" max="3587" width="14.33203125" style="80" customWidth="1"/>
    <col min="3588" max="3588" width="8" style="80" customWidth="1"/>
    <col min="3589" max="3589" width="38" style="80" customWidth="1"/>
    <col min="3590" max="3590" width="48.109375" style="80" customWidth="1"/>
    <col min="3591" max="3840" width="9" style="80" customWidth="1"/>
    <col min="3841" max="3841" width="28.109375" style="80" customWidth="1"/>
    <col min="3842" max="3842" width="10" style="80" customWidth="1"/>
    <col min="3843" max="3843" width="14.33203125" style="80" customWidth="1"/>
    <col min="3844" max="3844" width="8" style="80" customWidth="1"/>
    <col min="3845" max="3845" width="38" style="80" customWidth="1"/>
    <col min="3846" max="3846" width="48.109375" style="80" customWidth="1"/>
    <col min="3847" max="4096" width="9" style="80" customWidth="1"/>
    <col min="4097" max="4097" width="28.109375" style="80" customWidth="1"/>
    <col min="4098" max="4098" width="10" style="80" customWidth="1"/>
    <col min="4099" max="4099" width="14.33203125" style="80" customWidth="1"/>
    <col min="4100" max="4100" width="8" style="80" customWidth="1"/>
    <col min="4101" max="4101" width="38" style="80" customWidth="1"/>
    <col min="4102" max="4102" width="48.109375" style="80" customWidth="1"/>
    <col min="4103" max="4352" width="9" style="80" customWidth="1"/>
    <col min="4353" max="4353" width="28.109375" style="80" customWidth="1"/>
    <col min="4354" max="4354" width="10" style="80" customWidth="1"/>
    <col min="4355" max="4355" width="14.33203125" style="80" customWidth="1"/>
    <col min="4356" max="4356" width="8" style="80" customWidth="1"/>
    <col min="4357" max="4357" width="38" style="80" customWidth="1"/>
    <col min="4358" max="4358" width="48.109375" style="80" customWidth="1"/>
    <col min="4359" max="4608" width="9" style="80" customWidth="1"/>
    <col min="4609" max="4609" width="28.109375" style="80" customWidth="1"/>
    <col min="4610" max="4610" width="10" style="80" customWidth="1"/>
    <col min="4611" max="4611" width="14.33203125" style="80" customWidth="1"/>
    <col min="4612" max="4612" width="8" style="80" customWidth="1"/>
    <col min="4613" max="4613" width="38" style="80" customWidth="1"/>
    <col min="4614" max="4614" width="48.109375" style="80" customWidth="1"/>
    <col min="4615" max="4864" width="9" style="80" customWidth="1"/>
    <col min="4865" max="4865" width="28.109375" style="80" customWidth="1"/>
    <col min="4866" max="4866" width="10" style="80" customWidth="1"/>
    <col min="4867" max="4867" width="14.33203125" style="80" customWidth="1"/>
    <col min="4868" max="4868" width="8" style="80" customWidth="1"/>
    <col min="4869" max="4869" width="38" style="80" customWidth="1"/>
    <col min="4870" max="4870" width="48.109375" style="80" customWidth="1"/>
    <col min="4871" max="5120" width="9" style="80" customWidth="1"/>
    <col min="5121" max="5121" width="28.109375" style="80" customWidth="1"/>
    <col min="5122" max="5122" width="10" style="80" customWidth="1"/>
    <col min="5123" max="5123" width="14.33203125" style="80" customWidth="1"/>
    <col min="5124" max="5124" width="8" style="80" customWidth="1"/>
    <col min="5125" max="5125" width="38" style="80" customWidth="1"/>
    <col min="5126" max="5126" width="48.109375" style="80" customWidth="1"/>
    <col min="5127" max="5376" width="9" style="80" customWidth="1"/>
    <col min="5377" max="5377" width="28.109375" style="80" customWidth="1"/>
    <col min="5378" max="5378" width="10" style="80" customWidth="1"/>
    <col min="5379" max="5379" width="14.33203125" style="80" customWidth="1"/>
    <col min="5380" max="5380" width="8" style="80" customWidth="1"/>
    <col min="5381" max="5381" width="38" style="80" customWidth="1"/>
    <col min="5382" max="5382" width="48.109375" style="80" customWidth="1"/>
    <col min="5383" max="5632" width="9" style="80" customWidth="1"/>
    <col min="5633" max="5633" width="28.109375" style="80" customWidth="1"/>
    <col min="5634" max="5634" width="10" style="80" customWidth="1"/>
    <col min="5635" max="5635" width="14.33203125" style="80" customWidth="1"/>
    <col min="5636" max="5636" width="8" style="80" customWidth="1"/>
    <col min="5637" max="5637" width="38" style="80" customWidth="1"/>
    <col min="5638" max="5638" width="48.109375" style="80" customWidth="1"/>
    <col min="5639" max="5888" width="9" style="80" customWidth="1"/>
    <col min="5889" max="5889" width="28.109375" style="80" customWidth="1"/>
    <col min="5890" max="5890" width="10" style="80" customWidth="1"/>
    <col min="5891" max="5891" width="14.33203125" style="80" customWidth="1"/>
    <col min="5892" max="5892" width="8" style="80" customWidth="1"/>
    <col min="5893" max="5893" width="38" style="80" customWidth="1"/>
    <col min="5894" max="5894" width="48.109375" style="80" customWidth="1"/>
    <col min="5895" max="6144" width="9" style="80" customWidth="1"/>
    <col min="6145" max="6145" width="28.109375" style="80" customWidth="1"/>
    <col min="6146" max="6146" width="10" style="80" customWidth="1"/>
    <col min="6147" max="6147" width="14.33203125" style="80" customWidth="1"/>
    <col min="6148" max="6148" width="8" style="80" customWidth="1"/>
    <col min="6149" max="6149" width="38" style="80" customWidth="1"/>
    <col min="6150" max="6150" width="48.109375" style="80" customWidth="1"/>
    <col min="6151" max="6400" width="9" style="80" customWidth="1"/>
    <col min="6401" max="6401" width="28.109375" style="80" customWidth="1"/>
    <col min="6402" max="6402" width="10" style="80" customWidth="1"/>
    <col min="6403" max="6403" width="14.33203125" style="80" customWidth="1"/>
    <col min="6404" max="6404" width="8" style="80" customWidth="1"/>
    <col min="6405" max="6405" width="38" style="80" customWidth="1"/>
    <col min="6406" max="6406" width="48.109375" style="80" customWidth="1"/>
    <col min="6407" max="6656" width="9" style="80" customWidth="1"/>
    <col min="6657" max="6657" width="28.109375" style="80" customWidth="1"/>
    <col min="6658" max="6658" width="10" style="80" customWidth="1"/>
    <col min="6659" max="6659" width="14.33203125" style="80" customWidth="1"/>
    <col min="6660" max="6660" width="8" style="80" customWidth="1"/>
    <col min="6661" max="6661" width="38" style="80" customWidth="1"/>
    <col min="6662" max="6662" width="48.109375" style="80" customWidth="1"/>
    <col min="6663" max="6912" width="9" style="80" customWidth="1"/>
    <col min="6913" max="6913" width="28.109375" style="80" customWidth="1"/>
    <col min="6914" max="6914" width="10" style="80" customWidth="1"/>
    <col min="6915" max="6915" width="14.33203125" style="80" customWidth="1"/>
    <col min="6916" max="6916" width="8" style="80" customWidth="1"/>
    <col min="6917" max="6917" width="38" style="80" customWidth="1"/>
    <col min="6918" max="6918" width="48.109375" style="80" customWidth="1"/>
    <col min="6919" max="7168" width="9" style="80" customWidth="1"/>
    <col min="7169" max="7169" width="28.109375" style="80" customWidth="1"/>
    <col min="7170" max="7170" width="10" style="80" customWidth="1"/>
    <col min="7171" max="7171" width="14.33203125" style="80" customWidth="1"/>
    <col min="7172" max="7172" width="8" style="80" customWidth="1"/>
    <col min="7173" max="7173" width="38" style="80" customWidth="1"/>
    <col min="7174" max="7174" width="48.109375" style="80" customWidth="1"/>
    <col min="7175" max="7424" width="9" style="80" customWidth="1"/>
    <col min="7425" max="7425" width="28.109375" style="80" customWidth="1"/>
    <col min="7426" max="7426" width="10" style="80" customWidth="1"/>
    <col min="7427" max="7427" width="14.33203125" style="80" customWidth="1"/>
    <col min="7428" max="7428" width="8" style="80" customWidth="1"/>
    <col min="7429" max="7429" width="38" style="80" customWidth="1"/>
    <col min="7430" max="7430" width="48.109375" style="80" customWidth="1"/>
    <col min="7431" max="7680" width="9" style="80" customWidth="1"/>
    <col min="7681" max="7681" width="28.109375" style="80" customWidth="1"/>
    <col min="7682" max="7682" width="10" style="80" customWidth="1"/>
    <col min="7683" max="7683" width="14.33203125" style="80" customWidth="1"/>
    <col min="7684" max="7684" width="8" style="80" customWidth="1"/>
    <col min="7685" max="7685" width="38" style="80" customWidth="1"/>
    <col min="7686" max="7686" width="48.109375" style="80" customWidth="1"/>
    <col min="7687" max="7936" width="9" style="80" customWidth="1"/>
    <col min="7937" max="7937" width="28.109375" style="80" customWidth="1"/>
    <col min="7938" max="7938" width="10" style="80" customWidth="1"/>
    <col min="7939" max="7939" width="14.33203125" style="80" customWidth="1"/>
    <col min="7940" max="7940" width="8" style="80" customWidth="1"/>
    <col min="7941" max="7941" width="38" style="80" customWidth="1"/>
    <col min="7942" max="7942" width="48.109375" style="80" customWidth="1"/>
    <col min="7943" max="8192" width="9" style="80" customWidth="1"/>
    <col min="8193" max="8193" width="28.109375" style="80" customWidth="1"/>
    <col min="8194" max="8194" width="10" style="80" customWidth="1"/>
    <col min="8195" max="8195" width="14.33203125" style="80" customWidth="1"/>
    <col min="8196" max="8196" width="8" style="80" customWidth="1"/>
    <col min="8197" max="8197" width="38" style="80" customWidth="1"/>
    <col min="8198" max="8198" width="48.109375" style="80" customWidth="1"/>
    <col min="8199" max="8448" width="9" style="80" customWidth="1"/>
    <col min="8449" max="8449" width="28.109375" style="80" customWidth="1"/>
    <col min="8450" max="8450" width="10" style="80" customWidth="1"/>
    <col min="8451" max="8451" width="14.33203125" style="80" customWidth="1"/>
    <col min="8452" max="8452" width="8" style="80" customWidth="1"/>
    <col min="8453" max="8453" width="38" style="80" customWidth="1"/>
    <col min="8454" max="8454" width="48.109375" style="80" customWidth="1"/>
    <col min="8455" max="8704" width="9" style="80" customWidth="1"/>
    <col min="8705" max="8705" width="28.109375" style="80" customWidth="1"/>
    <col min="8706" max="8706" width="10" style="80" customWidth="1"/>
    <col min="8707" max="8707" width="14.33203125" style="80" customWidth="1"/>
    <col min="8708" max="8708" width="8" style="80" customWidth="1"/>
    <col min="8709" max="8709" width="38" style="80" customWidth="1"/>
    <col min="8710" max="8710" width="48.109375" style="80" customWidth="1"/>
    <col min="8711" max="8960" width="9" style="80" customWidth="1"/>
    <col min="8961" max="8961" width="28.109375" style="80" customWidth="1"/>
    <col min="8962" max="8962" width="10" style="80" customWidth="1"/>
    <col min="8963" max="8963" width="14.33203125" style="80" customWidth="1"/>
    <col min="8964" max="8964" width="8" style="80" customWidth="1"/>
    <col min="8965" max="8965" width="38" style="80" customWidth="1"/>
    <col min="8966" max="8966" width="48.109375" style="80" customWidth="1"/>
    <col min="8967" max="9216" width="9" style="80" customWidth="1"/>
    <col min="9217" max="9217" width="28.109375" style="80" customWidth="1"/>
    <col min="9218" max="9218" width="10" style="80" customWidth="1"/>
    <col min="9219" max="9219" width="14.33203125" style="80" customWidth="1"/>
    <col min="9220" max="9220" width="8" style="80" customWidth="1"/>
    <col min="9221" max="9221" width="38" style="80" customWidth="1"/>
    <col min="9222" max="9222" width="48.109375" style="80" customWidth="1"/>
    <col min="9223" max="9472" width="9" style="80" customWidth="1"/>
    <col min="9473" max="9473" width="28.109375" style="80" customWidth="1"/>
    <col min="9474" max="9474" width="10" style="80" customWidth="1"/>
    <col min="9475" max="9475" width="14.33203125" style="80" customWidth="1"/>
    <col min="9476" max="9476" width="8" style="80" customWidth="1"/>
    <col min="9477" max="9477" width="38" style="80" customWidth="1"/>
    <col min="9478" max="9478" width="48.109375" style="80" customWidth="1"/>
    <col min="9479" max="9728" width="9" style="80" customWidth="1"/>
    <col min="9729" max="9729" width="28.109375" style="80" customWidth="1"/>
    <col min="9730" max="9730" width="10" style="80" customWidth="1"/>
    <col min="9731" max="9731" width="14.33203125" style="80" customWidth="1"/>
    <col min="9732" max="9732" width="8" style="80" customWidth="1"/>
    <col min="9733" max="9733" width="38" style="80" customWidth="1"/>
    <col min="9734" max="9734" width="48.109375" style="80" customWidth="1"/>
    <col min="9735" max="9984" width="9" style="80" customWidth="1"/>
    <col min="9985" max="9985" width="28.109375" style="80" customWidth="1"/>
    <col min="9986" max="9986" width="10" style="80" customWidth="1"/>
    <col min="9987" max="9987" width="14.33203125" style="80" customWidth="1"/>
    <col min="9988" max="9988" width="8" style="80" customWidth="1"/>
    <col min="9989" max="9989" width="38" style="80" customWidth="1"/>
    <col min="9990" max="9990" width="48.109375" style="80" customWidth="1"/>
    <col min="9991" max="10240" width="9" style="80" customWidth="1"/>
    <col min="10241" max="10241" width="28.109375" style="80" customWidth="1"/>
    <col min="10242" max="10242" width="10" style="80" customWidth="1"/>
    <col min="10243" max="10243" width="14.33203125" style="80" customWidth="1"/>
    <col min="10244" max="10244" width="8" style="80" customWidth="1"/>
    <col min="10245" max="10245" width="38" style="80" customWidth="1"/>
    <col min="10246" max="10246" width="48.109375" style="80" customWidth="1"/>
    <col min="10247" max="10496" width="9" style="80" customWidth="1"/>
    <col min="10497" max="10497" width="28.109375" style="80" customWidth="1"/>
    <col min="10498" max="10498" width="10" style="80" customWidth="1"/>
    <col min="10499" max="10499" width="14.33203125" style="80" customWidth="1"/>
    <col min="10500" max="10500" width="8" style="80" customWidth="1"/>
    <col min="10501" max="10501" width="38" style="80" customWidth="1"/>
    <col min="10502" max="10502" width="48.109375" style="80" customWidth="1"/>
    <col min="10503" max="10752" width="9" style="80" customWidth="1"/>
    <col min="10753" max="10753" width="28.109375" style="80" customWidth="1"/>
    <col min="10754" max="10754" width="10" style="80" customWidth="1"/>
    <col min="10755" max="10755" width="14.33203125" style="80" customWidth="1"/>
    <col min="10756" max="10756" width="8" style="80" customWidth="1"/>
    <col min="10757" max="10757" width="38" style="80" customWidth="1"/>
    <col min="10758" max="10758" width="48.109375" style="80" customWidth="1"/>
    <col min="10759" max="11008" width="9" style="80" customWidth="1"/>
    <col min="11009" max="11009" width="28.109375" style="80" customWidth="1"/>
    <col min="11010" max="11010" width="10" style="80" customWidth="1"/>
    <col min="11011" max="11011" width="14.33203125" style="80" customWidth="1"/>
    <col min="11012" max="11012" width="8" style="80" customWidth="1"/>
    <col min="11013" max="11013" width="38" style="80" customWidth="1"/>
    <col min="11014" max="11014" width="48.109375" style="80" customWidth="1"/>
    <col min="11015" max="11264" width="9" style="80" customWidth="1"/>
    <col min="11265" max="11265" width="28.109375" style="80" customWidth="1"/>
    <col min="11266" max="11266" width="10" style="80" customWidth="1"/>
    <col min="11267" max="11267" width="14.33203125" style="80" customWidth="1"/>
    <col min="11268" max="11268" width="8" style="80" customWidth="1"/>
    <col min="11269" max="11269" width="38" style="80" customWidth="1"/>
    <col min="11270" max="11270" width="48.109375" style="80" customWidth="1"/>
    <col min="11271" max="11520" width="9" style="80" customWidth="1"/>
    <col min="11521" max="11521" width="28.109375" style="80" customWidth="1"/>
    <col min="11522" max="11522" width="10" style="80" customWidth="1"/>
    <col min="11523" max="11523" width="14.33203125" style="80" customWidth="1"/>
    <col min="11524" max="11524" width="8" style="80" customWidth="1"/>
    <col min="11525" max="11525" width="38" style="80" customWidth="1"/>
    <col min="11526" max="11526" width="48.109375" style="80" customWidth="1"/>
    <col min="11527" max="11776" width="9" style="80" customWidth="1"/>
    <col min="11777" max="11777" width="28.109375" style="80" customWidth="1"/>
    <col min="11778" max="11778" width="10" style="80" customWidth="1"/>
    <col min="11779" max="11779" width="14.33203125" style="80" customWidth="1"/>
    <col min="11780" max="11780" width="8" style="80" customWidth="1"/>
    <col min="11781" max="11781" width="38" style="80" customWidth="1"/>
    <col min="11782" max="11782" width="48.109375" style="80" customWidth="1"/>
    <col min="11783" max="12032" width="9" style="80" customWidth="1"/>
    <col min="12033" max="12033" width="28.109375" style="80" customWidth="1"/>
    <col min="12034" max="12034" width="10" style="80" customWidth="1"/>
    <col min="12035" max="12035" width="14.33203125" style="80" customWidth="1"/>
    <col min="12036" max="12036" width="8" style="80" customWidth="1"/>
    <col min="12037" max="12037" width="38" style="80" customWidth="1"/>
    <col min="12038" max="12038" width="48.109375" style="80" customWidth="1"/>
    <col min="12039" max="12288" width="9" style="80" customWidth="1"/>
    <col min="12289" max="12289" width="28.109375" style="80" customWidth="1"/>
    <col min="12290" max="12290" width="10" style="80" customWidth="1"/>
    <col min="12291" max="12291" width="14.33203125" style="80" customWidth="1"/>
    <col min="12292" max="12292" width="8" style="80" customWidth="1"/>
    <col min="12293" max="12293" width="38" style="80" customWidth="1"/>
    <col min="12294" max="12294" width="48.109375" style="80" customWidth="1"/>
    <col min="12295" max="12544" width="9" style="80" customWidth="1"/>
    <col min="12545" max="12545" width="28.109375" style="80" customWidth="1"/>
    <col min="12546" max="12546" width="10" style="80" customWidth="1"/>
    <col min="12547" max="12547" width="14.33203125" style="80" customWidth="1"/>
    <col min="12548" max="12548" width="8" style="80" customWidth="1"/>
    <col min="12549" max="12549" width="38" style="80" customWidth="1"/>
    <col min="12550" max="12550" width="48.109375" style="80" customWidth="1"/>
    <col min="12551" max="12800" width="9" style="80" customWidth="1"/>
    <col min="12801" max="12801" width="28.109375" style="80" customWidth="1"/>
    <col min="12802" max="12802" width="10" style="80" customWidth="1"/>
    <col min="12803" max="12803" width="14.33203125" style="80" customWidth="1"/>
    <col min="12804" max="12804" width="8" style="80" customWidth="1"/>
    <col min="12805" max="12805" width="38" style="80" customWidth="1"/>
    <col min="12806" max="12806" width="48.109375" style="80" customWidth="1"/>
    <col min="12807" max="13056" width="9" style="80" customWidth="1"/>
    <col min="13057" max="13057" width="28.109375" style="80" customWidth="1"/>
    <col min="13058" max="13058" width="10" style="80" customWidth="1"/>
    <col min="13059" max="13059" width="14.33203125" style="80" customWidth="1"/>
    <col min="13060" max="13060" width="8" style="80" customWidth="1"/>
    <col min="13061" max="13061" width="38" style="80" customWidth="1"/>
    <col min="13062" max="13062" width="48.109375" style="80" customWidth="1"/>
    <col min="13063" max="13312" width="9" style="80" customWidth="1"/>
    <col min="13313" max="13313" width="28.109375" style="80" customWidth="1"/>
    <col min="13314" max="13314" width="10" style="80" customWidth="1"/>
    <col min="13315" max="13315" width="14.33203125" style="80" customWidth="1"/>
    <col min="13316" max="13316" width="8" style="80" customWidth="1"/>
    <col min="13317" max="13317" width="38" style="80" customWidth="1"/>
    <col min="13318" max="13318" width="48.109375" style="80" customWidth="1"/>
    <col min="13319" max="13568" width="9" style="80" customWidth="1"/>
    <col min="13569" max="13569" width="28.109375" style="80" customWidth="1"/>
    <col min="13570" max="13570" width="10" style="80" customWidth="1"/>
    <col min="13571" max="13571" width="14.33203125" style="80" customWidth="1"/>
    <col min="13572" max="13572" width="8" style="80" customWidth="1"/>
    <col min="13573" max="13573" width="38" style="80" customWidth="1"/>
    <col min="13574" max="13574" width="48.109375" style="80" customWidth="1"/>
    <col min="13575" max="13824" width="9" style="80" customWidth="1"/>
    <col min="13825" max="13825" width="28.109375" style="80" customWidth="1"/>
    <col min="13826" max="13826" width="10" style="80" customWidth="1"/>
    <col min="13827" max="13827" width="14.33203125" style="80" customWidth="1"/>
    <col min="13828" max="13828" width="8" style="80" customWidth="1"/>
    <col min="13829" max="13829" width="38" style="80" customWidth="1"/>
    <col min="13830" max="13830" width="48.109375" style="80" customWidth="1"/>
    <col min="13831" max="14080" width="9" style="80" customWidth="1"/>
    <col min="14081" max="14081" width="28.109375" style="80" customWidth="1"/>
    <col min="14082" max="14082" width="10" style="80" customWidth="1"/>
    <col min="14083" max="14083" width="14.33203125" style="80" customWidth="1"/>
    <col min="14084" max="14084" width="8" style="80" customWidth="1"/>
    <col min="14085" max="14085" width="38" style="80" customWidth="1"/>
    <col min="14086" max="14086" width="48.109375" style="80" customWidth="1"/>
    <col min="14087" max="14336" width="9" style="80" customWidth="1"/>
    <col min="14337" max="14337" width="28.109375" style="80" customWidth="1"/>
    <col min="14338" max="14338" width="10" style="80" customWidth="1"/>
    <col min="14339" max="14339" width="14.33203125" style="80" customWidth="1"/>
    <col min="14340" max="14340" width="8" style="80" customWidth="1"/>
    <col min="14341" max="14341" width="38" style="80" customWidth="1"/>
    <col min="14342" max="14342" width="48.109375" style="80" customWidth="1"/>
    <col min="14343" max="14592" width="9" style="80" customWidth="1"/>
    <col min="14593" max="14593" width="28.109375" style="80" customWidth="1"/>
    <col min="14594" max="14594" width="10" style="80" customWidth="1"/>
    <col min="14595" max="14595" width="14.33203125" style="80" customWidth="1"/>
    <col min="14596" max="14596" width="8" style="80" customWidth="1"/>
    <col min="14597" max="14597" width="38" style="80" customWidth="1"/>
    <col min="14598" max="14598" width="48.109375" style="80" customWidth="1"/>
    <col min="14599" max="14848" width="9" style="80" customWidth="1"/>
    <col min="14849" max="14849" width="28.109375" style="80" customWidth="1"/>
    <col min="14850" max="14850" width="10" style="80" customWidth="1"/>
    <col min="14851" max="14851" width="14.33203125" style="80" customWidth="1"/>
    <col min="14852" max="14852" width="8" style="80" customWidth="1"/>
    <col min="14853" max="14853" width="38" style="80" customWidth="1"/>
    <col min="14854" max="14854" width="48.109375" style="80" customWidth="1"/>
    <col min="14855" max="15104" width="9" style="80" customWidth="1"/>
    <col min="15105" max="15105" width="28.109375" style="80" customWidth="1"/>
    <col min="15106" max="15106" width="10" style="80" customWidth="1"/>
    <col min="15107" max="15107" width="14.33203125" style="80" customWidth="1"/>
    <col min="15108" max="15108" width="8" style="80" customWidth="1"/>
    <col min="15109" max="15109" width="38" style="80" customWidth="1"/>
    <col min="15110" max="15110" width="48.109375" style="80" customWidth="1"/>
    <col min="15111" max="15360" width="9" style="80" customWidth="1"/>
    <col min="15361" max="15361" width="28.109375" style="80" customWidth="1"/>
    <col min="15362" max="15362" width="10" style="80" customWidth="1"/>
    <col min="15363" max="15363" width="14.33203125" style="80" customWidth="1"/>
    <col min="15364" max="15364" width="8" style="80" customWidth="1"/>
    <col min="15365" max="15365" width="38" style="80" customWidth="1"/>
    <col min="15366" max="15366" width="48.109375" style="80" customWidth="1"/>
    <col min="15367" max="15616" width="9" style="80" customWidth="1"/>
    <col min="15617" max="15617" width="28.109375" style="80" customWidth="1"/>
    <col min="15618" max="15618" width="10" style="80" customWidth="1"/>
    <col min="15619" max="15619" width="14.33203125" style="80" customWidth="1"/>
    <col min="15620" max="15620" width="8" style="80" customWidth="1"/>
    <col min="15621" max="15621" width="38" style="80" customWidth="1"/>
    <col min="15622" max="15622" width="48.109375" style="80" customWidth="1"/>
    <col min="15623" max="15872" width="9" style="80" customWidth="1"/>
    <col min="15873" max="15873" width="28.109375" style="80" customWidth="1"/>
    <col min="15874" max="15874" width="10" style="80" customWidth="1"/>
    <col min="15875" max="15875" width="14.33203125" style="80" customWidth="1"/>
    <col min="15876" max="15876" width="8" style="80" customWidth="1"/>
    <col min="15877" max="15877" width="38" style="80" customWidth="1"/>
    <col min="15878" max="15878" width="48.109375" style="80" customWidth="1"/>
    <col min="15879" max="16128" width="9" style="80" customWidth="1"/>
    <col min="16129" max="16129" width="28.109375" style="80" customWidth="1"/>
    <col min="16130" max="16130" width="10" style="80" customWidth="1"/>
    <col min="16131" max="16131" width="14.33203125" style="80" customWidth="1"/>
    <col min="16132" max="16132" width="8" style="80" customWidth="1"/>
    <col min="16133" max="16133" width="38" style="80" customWidth="1"/>
    <col min="16134" max="16134" width="48.109375" style="80" customWidth="1"/>
    <col min="16135" max="16384" width="9" style="80" customWidth="1"/>
  </cols>
  <sheetData>
    <row r="2" spans="1:6" s="77" customFormat="1" ht="75.75" customHeight="1">
      <c r="A2" s="76"/>
      <c r="B2" s="114" t="s">
        <v>0</v>
      </c>
      <c r="C2" s="115"/>
      <c r="D2" s="115"/>
      <c r="E2" s="115"/>
      <c r="F2" s="116"/>
    </row>
    <row r="3" spans="1:6">
      <c r="A3" s="78"/>
      <c r="B3" s="79"/>
      <c r="E3" s="81"/>
    </row>
    <row r="4" spans="1:6" ht="14.25" customHeight="1">
      <c r="A4" s="82" t="s">
        <v>1</v>
      </c>
      <c r="B4" s="118" t="s">
        <v>2</v>
      </c>
      <c r="C4" s="115"/>
      <c r="D4" s="116"/>
      <c r="E4" s="82" t="s">
        <v>3</v>
      </c>
      <c r="F4" s="83" t="s">
        <v>4</v>
      </c>
    </row>
    <row r="5" spans="1:6" ht="14.25" customHeight="1">
      <c r="A5" s="82" t="s">
        <v>5</v>
      </c>
      <c r="B5" s="118" t="s">
        <v>6</v>
      </c>
      <c r="C5" s="115"/>
      <c r="D5" s="116"/>
      <c r="E5" s="82" t="s">
        <v>7</v>
      </c>
      <c r="F5" s="106">
        <v>46300</v>
      </c>
    </row>
    <row r="6" spans="1:6" ht="15.75" customHeight="1">
      <c r="A6" s="84" t="s">
        <v>8</v>
      </c>
      <c r="B6" s="117" t="str">
        <f>B5&amp;"_"&amp;"Test Report"&amp;"_"&amp;"v1.0"</f>
        <v>BRANDHUB_Test Report_v1.0</v>
      </c>
      <c r="C6" s="115"/>
      <c r="D6" s="116"/>
      <c r="E6" s="82" t="s">
        <v>9</v>
      </c>
      <c r="F6" s="85" t="s">
        <v>10</v>
      </c>
    </row>
    <row r="7" spans="1:6">
      <c r="A7" s="86"/>
      <c r="B7" s="87"/>
      <c r="E7" s="88"/>
      <c r="F7" s="79"/>
    </row>
    <row r="8" spans="1:6">
      <c r="A8" s="80"/>
    </row>
    <row r="9" spans="1:6">
      <c r="A9" s="89" t="s">
        <v>11</v>
      </c>
    </row>
    <row r="10" spans="1:6" s="93" customFormat="1">
      <c r="A10" s="90" t="s">
        <v>12</v>
      </c>
      <c r="B10" s="91" t="s">
        <v>9</v>
      </c>
      <c r="C10" s="91" t="s">
        <v>13</v>
      </c>
      <c r="D10" s="91" t="s">
        <v>14</v>
      </c>
      <c r="E10" s="91" t="s">
        <v>15</v>
      </c>
      <c r="F10" s="92" t="s">
        <v>16</v>
      </c>
    </row>
    <row r="11" spans="1:6" s="98" customFormat="1" ht="26.25" customHeight="1">
      <c r="A11" s="107">
        <v>46300</v>
      </c>
      <c r="B11" s="94" t="s">
        <v>10</v>
      </c>
      <c r="C11" s="95" t="s">
        <v>17</v>
      </c>
      <c r="D11" s="95" t="s">
        <v>18</v>
      </c>
      <c r="E11" s="96" t="s">
        <v>19</v>
      </c>
      <c r="F11" s="97" t="s">
        <v>20</v>
      </c>
    </row>
    <row r="12" spans="1:6" s="98" customFormat="1" ht="21.75" customHeight="1">
      <c r="A12" s="99"/>
      <c r="B12" s="94"/>
      <c r="C12" s="95"/>
      <c r="D12" s="95"/>
      <c r="E12" s="95"/>
      <c r="F12" s="100"/>
    </row>
    <row r="13" spans="1:6" s="98" customFormat="1" ht="19.5" customHeight="1">
      <c r="A13" s="99"/>
      <c r="B13" s="94"/>
      <c r="C13" s="95"/>
      <c r="D13" s="95"/>
      <c r="E13" s="95"/>
      <c r="F13" s="100"/>
    </row>
    <row r="14" spans="1:6" s="98" customFormat="1" ht="21.75" customHeight="1">
      <c r="A14" s="99"/>
      <c r="B14" s="94"/>
      <c r="C14" s="95"/>
      <c r="D14" s="95"/>
      <c r="E14" s="95"/>
      <c r="F14" s="100"/>
    </row>
    <row r="15" spans="1:6" s="98" customFormat="1" ht="19.5" customHeight="1">
      <c r="A15" s="99"/>
      <c r="B15" s="94"/>
      <c r="C15" s="95"/>
      <c r="D15" s="95"/>
      <c r="E15" s="95"/>
      <c r="F15" s="100"/>
    </row>
    <row r="16" spans="1:6" s="98" customFormat="1" ht="21.75" customHeight="1">
      <c r="A16" s="99"/>
      <c r="B16" s="94"/>
      <c r="C16" s="95"/>
      <c r="D16" s="95"/>
      <c r="E16" s="95"/>
      <c r="F16" s="100"/>
    </row>
    <row r="17" spans="1:6" s="98" customFormat="1" ht="19.5" customHeight="1">
      <c r="A17" s="101"/>
      <c r="B17" s="102"/>
      <c r="C17" s="103"/>
      <c r="D17" s="103"/>
      <c r="E17" s="103"/>
      <c r="F17" s="104"/>
    </row>
  </sheetData>
  <mergeCells count="4">
    <mergeCell ref="B2:F2"/>
    <mergeCell ref="B6:D6"/>
    <mergeCell ref="B5:D5"/>
    <mergeCell ref="B4:D4"/>
  </mergeCells>
  <pageMargins left="0.47013888888888888" right="0.47013888888888888" top="0.5" bottom="0.35138888888888892" header="0.51180555555555562" footer="0.1701388888888889"/>
  <pageSetup paperSize="9" firstPageNumber="0" orientation="landscape" horizontalDpi="300" verticalDpi="300"/>
  <headerFooter alignWithMargins="0">
    <oddFooter>&amp;L&amp;"Tahoma,Regular"&amp;8 02ae-BM/PM/HDCV/FSOFT v2/1&amp;C&amp;"Tahoma,Regular"&amp;8 Internal use&amp;R&amp;"tahomaTahoma,Regular"&amp;8 &amp;P/&amp;N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134"/>
  <sheetViews>
    <sheetView workbookViewId="0">
      <selection activeCell="D13" sqref="D13"/>
    </sheetView>
  </sheetViews>
  <sheetFormatPr defaultColWidth="9" defaultRowHeight="13.2"/>
  <cols>
    <col min="1" max="1" width="1.33203125" style="1" customWidth="1"/>
    <col min="2" max="2" width="11.77734375" style="3" customWidth="1"/>
    <col min="3" max="3" width="26.44140625" style="4" customWidth="1"/>
    <col min="4" max="4" width="17.109375" style="4" customWidth="1"/>
    <col min="5" max="5" width="28.109375" style="4" customWidth="1"/>
    <col min="6" max="6" width="30.6640625" style="4" customWidth="1"/>
    <col min="7" max="8" width="9" style="1" customWidth="1"/>
    <col min="9" max="16384" width="9" style="1"/>
  </cols>
  <sheetData>
    <row r="1" spans="2:6" ht="25.05" customHeight="1">
      <c r="B1" s="5"/>
      <c r="D1" s="6" t="s">
        <v>21</v>
      </c>
      <c r="E1" s="7"/>
    </row>
    <row r="2" spans="2:6" ht="13.5" customHeight="1">
      <c r="B2" s="5"/>
      <c r="D2" s="8"/>
      <c r="E2" s="8"/>
    </row>
    <row r="3" spans="2:6" ht="13.8" customHeight="1">
      <c r="B3" s="120" t="s">
        <v>1</v>
      </c>
      <c r="C3" s="115"/>
      <c r="D3" s="122" t="s">
        <v>2</v>
      </c>
      <c r="E3" s="115"/>
      <c r="F3" s="116"/>
    </row>
    <row r="4" spans="2:6" ht="13.8" customHeight="1">
      <c r="B4" s="120" t="s">
        <v>5</v>
      </c>
      <c r="C4" s="115"/>
      <c r="D4" s="122" t="s">
        <v>6</v>
      </c>
      <c r="E4" s="115"/>
      <c r="F4" s="116"/>
    </row>
    <row r="5" spans="2:6" s="9" customFormat="1" ht="84.75" customHeight="1">
      <c r="B5" s="121" t="s">
        <v>22</v>
      </c>
      <c r="C5" s="116"/>
      <c r="D5" s="119" t="s">
        <v>23</v>
      </c>
      <c r="E5" s="115"/>
      <c r="F5" s="116"/>
    </row>
    <row r="6" spans="2:6">
      <c r="B6" s="10"/>
      <c r="C6" s="1"/>
      <c r="D6" s="1"/>
      <c r="E6" s="1"/>
      <c r="F6" s="1"/>
    </row>
    <row r="7" spans="2:6" s="11" customFormat="1">
      <c r="B7" s="12"/>
      <c r="C7" s="13"/>
      <c r="D7" s="13"/>
      <c r="E7" s="13"/>
      <c r="F7" s="13"/>
    </row>
    <row r="8" spans="2:6" s="14" customFormat="1" ht="21" customHeight="1">
      <c r="B8" s="15" t="s">
        <v>24</v>
      </c>
      <c r="C8" s="16" t="s">
        <v>25</v>
      </c>
      <c r="D8" s="16" t="s">
        <v>26</v>
      </c>
      <c r="E8" s="17" t="s">
        <v>27</v>
      </c>
      <c r="F8" s="18" t="s">
        <v>28</v>
      </c>
    </row>
    <row r="9" spans="2:6" ht="13.95" customHeight="1">
      <c r="B9" s="19">
        <v>1</v>
      </c>
      <c r="C9" s="20" t="s">
        <v>29</v>
      </c>
      <c r="D9" s="75" t="s">
        <v>30</v>
      </c>
      <c r="E9" s="21" t="s">
        <v>31</v>
      </c>
      <c r="F9" s="22" t="s">
        <v>32</v>
      </c>
    </row>
    <row r="10" spans="2:6" ht="13.95" customHeight="1">
      <c r="B10" s="19">
        <v>2</v>
      </c>
      <c r="C10" s="20" t="s">
        <v>33</v>
      </c>
      <c r="D10" s="75" t="s">
        <v>30</v>
      </c>
      <c r="E10" s="21" t="s">
        <v>34</v>
      </c>
      <c r="F10" s="22" t="s">
        <v>35</v>
      </c>
    </row>
    <row r="11" spans="2:6" ht="13.95" customHeight="1">
      <c r="B11" s="19">
        <v>3</v>
      </c>
      <c r="C11" s="20" t="s">
        <v>36</v>
      </c>
      <c r="D11" s="75" t="s">
        <v>30</v>
      </c>
      <c r="E11" s="21" t="s">
        <v>37</v>
      </c>
      <c r="F11" s="22" t="s">
        <v>38</v>
      </c>
    </row>
    <row r="12" spans="2:6" ht="13.95" customHeight="1">
      <c r="B12" s="19">
        <v>4</v>
      </c>
      <c r="C12" s="20" t="s">
        <v>39</v>
      </c>
      <c r="D12" s="75" t="s">
        <v>30</v>
      </c>
      <c r="E12" s="21" t="s">
        <v>40</v>
      </c>
      <c r="F12" s="22" t="s">
        <v>41</v>
      </c>
    </row>
    <row r="13" spans="2:6" ht="13.95" customHeight="1">
      <c r="B13" s="19">
        <v>5</v>
      </c>
      <c r="C13" s="20" t="s">
        <v>42</v>
      </c>
      <c r="D13" s="75" t="s">
        <v>30</v>
      </c>
      <c r="E13" s="21" t="s">
        <v>43</v>
      </c>
      <c r="F13" s="22" t="s">
        <v>44</v>
      </c>
    </row>
    <row r="14" spans="2:6">
      <c r="B14" s="19">
        <v>6</v>
      </c>
      <c r="C14" s="20" t="s">
        <v>45</v>
      </c>
      <c r="D14" s="75" t="s">
        <v>30</v>
      </c>
      <c r="E14" s="21" t="s">
        <v>46</v>
      </c>
      <c r="F14" s="22" t="s">
        <v>47</v>
      </c>
    </row>
    <row r="15" spans="2:6">
      <c r="B15" s="19">
        <v>7</v>
      </c>
      <c r="C15" s="20" t="s">
        <v>48</v>
      </c>
      <c r="D15" s="75" t="s">
        <v>30</v>
      </c>
      <c r="E15" s="21" t="s">
        <v>49</v>
      </c>
      <c r="F15" s="22" t="s">
        <v>50</v>
      </c>
    </row>
    <row r="16" spans="2:6">
      <c r="B16" s="19">
        <v>8</v>
      </c>
      <c r="C16" s="20" t="s">
        <v>51</v>
      </c>
      <c r="D16" s="75" t="s">
        <v>30</v>
      </c>
      <c r="E16" s="21" t="s">
        <v>52</v>
      </c>
      <c r="F16" s="22" t="s">
        <v>53</v>
      </c>
    </row>
    <row r="17" spans="2:6">
      <c r="B17" s="19">
        <v>9</v>
      </c>
      <c r="C17" s="20" t="s">
        <v>54</v>
      </c>
      <c r="D17" s="75" t="s">
        <v>30</v>
      </c>
      <c r="E17" s="21" t="s">
        <v>55</v>
      </c>
      <c r="F17" s="22" t="s">
        <v>56</v>
      </c>
    </row>
    <row r="18" spans="2:6">
      <c r="B18" s="19">
        <v>10</v>
      </c>
      <c r="C18" s="20" t="s">
        <v>57</v>
      </c>
      <c r="D18" s="75" t="s">
        <v>58</v>
      </c>
      <c r="E18" s="21" t="s">
        <v>59</v>
      </c>
      <c r="F18" s="22" t="s">
        <v>60</v>
      </c>
    </row>
    <row r="19" spans="2:6">
      <c r="B19" s="19">
        <v>11</v>
      </c>
      <c r="C19" s="20" t="s">
        <v>61</v>
      </c>
      <c r="D19" s="75" t="s">
        <v>58</v>
      </c>
      <c r="E19" s="21" t="s">
        <v>62</v>
      </c>
      <c r="F19" s="22" t="s">
        <v>60</v>
      </c>
    </row>
    <row r="20" spans="2:6">
      <c r="B20" s="19">
        <v>12</v>
      </c>
      <c r="C20" s="20" t="s">
        <v>63</v>
      </c>
      <c r="D20" s="75" t="s">
        <v>58</v>
      </c>
      <c r="E20" s="21" t="s">
        <v>64</v>
      </c>
      <c r="F20" s="22" t="s">
        <v>65</v>
      </c>
    </row>
    <row r="21" spans="2:6">
      <c r="B21" s="19">
        <v>13</v>
      </c>
      <c r="C21" s="20" t="s">
        <v>66</v>
      </c>
      <c r="D21" s="75" t="s">
        <v>58</v>
      </c>
      <c r="E21" s="21" t="s">
        <v>67</v>
      </c>
      <c r="F21" s="22" t="s">
        <v>68</v>
      </c>
    </row>
    <row r="22" spans="2:6">
      <c r="B22" s="19">
        <v>14</v>
      </c>
      <c r="C22" s="20" t="s">
        <v>69</v>
      </c>
      <c r="D22" s="75" t="s">
        <v>70</v>
      </c>
      <c r="E22" s="21" t="s">
        <v>71</v>
      </c>
      <c r="F22" s="22" t="s">
        <v>72</v>
      </c>
    </row>
    <row r="23" spans="2:6">
      <c r="B23" s="19">
        <v>15</v>
      </c>
      <c r="C23" s="20" t="s">
        <v>73</v>
      </c>
      <c r="D23" s="75" t="s">
        <v>70</v>
      </c>
      <c r="E23" s="21" t="s">
        <v>74</v>
      </c>
      <c r="F23" s="22" t="s">
        <v>75</v>
      </c>
    </row>
    <row r="24" spans="2:6">
      <c r="B24" s="19">
        <v>16</v>
      </c>
      <c r="C24" s="20" t="s">
        <v>76</v>
      </c>
      <c r="D24" s="75" t="s">
        <v>70</v>
      </c>
      <c r="E24" s="21" t="s">
        <v>77</v>
      </c>
      <c r="F24" s="22" t="s">
        <v>78</v>
      </c>
    </row>
    <row r="25" spans="2:6">
      <c r="B25" s="19">
        <v>17</v>
      </c>
      <c r="C25" s="20" t="s">
        <v>79</v>
      </c>
      <c r="D25" s="75" t="s">
        <v>70</v>
      </c>
      <c r="E25" s="21" t="s">
        <v>80</v>
      </c>
      <c r="F25" s="22" t="s">
        <v>75</v>
      </c>
    </row>
    <row r="26" spans="2:6">
      <c r="B26" s="19">
        <v>18</v>
      </c>
      <c r="C26" s="20" t="s">
        <v>81</v>
      </c>
      <c r="D26" s="75" t="s">
        <v>70</v>
      </c>
      <c r="E26" s="21" t="s">
        <v>82</v>
      </c>
      <c r="F26" s="22" t="s">
        <v>75</v>
      </c>
    </row>
    <row r="27" spans="2:6">
      <c r="B27" s="19">
        <v>19</v>
      </c>
      <c r="C27" s="20" t="s">
        <v>83</v>
      </c>
      <c r="D27" s="75" t="s">
        <v>70</v>
      </c>
      <c r="E27" s="21" t="s">
        <v>84</v>
      </c>
      <c r="F27" s="22" t="s">
        <v>75</v>
      </c>
    </row>
    <row r="28" spans="2:6">
      <c r="B28" s="19">
        <v>20</v>
      </c>
      <c r="C28" s="20" t="s">
        <v>85</v>
      </c>
      <c r="D28" s="75" t="s">
        <v>70</v>
      </c>
      <c r="E28" s="21" t="s">
        <v>86</v>
      </c>
      <c r="F28" s="22" t="s">
        <v>75</v>
      </c>
    </row>
    <row r="29" spans="2:6">
      <c r="B29" s="19">
        <v>21</v>
      </c>
      <c r="C29" s="20" t="s">
        <v>87</v>
      </c>
      <c r="D29" s="75" t="s">
        <v>70</v>
      </c>
      <c r="E29" s="21" t="s">
        <v>88</v>
      </c>
      <c r="F29" s="22" t="s">
        <v>75</v>
      </c>
    </row>
    <row r="30" spans="2:6">
      <c r="B30" s="19">
        <v>22</v>
      </c>
      <c r="C30" s="20" t="s">
        <v>89</v>
      </c>
      <c r="D30" s="75" t="s">
        <v>70</v>
      </c>
      <c r="E30" s="21" t="s">
        <v>90</v>
      </c>
      <c r="F30" s="22" t="s">
        <v>75</v>
      </c>
    </row>
    <row r="31" spans="2:6">
      <c r="B31" s="19">
        <v>23</v>
      </c>
      <c r="C31" s="20" t="s">
        <v>91</v>
      </c>
      <c r="D31" s="75" t="s">
        <v>70</v>
      </c>
      <c r="E31" s="21" t="s">
        <v>92</v>
      </c>
      <c r="F31" s="22" t="s">
        <v>93</v>
      </c>
    </row>
    <row r="32" spans="2:6">
      <c r="B32" s="19">
        <v>24</v>
      </c>
      <c r="C32" s="20" t="s">
        <v>94</v>
      </c>
      <c r="D32" s="75" t="s">
        <v>70</v>
      </c>
      <c r="E32" s="21" t="s">
        <v>95</v>
      </c>
      <c r="F32" s="22" t="s">
        <v>96</v>
      </c>
    </row>
    <row r="33" spans="2:6">
      <c r="B33" s="19">
        <v>25</v>
      </c>
      <c r="C33" s="20" t="s">
        <v>97</v>
      </c>
      <c r="D33" s="75" t="s">
        <v>70</v>
      </c>
      <c r="E33" s="21" t="s">
        <v>98</v>
      </c>
      <c r="F33" s="22" t="s">
        <v>75</v>
      </c>
    </row>
    <row r="34" spans="2:6">
      <c r="B34" s="19">
        <v>26</v>
      </c>
      <c r="C34" s="20" t="s">
        <v>99</v>
      </c>
      <c r="D34" s="75" t="s">
        <v>70</v>
      </c>
      <c r="E34" s="21" t="s">
        <v>100</v>
      </c>
      <c r="F34" s="22" t="s">
        <v>96</v>
      </c>
    </row>
    <row r="35" spans="2:6">
      <c r="B35" s="19">
        <v>27</v>
      </c>
      <c r="C35" s="20" t="s">
        <v>101</v>
      </c>
      <c r="D35" s="75" t="s">
        <v>70</v>
      </c>
      <c r="E35" s="21" t="s">
        <v>102</v>
      </c>
      <c r="F35" s="22" t="s">
        <v>103</v>
      </c>
    </row>
    <row r="36" spans="2:6">
      <c r="B36" s="19">
        <v>28</v>
      </c>
      <c r="C36" s="20" t="s">
        <v>104</v>
      </c>
      <c r="D36" s="75" t="s">
        <v>70</v>
      </c>
      <c r="E36" s="21" t="s">
        <v>105</v>
      </c>
      <c r="F36" s="22" t="s">
        <v>106</v>
      </c>
    </row>
    <row r="37" spans="2:6">
      <c r="B37" s="19">
        <v>29</v>
      </c>
      <c r="C37" s="20" t="s">
        <v>107</v>
      </c>
      <c r="D37" s="75" t="s">
        <v>70</v>
      </c>
      <c r="E37" s="21" t="s">
        <v>108</v>
      </c>
      <c r="F37" s="22" t="s">
        <v>96</v>
      </c>
    </row>
    <row r="38" spans="2:6">
      <c r="B38" s="19">
        <v>30</v>
      </c>
      <c r="C38" s="20" t="s">
        <v>109</v>
      </c>
      <c r="D38" s="75" t="s">
        <v>70</v>
      </c>
      <c r="E38" s="21" t="s">
        <v>110</v>
      </c>
      <c r="F38" s="22" t="s">
        <v>111</v>
      </c>
    </row>
    <row r="39" spans="2:6">
      <c r="B39" s="19">
        <v>31</v>
      </c>
      <c r="C39" s="20" t="s">
        <v>112</v>
      </c>
      <c r="D39" s="75" t="s">
        <v>70</v>
      </c>
      <c r="E39" s="21" t="s">
        <v>113</v>
      </c>
      <c r="F39" s="22" t="s">
        <v>96</v>
      </c>
    </row>
    <row r="40" spans="2:6">
      <c r="B40" s="19">
        <v>32</v>
      </c>
      <c r="C40" s="20" t="s">
        <v>114</v>
      </c>
      <c r="D40" s="75" t="s">
        <v>70</v>
      </c>
      <c r="E40" s="21" t="s">
        <v>115</v>
      </c>
      <c r="F40" s="22" t="s">
        <v>103</v>
      </c>
    </row>
    <row r="41" spans="2:6">
      <c r="B41" s="19">
        <v>33</v>
      </c>
      <c r="C41" s="20" t="s">
        <v>116</v>
      </c>
      <c r="D41" s="75" t="s">
        <v>70</v>
      </c>
      <c r="E41" s="21" t="s">
        <v>117</v>
      </c>
      <c r="F41" s="22" t="s">
        <v>103</v>
      </c>
    </row>
    <row r="42" spans="2:6">
      <c r="B42" s="19">
        <v>34</v>
      </c>
      <c r="C42" s="20" t="s">
        <v>118</v>
      </c>
      <c r="D42" s="75" t="s">
        <v>70</v>
      </c>
      <c r="E42" s="21" t="s">
        <v>119</v>
      </c>
      <c r="F42" s="22" t="s">
        <v>103</v>
      </c>
    </row>
    <row r="43" spans="2:6">
      <c r="B43" s="19">
        <v>35</v>
      </c>
      <c r="C43" s="20" t="s">
        <v>120</v>
      </c>
      <c r="D43" s="75" t="s">
        <v>121</v>
      </c>
      <c r="E43" s="21" t="s">
        <v>122</v>
      </c>
      <c r="F43" s="22" t="s">
        <v>123</v>
      </c>
    </row>
    <row r="44" spans="2:6">
      <c r="B44" s="19">
        <v>36</v>
      </c>
      <c r="C44" s="20" t="s">
        <v>124</v>
      </c>
      <c r="D44" s="75" t="s">
        <v>121</v>
      </c>
      <c r="E44" s="21" t="s">
        <v>125</v>
      </c>
      <c r="F44" s="22" t="s">
        <v>126</v>
      </c>
    </row>
    <row r="45" spans="2:6">
      <c r="B45" s="19">
        <v>37</v>
      </c>
      <c r="C45" s="20" t="s">
        <v>127</v>
      </c>
      <c r="D45" s="75" t="s">
        <v>121</v>
      </c>
      <c r="E45" s="21" t="s">
        <v>128</v>
      </c>
      <c r="F45" s="22" t="s">
        <v>126</v>
      </c>
    </row>
    <row r="46" spans="2:6">
      <c r="B46" s="19">
        <v>38</v>
      </c>
      <c r="C46" s="20" t="s">
        <v>129</v>
      </c>
      <c r="D46" s="75" t="s">
        <v>121</v>
      </c>
      <c r="E46" s="21" t="s">
        <v>130</v>
      </c>
      <c r="F46" s="22" t="s">
        <v>126</v>
      </c>
    </row>
    <row r="47" spans="2:6">
      <c r="B47" s="19">
        <v>39</v>
      </c>
      <c r="C47" s="20" t="s">
        <v>131</v>
      </c>
      <c r="D47" s="75" t="s">
        <v>121</v>
      </c>
      <c r="E47" s="21" t="s">
        <v>132</v>
      </c>
      <c r="F47" s="22" t="s">
        <v>133</v>
      </c>
    </row>
    <row r="48" spans="2:6">
      <c r="B48" s="19">
        <v>40</v>
      </c>
      <c r="C48" s="20" t="s">
        <v>134</v>
      </c>
      <c r="D48" s="75" t="s">
        <v>121</v>
      </c>
      <c r="E48" s="21" t="s">
        <v>135</v>
      </c>
      <c r="F48" s="22" t="s">
        <v>136</v>
      </c>
    </row>
    <row r="49" spans="2:6">
      <c r="B49" s="19">
        <v>41</v>
      </c>
      <c r="C49" s="20" t="s">
        <v>137</v>
      </c>
      <c r="D49" s="75" t="s">
        <v>121</v>
      </c>
      <c r="E49" s="21" t="s">
        <v>138</v>
      </c>
      <c r="F49" s="22" t="s">
        <v>139</v>
      </c>
    </row>
    <row r="50" spans="2:6">
      <c r="B50" s="19">
        <v>42</v>
      </c>
      <c r="C50" s="20" t="s">
        <v>140</v>
      </c>
      <c r="D50" s="75" t="s">
        <v>121</v>
      </c>
      <c r="E50" s="21" t="s">
        <v>141</v>
      </c>
      <c r="F50" s="22" t="s">
        <v>142</v>
      </c>
    </row>
    <row r="51" spans="2:6">
      <c r="B51" s="19">
        <v>43</v>
      </c>
      <c r="C51" s="20" t="s">
        <v>143</v>
      </c>
      <c r="D51" s="75" t="s">
        <v>121</v>
      </c>
      <c r="E51" s="21" t="s">
        <v>144</v>
      </c>
      <c r="F51" s="22" t="s">
        <v>142</v>
      </c>
    </row>
    <row r="52" spans="2:6">
      <c r="B52" s="19">
        <v>44</v>
      </c>
      <c r="C52" s="20" t="s">
        <v>145</v>
      </c>
      <c r="D52" s="75" t="s">
        <v>121</v>
      </c>
      <c r="E52" s="21" t="s">
        <v>146</v>
      </c>
      <c r="F52" s="22" t="s">
        <v>142</v>
      </c>
    </row>
    <row r="53" spans="2:6">
      <c r="B53" s="19">
        <v>45</v>
      </c>
      <c r="C53" s="20" t="s">
        <v>147</v>
      </c>
      <c r="D53" s="75" t="s">
        <v>148</v>
      </c>
      <c r="E53" s="21" t="s">
        <v>149</v>
      </c>
      <c r="F53" s="22" t="s">
        <v>150</v>
      </c>
    </row>
    <row r="54" spans="2:6">
      <c r="B54" s="19">
        <v>46</v>
      </c>
      <c r="C54" s="20" t="s">
        <v>151</v>
      </c>
      <c r="D54" s="75" t="s">
        <v>148</v>
      </c>
      <c r="E54" s="21" t="s">
        <v>152</v>
      </c>
      <c r="F54" s="22" t="s">
        <v>150</v>
      </c>
    </row>
    <row r="55" spans="2:6">
      <c r="B55" s="19">
        <v>47</v>
      </c>
      <c r="C55" s="20" t="s">
        <v>153</v>
      </c>
      <c r="D55" s="75" t="s">
        <v>148</v>
      </c>
      <c r="E55" s="21" t="s">
        <v>154</v>
      </c>
      <c r="F55" s="22" t="s">
        <v>150</v>
      </c>
    </row>
    <row r="56" spans="2:6">
      <c r="B56" s="19">
        <v>48</v>
      </c>
      <c r="C56" s="20" t="s">
        <v>155</v>
      </c>
      <c r="D56" s="75" t="s">
        <v>148</v>
      </c>
      <c r="E56" s="21" t="s">
        <v>156</v>
      </c>
      <c r="F56" s="22" t="s">
        <v>150</v>
      </c>
    </row>
    <row r="57" spans="2:6">
      <c r="B57" s="19">
        <v>49</v>
      </c>
      <c r="C57" s="20" t="s">
        <v>157</v>
      </c>
      <c r="D57" s="75" t="s">
        <v>148</v>
      </c>
      <c r="E57" s="21" t="s">
        <v>158</v>
      </c>
      <c r="F57" s="22" t="s">
        <v>150</v>
      </c>
    </row>
    <row r="58" spans="2:6">
      <c r="B58" s="19">
        <v>50</v>
      </c>
      <c r="C58" s="20" t="s">
        <v>159</v>
      </c>
      <c r="D58" s="75" t="s">
        <v>148</v>
      </c>
      <c r="E58" s="21" t="s">
        <v>160</v>
      </c>
      <c r="F58" s="22" t="s">
        <v>150</v>
      </c>
    </row>
    <row r="59" spans="2:6">
      <c r="B59" s="19">
        <v>51</v>
      </c>
      <c r="C59" s="20" t="s">
        <v>161</v>
      </c>
      <c r="D59" s="75" t="s">
        <v>148</v>
      </c>
      <c r="E59" s="21" t="s">
        <v>162</v>
      </c>
      <c r="F59" s="22" t="s">
        <v>150</v>
      </c>
    </row>
    <row r="60" spans="2:6">
      <c r="B60" s="19">
        <v>52</v>
      </c>
      <c r="C60" s="20" t="s">
        <v>163</v>
      </c>
      <c r="D60" s="75" t="s">
        <v>148</v>
      </c>
      <c r="E60" s="21" t="s">
        <v>164</v>
      </c>
      <c r="F60" s="22" t="s">
        <v>150</v>
      </c>
    </row>
    <row r="61" spans="2:6">
      <c r="B61" s="19">
        <v>53</v>
      </c>
      <c r="C61" s="20" t="s">
        <v>165</v>
      </c>
      <c r="D61" s="75" t="s">
        <v>148</v>
      </c>
      <c r="E61" s="21" t="s">
        <v>166</v>
      </c>
      <c r="F61" s="22" t="s">
        <v>167</v>
      </c>
    </row>
    <row r="62" spans="2:6">
      <c r="B62" s="19">
        <v>54</v>
      </c>
      <c r="C62" s="20" t="s">
        <v>168</v>
      </c>
      <c r="D62" s="75" t="s">
        <v>148</v>
      </c>
      <c r="E62" s="21" t="s">
        <v>169</v>
      </c>
      <c r="F62" s="22" t="s">
        <v>167</v>
      </c>
    </row>
    <row r="63" spans="2:6">
      <c r="B63" s="19">
        <v>55</v>
      </c>
      <c r="C63" s="20" t="s">
        <v>170</v>
      </c>
      <c r="D63" s="75" t="s">
        <v>148</v>
      </c>
      <c r="E63" s="21" t="s">
        <v>171</v>
      </c>
      <c r="F63" s="22" t="s">
        <v>167</v>
      </c>
    </row>
    <row r="64" spans="2:6">
      <c r="B64" s="19">
        <v>56</v>
      </c>
      <c r="C64" s="20" t="s">
        <v>172</v>
      </c>
      <c r="D64" s="75" t="s">
        <v>148</v>
      </c>
      <c r="E64" s="21" t="s">
        <v>173</v>
      </c>
      <c r="F64" s="22" t="s">
        <v>167</v>
      </c>
    </row>
    <row r="65" spans="2:6">
      <c r="B65" s="19">
        <v>57</v>
      </c>
      <c r="C65" s="20" t="s">
        <v>174</v>
      </c>
      <c r="D65" s="75" t="s">
        <v>148</v>
      </c>
      <c r="E65" s="21" t="s">
        <v>175</v>
      </c>
      <c r="F65" s="22" t="s">
        <v>176</v>
      </c>
    </row>
    <row r="66" spans="2:6">
      <c r="B66" s="19">
        <v>58</v>
      </c>
      <c r="C66" s="20" t="s">
        <v>177</v>
      </c>
      <c r="D66" s="75" t="s">
        <v>148</v>
      </c>
      <c r="E66" s="21" t="s">
        <v>178</v>
      </c>
      <c r="F66" s="22" t="s">
        <v>179</v>
      </c>
    </row>
    <row r="67" spans="2:6">
      <c r="B67" s="19">
        <v>59</v>
      </c>
      <c r="C67" s="20" t="s">
        <v>180</v>
      </c>
      <c r="D67" s="75" t="s">
        <v>148</v>
      </c>
      <c r="E67" s="21" t="s">
        <v>181</v>
      </c>
      <c r="F67" s="22" t="s">
        <v>182</v>
      </c>
    </row>
    <row r="68" spans="2:6">
      <c r="B68" s="19">
        <v>60</v>
      </c>
      <c r="C68" s="20" t="s">
        <v>183</v>
      </c>
      <c r="D68" s="75" t="s">
        <v>148</v>
      </c>
      <c r="E68" s="21" t="s">
        <v>184</v>
      </c>
      <c r="F68" s="22" t="s">
        <v>185</v>
      </c>
    </row>
    <row r="69" spans="2:6">
      <c r="B69" s="19">
        <v>61</v>
      </c>
      <c r="C69" s="20" t="s">
        <v>186</v>
      </c>
      <c r="D69" s="75" t="s">
        <v>148</v>
      </c>
      <c r="E69" s="21" t="s">
        <v>187</v>
      </c>
      <c r="F69" s="22" t="s">
        <v>188</v>
      </c>
    </row>
    <row r="70" spans="2:6">
      <c r="B70" s="19">
        <v>62</v>
      </c>
      <c r="C70" s="20" t="s">
        <v>189</v>
      </c>
      <c r="D70" s="75" t="s">
        <v>148</v>
      </c>
      <c r="E70" s="21" t="s">
        <v>190</v>
      </c>
      <c r="F70" s="22" t="s">
        <v>188</v>
      </c>
    </row>
    <row r="71" spans="2:6">
      <c r="B71" s="19">
        <v>63</v>
      </c>
      <c r="C71" s="20" t="s">
        <v>191</v>
      </c>
      <c r="D71" s="75" t="s">
        <v>148</v>
      </c>
      <c r="E71" s="21" t="s">
        <v>192</v>
      </c>
      <c r="F71" s="22" t="s">
        <v>188</v>
      </c>
    </row>
    <row r="72" spans="2:6">
      <c r="B72" s="19">
        <v>64</v>
      </c>
      <c r="C72" s="20" t="s">
        <v>193</v>
      </c>
      <c r="D72" s="75" t="s">
        <v>148</v>
      </c>
      <c r="E72" s="21" t="s">
        <v>194</v>
      </c>
      <c r="F72" s="22" t="s">
        <v>195</v>
      </c>
    </row>
    <row r="73" spans="2:6">
      <c r="B73" s="19">
        <v>65</v>
      </c>
      <c r="C73" s="20" t="s">
        <v>196</v>
      </c>
      <c r="D73" s="75" t="s">
        <v>148</v>
      </c>
      <c r="E73" s="21" t="s">
        <v>197</v>
      </c>
      <c r="F73" s="22" t="s">
        <v>188</v>
      </c>
    </row>
    <row r="74" spans="2:6">
      <c r="B74" s="19">
        <v>66</v>
      </c>
      <c r="C74" s="20" t="s">
        <v>198</v>
      </c>
      <c r="D74" s="75" t="s">
        <v>148</v>
      </c>
      <c r="E74" s="21" t="s">
        <v>199</v>
      </c>
      <c r="F74" s="22" t="s">
        <v>200</v>
      </c>
    </row>
    <row r="75" spans="2:6">
      <c r="B75" s="19">
        <v>67</v>
      </c>
      <c r="C75" s="20" t="s">
        <v>201</v>
      </c>
      <c r="D75" s="75" t="s">
        <v>148</v>
      </c>
      <c r="E75" s="21" t="s">
        <v>202</v>
      </c>
      <c r="F75" s="22" t="s">
        <v>167</v>
      </c>
    </row>
    <row r="76" spans="2:6">
      <c r="B76" s="19">
        <v>68</v>
      </c>
      <c r="C76" s="20" t="s">
        <v>203</v>
      </c>
      <c r="D76" s="75" t="s">
        <v>148</v>
      </c>
      <c r="E76" s="21" t="s">
        <v>204</v>
      </c>
      <c r="F76" s="22" t="s">
        <v>167</v>
      </c>
    </row>
    <row r="77" spans="2:6">
      <c r="B77" s="19">
        <v>69</v>
      </c>
      <c r="C77" s="20" t="s">
        <v>205</v>
      </c>
      <c r="D77" s="75" t="s">
        <v>148</v>
      </c>
      <c r="E77" s="21" t="s">
        <v>206</v>
      </c>
      <c r="F77" s="22" t="s">
        <v>167</v>
      </c>
    </row>
    <row r="78" spans="2:6">
      <c r="B78" s="19">
        <v>70</v>
      </c>
      <c r="C78" s="20" t="s">
        <v>207</v>
      </c>
      <c r="D78" s="75" t="s">
        <v>148</v>
      </c>
      <c r="E78" s="21" t="s">
        <v>208</v>
      </c>
      <c r="F78" s="22" t="s">
        <v>150</v>
      </c>
    </row>
    <row r="79" spans="2:6">
      <c r="B79" s="19">
        <v>71</v>
      </c>
      <c r="C79" s="20" t="s">
        <v>209</v>
      </c>
      <c r="D79" s="75" t="s">
        <v>148</v>
      </c>
      <c r="E79" s="21" t="s">
        <v>210</v>
      </c>
      <c r="F79" s="22" t="s">
        <v>167</v>
      </c>
    </row>
    <row r="80" spans="2:6">
      <c r="B80" s="19">
        <v>72</v>
      </c>
      <c r="C80" s="20" t="s">
        <v>211</v>
      </c>
      <c r="D80" s="75" t="s">
        <v>148</v>
      </c>
      <c r="E80" s="21" t="s">
        <v>212</v>
      </c>
      <c r="F80" s="22" t="s">
        <v>150</v>
      </c>
    </row>
    <row r="81" spans="2:6">
      <c r="B81" s="19">
        <v>73</v>
      </c>
      <c r="C81" s="20" t="s">
        <v>213</v>
      </c>
      <c r="D81" s="75" t="s">
        <v>148</v>
      </c>
      <c r="E81" s="21" t="s">
        <v>214</v>
      </c>
      <c r="F81" s="22" t="s">
        <v>150</v>
      </c>
    </row>
    <row r="82" spans="2:6">
      <c r="B82" s="19">
        <v>74</v>
      </c>
      <c r="C82" s="20" t="s">
        <v>215</v>
      </c>
      <c r="D82" s="75" t="s">
        <v>148</v>
      </c>
      <c r="E82" s="21" t="s">
        <v>216</v>
      </c>
      <c r="F82" s="22" t="s">
        <v>150</v>
      </c>
    </row>
    <row r="83" spans="2:6">
      <c r="B83" s="19">
        <v>75</v>
      </c>
      <c r="C83" s="20" t="s">
        <v>217</v>
      </c>
      <c r="D83" s="75" t="s">
        <v>148</v>
      </c>
      <c r="E83" s="21" t="s">
        <v>218</v>
      </c>
      <c r="F83" s="22" t="s">
        <v>150</v>
      </c>
    </row>
    <row r="84" spans="2:6">
      <c r="B84" s="19">
        <v>76</v>
      </c>
      <c r="C84" s="20" t="s">
        <v>219</v>
      </c>
      <c r="D84" s="75" t="s">
        <v>148</v>
      </c>
      <c r="E84" s="21" t="s">
        <v>220</v>
      </c>
      <c r="F84" s="22" t="s">
        <v>150</v>
      </c>
    </row>
    <row r="85" spans="2:6">
      <c r="B85" s="19">
        <v>77</v>
      </c>
      <c r="C85" s="20" t="s">
        <v>221</v>
      </c>
      <c r="D85" s="75" t="s">
        <v>148</v>
      </c>
      <c r="E85" s="21" t="s">
        <v>222</v>
      </c>
      <c r="F85" s="22" t="s">
        <v>167</v>
      </c>
    </row>
    <row r="86" spans="2:6">
      <c r="B86" s="19">
        <v>78</v>
      </c>
      <c r="C86" s="20" t="s">
        <v>223</v>
      </c>
      <c r="D86" s="75" t="s">
        <v>148</v>
      </c>
      <c r="E86" s="21" t="s">
        <v>224</v>
      </c>
      <c r="F86" s="22" t="s">
        <v>167</v>
      </c>
    </row>
    <row r="87" spans="2:6">
      <c r="B87" s="19">
        <v>79</v>
      </c>
      <c r="C87" s="20" t="s">
        <v>225</v>
      </c>
      <c r="D87" s="75" t="s">
        <v>148</v>
      </c>
      <c r="E87" s="21" t="s">
        <v>226</v>
      </c>
      <c r="F87" s="22" t="s">
        <v>150</v>
      </c>
    </row>
    <row r="88" spans="2:6">
      <c r="B88" s="19">
        <v>80</v>
      </c>
      <c r="C88" s="20" t="s">
        <v>227</v>
      </c>
      <c r="D88" s="75" t="s">
        <v>148</v>
      </c>
      <c r="E88" s="21" t="s">
        <v>228</v>
      </c>
      <c r="F88" s="22" t="s">
        <v>229</v>
      </c>
    </row>
    <row r="89" spans="2:6">
      <c r="B89" s="19">
        <v>81</v>
      </c>
      <c r="C89" s="20" t="s">
        <v>230</v>
      </c>
      <c r="D89" s="75" t="s">
        <v>231</v>
      </c>
      <c r="E89" s="21" t="s">
        <v>232</v>
      </c>
      <c r="F89" s="22" t="s">
        <v>233</v>
      </c>
    </row>
    <row r="90" spans="2:6">
      <c r="B90" s="19">
        <v>82</v>
      </c>
      <c r="C90" s="20" t="s">
        <v>234</v>
      </c>
      <c r="D90" s="75" t="s">
        <v>231</v>
      </c>
      <c r="E90" s="21" t="s">
        <v>235</v>
      </c>
      <c r="F90" s="22" t="s">
        <v>236</v>
      </c>
    </row>
    <row r="91" spans="2:6">
      <c r="B91" s="19">
        <v>83</v>
      </c>
      <c r="C91" s="20" t="s">
        <v>237</v>
      </c>
      <c r="D91" s="75" t="s">
        <v>231</v>
      </c>
      <c r="E91" s="21" t="s">
        <v>238</v>
      </c>
      <c r="F91" s="22" t="s">
        <v>236</v>
      </c>
    </row>
    <row r="92" spans="2:6">
      <c r="B92" s="19">
        <v>84</v>
      </c>
      <c r="C92" s="20" t="s">
        <v>239</v>
      </c>
      <c r="D92" s="75" t="s">
        <v>231</v>
      </c>
      <c r="E92" s="21" t="s">
        <v>240</v>
      </c>
      <c r="F92" s="22" t="s">
        <v>241</v>
      </c>
    </row>
    <row r="93" spans="2:6">
      <c r="B93" s="19">
        <v>85</v>
      </c>
      <c r="C93" s="20" t="s">
        <v>242</v>
      </c>
      <c r="D93" s="75" t="s">
        <v>231</v>
      </c>
      <c r="E93" s="21" t="s">
        <v>243</v>
      </c>
      <c r="F93" s="22" t="s">
        <v>236</v>
      </c>
    </row>
    <row r="94" spans="2:6">
      <c r="B94" s="19">
        <v>86</v>
      </c>
      <c r="C94" s="20" t="s">
        <v>244</v>
      </c>
      <c r="D94" s="75" t="s">
        <v>231</v>
      </c>
      <c r="E94" s="21" t="s">
        <v>245</v>
      </c>
      <c r="F94" s="22" t="s">
        <v>246</v>
      </c>
    </row>
    <row r="95" spans="2:6">
      <c r="B95" s="19">
        <v>87</v>
      </c>
      <c r="C95" s="20" t="s">
        <v>247</v>
      </c>
      <c r="D95" s="75" t="s">
        <v>231</v>
      </c>
      <c r="E95" s="21" t="s">
        <v>248</v>
      </c>
      <c r="F95" s="22" t="s">
        <v>236</v>
      </c>
    </row>
    <row r="96" spans="2:6">
      <c r="B96" s="19">
        <v>88</v>
      </c>
      <c r="C96" s="20" t="s">
        <v>249</v>
      </c>
      <c r="D96" s="75" t="s">
        <v>231</v>
      </c>
      <c r="E96" s="21" t="s">
        <v>250</v>
      </c>
      <c r="F96" s="22" t="s">
        <v>251</v>
      </c>
    </row>
    <row r="97" spans="2:6">
      <c r="B97" s="19">
        <v>89</v>
      </c>
      <c r="C97" s="20" t="s">
        <v>252</v>
      </c>
      <c r="D97" s="75" t="s">
        <v>231</v>
      </c>
      <c r="E97" s="21" t="s">
        <v>253</v>
      </c>
      <c r="F97" s="22" t="s">
        <v>254</v>
      </c>
    </row>
    <row r="98" spans="2:6">
      <c r="B98" s="19">
        <v>90</v>
      </c>
      <c r="C98" s="20" t="s">
        <v>255</v>
      </c>
      <c r="D98" s="75" t="s">
        <v>231</v>
      </c>
      <c r="E98" s="21" t="s">
        <v>256</v>
      </c>
      <c r="F98" s="22" t="s">
        <v>233</v>
      </c>
    </row>
    <row r="99" spans="2:6">
      <c r="B99" s="19">
        <v>91</v>
      </c>
      <c r="C99" s="20" t="s">
        <v>257</v>
      </c>
      <c r="D99" s="75" t="s">
        <v>231</v>
      </c>
      <c r="E99" s="21" t="s">
        <v>258</v>
      </c>
      <c r="F99" s="22" t="s">
        <v>236</v>
      </c>
    </row>
    <row r="100" spans="2:6">
      <c r="B100" s="19">
        <v>92</v>
      </c>
      <c r="C100" s="20" t="s">
        <v>259</v>
      </c>
      <c r="D100" s="75" t="s">
        <v>231</v>
      </c>
      <c r="E100" s="21" t="s">
        <v>260</v>
      </c>
      <c r="F100" s="22" t="s">
        <v>261</v>
      </c>
    </row>
    <row r="101" spans="2:6">
      <c r="B101" s="19">
        <v>93</v>
      </c>
      <c r="C101" s="20" t="s">
        <v>262</v>
      </c>
      <c r="D101" s="75" t="s">
        <v>263</v>
      </c>
      <c r="E101" s="21" t="s">
        <v>264</v>
      </c>
      <c r="F101" s="22" t="s">
        <v>265</v>
      </c>
    </row>
    <row r="102" spans="2:6">
      <c r="B102" s="19">
        <v>94</v>
      </c>
      <c r="C102" s="20" t="s">
        <v>266</v>
      </c>
      <c r="D102" s="75" t="s">
        <v>263</v>
      </c>
      <c r="E102" s="21" t="s">
        <v>267</v>
      </c>
      <c r="F102" s="22" t="s">
        <v>268</v>
      </c>
    </row>
    <row r="103" spans="2:6">
      <c r="B103" s="19">
        <v>95</v>
      </c>
      <c r="C103" s="20" t="s">
        <v>269</v>
      </c>
      <c r="D103" s="75" t="s">
        <v>263</v>
      </c>
      <c r="E103" s="21" t="s">
        <v>270</v>
      </c>
      <c r="F103" s="22" t="s">
        <v>271</v>
      </c>
    </row>
    <row r="104" spans="2:6">
      <c r="B104" s="19">
        <v>96</v>
      </c>
      <c r="C104" s="20" t="s">
        <v>272</v>
      </c>
      <c r="D104" s="75" t="s">
        <v>263</v>
      </c>
      <c r="E104" s="21" t="s">
        <v>273</v>
      </c>
      <c r="F104" s="22" t="s">
        <v>271</v>
      </c>
    </row>
    <row r="105" spans="2:6">
      <c r="B105" s="19">
        <v>97</v>
      </c>
      <c r="C105" s="20" t="s">
        <v>274</v>
      </c>
      <c r="D105" s="75" t="s">
        <v>263</v>
      </c>
      <c r="E105" s="21" t="s">
        <v>275</v>
      </c>
      <c r="F105" s="22" t="s">
        <v>271</v>
      </c>
    </row>
    <row r="106" spans="2:6">
      <c r="B106" s="19">
        <v>98</v>
      </c>
      <c r="C106" s="20" t="s">
        <v>276</v>
      </c>
      <c r="D106" s="75" t="s">
        <v>263</v>
      </c>
      <c r="E106" s="21" t="s">
        <v>277</v>
      </c>
      <c r="F106" s="22" t="s">
        <v>271</v>
      </c>
    </row>
    <row r="107" spans="2:6">
      <c r="B107" s="19">
        <v>99</v>
      </c>
      <c r="C107" s="20" t="s">
        <v>278</v>
      </c>
      <c r="D107" s="75" t="s">
        <v>263</v>
      </c>
      <c r="E107" s="21" t="s">
        <v>279</v>
      </c>
      <c r="F107" s="22" t="s">
        <v>271</v>
      </c>
    </row>
    <row r="108" spans="2:6">
      <c r="B108" s="19">
        <v>100</v>
      </c>
      <c r="C108" s="20" t="s">
        <v>280</v>
      </c>
      <c r="D108" s="75" t="s">
        <v>263</v>
      </c>
      <c r="E108" s="21" t="s">
        <v>281</v>
      </c>
      <c r="F108" s="22" t="s">
        <v>271</v>
      </c>
    </row>
    <row r="109" spans="2:6">
      <c r="B109" s="19">
        <v>101</v>
      </c>
      <c r="C109" s="20" t="s">
        <v>282</v>
      </c>
      <c r="D109" s="75" t="s">
        <v>263</v>
      </c>
      <c r="E109" s="21" t="s">
        <v>283</v>
      </c>
      <c r="F109" s="22" t="s">
        <v>284</v>
      </c>
    </row>
    <row r="110" spans="2:6">
      <c r="B110" s="19">
        <v>102</v>
      </c>
      <c r="C110" s="20" t="s">
        <v>285</v>
      </c>
      <c r="D110" s="75" t="s">
        <v>263</v>
      </c>
      <c r="E110" s="21" t="s">
        <v>286</v>
      </c>
      <c r="F110" s="22" t="s">
        <v>284</v>
      </c>
    </row>
    <row r="111" spans="2:6">
      <c r="B111" s="19">
        <v>103</v>
      </c>
      <c r="C111" s="20" t="s">
        <v>287</v>
      </c>
      <c r="D111" s="75" t="s">
        <v>263</v>
      </c>
      <c r="E111" s="21" t="s">
        <v>288</v>
      </c>
      <c r="F111" s="22" t="s">
        <v>284</v>
      </c>
    </row>
    <row r="112" spans="2:6">
      <c r="B112" s="19">
        <v>104</v>
      </c>
      <c r="C112" s="20" t="s">
        <v>289</v>
      </c>
      <c r="D112" s="75" t="s">
        <v>263</v>
      </c>
      <c r="E112" s="21" t="s">
        <v>290</v>
      </c>
      <c r="F112" s="22" t="s">
        <v>284</v>
      </c>
    </row>
    <row r="113" spans="2:6">
      <c r="B113" s="19">
        <v>105</v>
      </c>
      <c r="C113" s="20" t="s">
        <v>291</v>
      </c>
      <c r="D113" s="75" t="s">
        <v>263</v>
      </c>
      <c r="E113" s="21" t="s">
        <v>292</v>
      </c>
      <c r="F113" s="22" t="s">
        <v>284</v>
      </c>
    </row>
    <row r="114" spans="2:6">
      <c r="B114" s="19">
        <v>106</v>
      </c>
      <c r="C114" s="20" t="s">
        <v>293</v>
      </c>
      <c r="D114" s="75" t="s">
        <v>263</v>
      </c>
      <c r="E114" s="21" t="s">
        <v>294</v>
      </c>
      <c r="F114" s="22" t="s">
        <v>284</v>
      </c>
    </row>
    <row r="115" spans="2:6">
      <c r="B115" s="19">
        <v>107</v>
      </c>
      <c r="C115" s="20" t="s">
        <v>295</v>
      </c>
      <c r="D115" s="75" t="s">
        <v>263</v>
      </c>
      <c r="E115" s="21" t="s">
        <v>296</v>
      </c>
      <c r="F115" s="22" t="s">
        <v>284</v>
      </c>
    </row>
    <row r="116" spans="2:6">
      <c r="B116" s="19">
        <v>108</v>
      </c>
      <c r="C116" s="20" t="s">
        <v>297</v>
      </c>
      <c r="D116" s="75" t="s">
        <v>263</v>
      </c>
      <c r="E116" s="21" t="s">
        <v>298</v>
      </c>
      <c r="F116" s="22" t="s">
        <v>284</v>
      </c>
    </row>
    <row r="117" spans="2:6">
      <c r="B117" s="19">
        <v>109</v>
      </c>
      <c r="C117" s="20" t="s">
        <v>299</v>
      </c>
      <c r="D117" s="75" t="s">
        <v>300</v>
      </c>
      <c r="E117" s="21" t="s">
        <v>301</v>
      </c>
      <c r="F117" s="22" t="s">
        <v>302</v>
      </c>
    </row>
    <row r="118" spans="2:6">
      <c r="B118" s="19">
        <v>110</v>
      </c>
      <c r="C118" s="20" t="s">
        <v>303</v>
      </c>
      <c r="D118" s="75" t="s">
        <v>300</v>
      </c>
      <c r="E118" s="21" t="s">
        <v>304</v>
      </c>
      <c r="F118" s="22" t="s">
        <v>302</v>
      </c>
    </row>
    <row r="119" spans="2:6">
      <c r="B119" s="19">
        <v>111</v>
      </c>
      <c r="C119" s="20" t="s">
        <v>305</v>
      </c>
      <c r="D119" s="75" t="s">
        <v>300</v>
      </c>
      <c r="E119" s="21" t="s">
        <v>306</v>
      </c>
      <c r="F119" s="22" t="s">
        <v>302</v>
      </c>
    </row>
    <row r="120" spans="2:6">
      <c r="B120" s="19">
        <v>112</v>
      </c>
      <c r="C120" s="20" t="s">
        <v>307</v>
      </c>
      <c r="D120" s="75" t="s">
        <v>300</v>
      </c>
      <c r="E120" s="21" t="s">
        <v>308</v>
      </c>
      <c r="F120" s="22" t="s">
        <v>302</v>
      </c>
    </row>
    <row r="121" spans="2:6">
      <c r="B121" s="19">
        <v>113</v>
      </c>
      <c r="C121" s="20" t="s">
        <v>309</v>
      </c>
      <c r="D121" s="75" t="s">
        <v>300</v>
      </c>
      <c r="E121" s="21" t="s">
        <v>310</v>
      </c>
      <c r="F121" s="22" t="s">
        <v>302</v>
      </c>
    </row>
    <row r="122" spans="2:6">
      <c r="B122" s="19">
        <v>114</v>
      </c>
      <c r="C122" s="20" t="s">
        <v>311</v>
      </c>
      <c r="D122" s="75" t="s">
        <v>300</v>
      </c>
      <c r="E122" s="21" t="s">
        <v>312</v>
      </c>
      <c r="F122" s="22" t="s">
        <v>302</v>
      </c>
    </row>
    <row r="123" spans="2:6">
      <c r="B123" s="19">
        <v>115</v>
      </c>
      <c r="C123" s="20" t="s">
        <v>313</v>
      </c>
      <c r="D123" s="75" t="s">
        <v>300</v>
      </c>
      <c r="E123" s="21" t="s">
        <v>314</v>
      </c>
      <c r="F123" s="22" t="s">
        <v>302</v>
      </c>
    </row>
    <row r="124" spans="2:6">
      <c r="B124" s="19">
        <v>116</v>
      </c>
      <c r="C124" s="20" t="s">
        <v>315</v>
      </c>
      <c r="D124" s="75" t="s">
        <v>316</v>
      </c>
      <c r="E124" s="21" t="s">
        <v>317</v>
      </c>
      <c r="F124" s="22" t="s">
        <v>318</v>
      </c>
    </row>
    <row r="125" spans="2:6">
      <c r="B125" s="19">
        <v>117</v>
      </c>
      <c r="C125" s="20" t="s">
        <v>319</v>
      </c>
      <c r="D125" s="75" t="s">
        <v>316</v>
      </c>
      <c r="E125" s="21" t="s">
        <v>320</v>
      </c>
      <c r="F125" s="22" t="s">
        <v>318</v>
      </c>
    </row>
    <row r="126" spans="2:6">
      <c r="B126" s="19">
        <v>118</v>
      </c>
      <c r="C126" s="20" t="s">
        <v>321</v>
      </c>
      <c r="D126" s="75" t="s">
        <v>316</v>
      </c>
      <c r="E126" s="21" t="s">
        <v>322</v>
      </c>
      <c r="F126" s="22" t="s">
        <v>318</v>
      </c>
    </row>
    <row r="127" spans="2:6">
      <c r="B127" s="19">
        <v>119</v>
      </c>
      <c r="C127" s="20" t="s">
        <v>323</v>
      </c>
      <c r="D127" s="75" t="s">
        <v>316</v>
      </c>
      <c r="E127" s="21" t="s">
        <v>324</v>
      </c>
      <c r="F127" s="22" t="s">
        <v>318</v>
      </c>
    </row>
    <row r="128" spans="2:6">
      <c r="B128" s="19">
        <v>120</v>
      </c>
      <c r="C128" s="20" t="s">
        <v>325</v>
      </c>
      <c r="D128" s="75" t="s">
        <v>316</v>
      </c>
      <c r="E128" s="21" t="s">
        <v>326</v>
      </c>
      <c r="F128" s="22" t="s">
        <v>318</v>
      </c>
    </row>
    <row r="129" spans="2:6">
      <c r="B129" s="19">
        <v>121</v>
      </c>
      <c r="C129" s="20" t="s">
        <v>327</v>
      </c>
      <c r="D129" s="75" t="s">
        <v>316</v>
      </c>
      <c r="E129" s="21" t="s">
        <v>328</v>
      </c>
      <c r="F129" s="22" t="s">
        <v>318</v>
      </c>
    </row>
    <row r="130" spans="2:6">
      <c r="B130" s="19">
        <v>122</v>
      </c>
      <c r="C130" s="20" t="s">
        <v>329</v>
      </c>
      <c r="D130" s="75" t="s">
        <v>316</v>
      </c>
      <c r="E130" s="21" t="s">
        <v>330</v>
      </c>
      <c r="F130" s="22" t="s">
        <v>318</v>
      </c>
    </row>
    <row r="131" spans="2:6">
      <c r="B131" s="19">
        <v>123</v>
      </c>
      <c r="C131" s="20" t="s">
        <v>331</v>
      </c>
      <c r="D131" s="75" t="s">
        <v>316</v>
      </c>
      <c r="E131" s="21" t="s">
        <v>332</v>
      </c>
      <c r="F131" s="22" t="s">
        <v>318</v>
      </c>
    </row>
    <row r="132" spans="2:6">
      <c r="B132" s="19">
        <v>124</v>
      </c>
      <c r="C132" s="20" t="s">
        <v>333</v>
      </c>
      <c r="D132" s="75" t="s">
        <v>316</v>
      </c>
      <c r="E132" s="21" t="s">
        <v>334</v>
      </c>
      <c r="F132" s="22" t="s">
        <v>318</v>
      </c>
    </row>
    <row r="133" spans="2:6">
      <c r="B133" s="19">
        <v>125</v>
      </c>
      <c r="C133" s="20" t="s">
        <v>335</v>
      </c>
      <c r="D133" s="75" t="s">
        <v>316</v>
      </c>
      <c r="E133" s="21" t="s">
        <v>336</v>
      </c>
      <c r="F133" s="22" t="s">
        <v>318</v>
      </c>
    </row>
    <row r="134" spans="2:6">
      <c r="B134" s="19">
        <v>126</v>
      </c>
      <c r="C134" s="20" t="s">
        <v>337</v>
      </c>
      <c r="D134" s="75" t="s">
        <v>316</v>
      </c>
      <c r="E134" s="21" t="s">
        <v>338</v>
      </c>
      <c r="F134" s="22" t="s">
        <v>318</v>
      </c>
    </row>
  </sheetData>
  <mergeCells count="6">
    <mergeCell ref="D5:F5"/>
    <mergeCell ref="B3:C3"/>
    <mergeCell ref="B5:C5"/>
    <mergeCell ref="D4:F4"/>
    <mergeCell ref="D3:F3"/>
    <mergeCell ref="B4:C4"/>
  </mergeCells>
  <hyperlinks>
    <hyperlink ref="D9" location="Feature1!A1" display="Feature1" xr:uid="{00000000-0004-0000-0100-000000000000}"/>
    <hyperlink ref="D10" location="Feature2!A1" display="Feature1" xr:uid="{00000000-0004-0000-0100-000001000000}"/>
    <hyperlink ref="D11" location="Feature1!A1" display="Feature1" xr:uid="{00000000-0004-0000-0100-000002000000}"/>
    <hyperlink ref="D12" location="Feature2!A1" display="Feature2" xr:uid="{00000000-0004-0000-0100-000003000000}"/>
    <hyperlink ref="D13" location="Feature2!A1" display="Feature2" xr:uid="{00000000-0004-0000-0100-000004000000}"/>
  </hyperlinks>
  <pageMargins left="0.74791666666666667" right="0.74791666666666667" top="0.98402777777777783" bottom="1.150694444444444" header="0.51180555555555562" footer="0.98402777777777783"/>
  <pageSetup paperSize="9" firstPageNumber="0" orientation="landscape" horizontalDpi="300" verticalDpi="300"/>
  <headerFooter alignWithMargins="0">
    <oddFooter>&amp;L&amp;"Tahoma,Regular"&amp;8 02ae-BM/PM/HDCV/FSOFT v2/0&amp;C&amp;"tahoma,Regular"&amp;8 Internal use&amp;R&amp;"tahoma,Regular"&amp;8 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4"/>
  <sheetViews>
    <sheetView workbookViewId="0">
      <selection activeCell="B2" sqref="B2"/>
    </sheetView>
  </sheetViews>
  <sheetFormatPr defaultColWidth="9" defaultRowHeight="13.2"/>
  <cols>
    <col min="1" max="1" width="4.44140625" style="1" customWidth="1"/>
    <col min="2" max="2" width="18.33203125" style="1" customWidth="1"/>
    <col min="3" max="3" width="19.33203125" style="1" customWidth="1"/>
    <col min="4" max="6" width="11.6640625" style="1" customWidth="1"/>
    <col min="7" max="7" width="9" style="1" customWidth="1"/>
    <col min="8" max="8" width="35.44140625" style="1" customWidth="1"/>
    <col min="9" max="9" width="33.109375" style="1" customWidth="1"/>
    <col min="10" max="11" width="9" style="1" customWidth="1"/>
    <col min="12" max="16384" width="9" style="1"/>
  </cols>
  <sheetData>
    <row r="1" spans="1:8" ht="25.5" customHeight="1">
      <c r="B1" s="125" t="s">
        <v>339</v>
      </c>
      <c r="C1" s="126"/>
      <c r="D1" s="126"/>
      <c r="E1" s="126"/>
      <c r="F1" s="126"/>
      <c r="G1" s="126"/>
      <c r="H1" s="126"/>
    </row>
    <row r="2" spans="1:8" ht="14.25" customHeight="1">
      <c r="A2" s="33"/>
      <c r="B2" s="33"/>
      <c r="C2" s="34"/>
      <c r="D2" s="34"/>
      <c r="E2" s="34"/>
      <c r="F2" s="34"/>
      <c r="G2" s="34"/>
      <c r="H2" s="35"/>
    </row>
    <row r="3" spans="1:8" ht="12" customHeight="1">
      <c r="B3" s="2" t="s">
        <v>1</v>
      </c>
      <c r="C3" s="122" t="s">
        <v>2</v>
      </c>
      <c r="D3" s="116"/>
      <c r="E3" s="123" t="s">
        <v>3</v>
      </c>
      <c r="F3" s="116"/>
      <c r="G3" s="36" t="s">
        <v>4</v>
      </c>
      <c r="H3" s="37"/>
    </row>
    <row r="4" spans="1:8" ht="12" customHeight="1">
      <c r="B4" s="2" t="s">
        <v>5</v>
      </c>
      <c r="C4" s="122" t="s">
        <v>6</v>
      </c>
      <c r="D4" s="116"/>
      <c r="E4" s="123" t="s">
        <v>340</v>
      </c>
      <c r="F4" s="116"/>
      <c r="G4" s="36"/>
      <c r="H4" s="37"/>
    </row>
    <row r="5" spans="1:8" ht="12" customHeight="1">
      <c r="B5" s="38" t="s">
        <v>8</v>
      </c>
      <c r="C5" s="122" t="str">
        <f>C4&amp;"_"&amp;"Test Report"&amp;"_"&amp;"v1.0"</f>
        <v>BRANDHUB_Test Report_v1.0</v>
      </c>
      <c r="D5" s="116"/>
      <c r="E5" s="123" t="s">
        <v>7</v>
      </c>
      <c r="F5" s="116"/>
      <c r="G5" s="36"/>
      <c r="H5" s="108">
        <v>46300</v>
      </c>
    </row>
    <row r="6" spans="1:8" ht="21.75" customHeight="1">
      <c r="A6" s="33"/>
      <c r="B6" s="38" t="s">
        <v>341</v>
      </c>
      <c r="C6" s="124" t="s">
        <v>342</v>
      </c>
      <c r="D6" s="115"/>
      <c r="E6" s="115"/>
      <c r="F6" s="115"/>
      <c r="G6" s="115"/>
      <c r="H6" s="116"/>
    </row>
    <row r="7" spans="1:8" ht="14.25" customHeight="1">
      <c r="A7" s="33"/>
      <c r="B7" s="39"/>
      <c r="C7" s="40"/>
      <c r="D7" s="34"/>
      <c r="E7" s="34"/>
      <c r="F7" s="34"/>
      <c r="G7" s="34"/>
      <c r="H7" s="35"/>
    </row>
    <row r="8" spans="1:8">
      <c r="B8" s="39"/>
      <c r="C8" s="40"/>
      <c r="D8" s="34"/>
      <c r="E8" s="34"/>
      <c r="F8" s="34"/>
      <c r="G8" s="34"/>
      <c r="H8" s="35"/>
    </row>
    <row r="10" spans="1:8" ht="13.95" customHeight="1">
      <c r="A10" s="41"/>
      <c r="B10" s="42" t="s">
        <v>24</v>
      </c>
      <c r="C10" s="43" t="s">
        <v>343</v>
      </c>
      <c r="D10" s="44" t="s">
        <v>344</v>
      </c>
      <c r="E10" s="43" t="s">
        <v>345</v>
      </c>
      <c r="F10" s="43" t="s">
        <v>346</v>
      </c>
      <c r="G10" s="45" t="s">
        <v>347</v>
      </c>
      <c r="H10" s="46" t="s">
        <v>348</v>
      </c>
    </row>
    <row r="11" spans="1:8">
      <c r="A11" s="41"/>
      <c r="B11" s="47">
        <v>1</v>
      </c>
      <c r="C11" s="48" t="str">
        <f>Authentication!B2</f>
        <v>Authentication</v>
      </c>
      <c r="D11" s="49">
        <f>Authentication!B6</f>
        <v>160</v>
      </c>
      <c r="E11" s="49">
        <f>Authentication!C6</f>
        <v>0</v>
      </c>
      <c r="F11" s="49">
        <f>Authentication!D6</f>
        <v>0</v>
      </c>
      <c r="G11" s="49">
        <f>Authentication!E6</f>
        <v>0</v>
      </c>
      <c r="H11" s="50">
        <f>Authentication!B4</f>
        <v>160</v>
      </c>
    </row>
    <row r="12" spans="1:8">
      <c r="A12" s="41"/>
      <c r="B12" s="47">
        <v>2</v>
      </c>
      <c r="C12" s="48" t="str">
        <f>Profile!B2</f>
        <v>Profile</v>
      </c>
      <c r="D12" s="49">
        <f>Profile!B6</f>
        <v>71</v>
      </c>
      <c r="E12" s="49">
        <f>Profile!C6</f>
        <v>0</v>
      </c>
      <c r="F12" s="49">
        <f>Profile!D6</f>
        <v>0</v>
      </c>
      <c r="G12" s="49">
        <f>Profile!E6</f>
        <v>0</v>
      </c>
      <c r="H12" s="50">
        <f>Profile!B4</f>
        <v>71</v>
      </c>
    </row>
    <row r="13" spans="1:8">
      <c r="A13" s="41"/>
      <c r="B13" s="47">
        <v>3</v>
      </c>
      <c r="C13" s="48" t="str">
        <f>'Agency &amp; Workspace'!B2</f>
        <v>Agency &amp; Workspace</v>
      </c>
      <c r="D13" s="49">
        <f>'Agency &amp; Workspace'!B6</f>
        <v>394</v>
      </c>
      <c r="E13" s="49">
        <f>'Agency &amp; Workspace'!C6</f>
        <v>0</v>
      </c>
      <c r="F13" s="49">
        <f>'Agency &amp; Workspace'!D6</f>
        <v>0</v>
      </c>
      <c r="G13" s="49">
        <f>'Agency &amp; Workspace'!E6</f>
        <v>0</v>
      </c>
      <c r="H13" s="50">
        <f>'Agency &amp; Workspace'!B4</f>
        <v>394</v>
      </c>
    </row>
    <row r="14" spans="1:8">
      <c r="A14" s="41"/>
      <c r="B14" s="47">
        <v>4</v>
      </c>
      <c r="C14" s="48" t="str">
        <f>'Media Package'!B2</f>
        <v>Media Package</v>
      </c>
      <c r="D14" s="49">
        <f>'Media Package'!B6</f>
        <v>73</v>
      </c>
      <c r="E14" s="49">
        <f>'Media Package'!C6</f>
        <v>0</v>
      </c>
      <c r="F14" s="49">
        <f>'Media Package'!D6</f>
        <v>126</v>
      </c>
      <c r="G14" s="49">
        <f>'Media Package'!E6</f>
        <v>0</v>
      </c>
      <c r="H14" s="50">
        <f>'Media Package'!B4</f>
        <v>199</v>
      </c>
    </row>
    <row r="15" spans="1:8">
      <c r="A15" s="41"/>
      <c r="B15" s="47">
        <v>5</v>
      </c>
      <c r="C15" s="48" t="str">
        <f>'Content &amp; Task'!B2</f>
        <v>Content &amp; Task</v>
      </c>
      <c r="D15" s="49">
        <f>'Content &amp; Task'!B6</f>
        <v>151</v>
      </c>
      <c r="E15" s="49">
        <f>'Content &amp; Task'!C6</f>
        <v>0</v>
      </c>
      <c r="F15" s="49">
        <f>'Content &amp; Task'!D6</f>
        <v>511</v>
      </c>
      <c r="G15" s="49">
        <f>'Content &amp; Task'!E6</f>
        <v>0</v>
      </c>
      <c r="H15" s="50">
        <f>'Content &amp; Task'!B4</f>
        <v>662</v>
      </c>
    </row>
    <row r="16" spans="1:8">
      <c r="A16" s="41"/>
      <c r="B16" s="47">
        <v>6</v>
      </c>
      <c r="C16" s="48" t="str">
        <f>'AI Features'!B2</f>
        <v>AI Features</v>
      </c>
      <c r="D16" s="49">
        <f>'AI Features'!B6</f>
        <v>122</v>
      </c>
      <c r="E16" s="49">
        <f>'AI Features'!C6</f>
        <v>0</v>
      </c>
      <c r="F16" s="49">
        <f>'AI Features'!D6</f>
        <v>84</v>
      </c>
      <c r="G16" s="49">
        <f>'AI Features'!E6</f>
        <v>0</v>
      </c>
      <c r="H16" s="50">
        <f>'AI Features'!B4</f>
        <v>206</v>
      </c>
    </row>
    <row r="17" spans="1:8">
      <c r="A17" s="41"/>
      <c r="B17" s="47">
        <v>7</v>
      </c>
      <c r="C17" s="48" t="str">
        <f>Publishing!B2</f>
        <v>Publishing</v>
      </c>
      <c r="D17" s="49">
        <f>Publishing!B6</f>
        <v>81</v>
      </c>
      <c r="E17" s="49">
        <f>Publishing!C6</f>
        <v>0</v>
      </c>
      <c r="F17" s="49">
        <f>Publishing!D6</f>
        <v>215</v>
      </c>
      <c r="G17" s="49">
        <f>Publishing!E6</f>
        <v>0</v>
      </c>
      <c r="H17" s="50">
        <f>Publishing!B4</f>
        <v>296</v>
      </c>
    </row>
    <row r="18" spans="1:8">
      <c r="A18" s="41"/>
      <c r="B18" s="47">
        <v>8</v>
      </c>
      <c r="C18" s="48" t="str">
        <f>Billing!B2</f>
        <v>Billing</v>
      </c>
      <c r="D18" s="49">
        <f>Billing!B6</f>
        <v>32</v>
      </c>
      <c r="E18" s="49">
        <f>Billing!C6</f>
        <v>0</v>
      </c>
      <c r="F18" s="49">
        <f>Billing!D6</f>
        <v>82</v>
      </c>
      <c r="G18" s="49">
        <f>Billing!E6</f>
        <v>0</v>
      </c>
      <c r="H18" s="50">
        <f>Billing!B4</f>
        <v>114</v>
      </c>
    </row>
    <row r="19" spans="1:8">
      <c r="A19" s="41"/>
      <c r="B19" s="47">
        <v>9</v>
      </c>
      <c r="C19" s="48" t="str">
        <f>Admin!B2</f>
        <v>Admin</v>
      </c>
      <c r="D19" s="49">
        <f>Admin!B6</f>
        <v>33</v>
      </c>
      <c r="E19" s="49">
        <f>Admin!C6</f>
        <v>0</v>
      </c>
      <c r="F19" s="49">
        <f>Admin!D6</f>
        <v>152</v>
      </c>
      <c r="G19" s="49">
        <f>Admin!E6</f>
        <v>0</v>
      </c>
      <c r="H19" s="50">
        <f>Admin!B4</f>
        <v>185</v>
      </c>
    </row>
    <row r="21" spans="1:8">
      <c r="A21" s="41"/>
      <c r="B21" s="51"/>
      <c r="C21" s="52" t="s">
        <v>349</v>
      </c>
      <c r="D21" s="53">
        <f>SUM(D11:D19)</f>
        <v>1117</v>
      </c>
      <c r="E21" s="53">
        <f>SUM(E11:E19)</f>
        <v>0</v>
      </c>
      <c r="F21" s="53">
        <f>SUM(F11:F19)</f>
        <v>1170</v>
      </c>
      <c r="G21" s="53">
        <f>SUM(G11:G19)</f>
        <v>0</v>
      </c>
      <c r="H21" s="54">
        <f>SUM(H11:H19)</f>
        <v>2287</v>
      </c>
    </row>
    <row r="23" spans="1:8">
      <c r="C23" s="55" t="s">
        <v>350</v>
      </c>
      <c r="E23" s="56">
        <f>(D21+E21)*100/(H21-G21)</f>
        <v>48.84127678181023</v>
      </c>
      <c r="F23" s="1" t="s">
        <v>351</v>
      </c>
      <c r="H23" s="28"/>
    </row>
    <row r="24" spans="1:8">
      <c r="C24" s="55" t="s">
        <v>352</v>
      </c>
      <c r="E24" s="56">
        <f>D21*100/(H21-G21)</f>
        <v>48.84127678181023</v>
      </c>
      <c r="F24" s="1" t="s">
        <v>351</v>
      </c>
      <c r="H24" s="28"/>
    </row>
  </sheetData>
  <mergeCells count="8">
    <mergeCell ref="E4:F4"/>
    <mergeCell ref="C6:H6"/>
    <mergeCell ref="B1:H1"/>
    <mergeCell ref="C5:D5"/>
    <mergeCell ref="E5:F5"/>
    <mergeCell ref="C3:D3"/>
    <mergeCell ref="E3:F3"/>
    <mergeCell ref="C4:D4"/>
  </mergeCells>
  <pageMargins left="0.74791666666666667" right="0.74791666666666667" top="0.98402777777777783" bottom="0.98402777777777772" header="0.51180555555555562" footer="0.5"/>
  <pageSetup firstPageNumber="0" orientation="landscape" horizontalDpi="300" verticalDpi="300"/>
  <headerFooter alignWithMargins="0">
    <oddFooter>&amp;L&amp;"Tahoma,Regular"&amp;8 02ae-BM/PM/HDCV/FSOFT v2/0&amp;C&amp;"tahoma,Regular"&amp;8 Internal use&amp;R&amp;"Tahoma,Regular"&amp;8 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R179"/>
  <sheetViews>
    <sheetView workbookViewId="0"/>
  </sheetViews>
  <sheetFormatPr defaultColWidth="9" defaultRowHeight="13.2" outlineLevelRow="1" outlineLevelCol="1"/>
  <cols>
    <col min="1" max="1" width="17" style="1" customWidth="1"/>
    <col min="2" max="2" width="34.44140625" style="1" customWidth="1"/>
    <col min="3" max="3" width="34.109375" style="1" customWidth="1"/>
    <col min="4" max="4" width="34.6640625" style="1" customWidth="1"/>
    <col min="5" max="5" width="28.33203125" style="1" customWidth="1"/>
    <col min="6" max="6" width="9.33203125" style="1" customWidth="1"/>
    <col min="7" max="7" width="10.6640625" style="1" customWidth="1" outlineLevel="1"/>
    <col min="8" max="8" width="7" style="1" bestFit="1" customWidth="1" outlineLevel="1"/>
    <col min="9" max="9" width="9.33203125" style="1" customWidth="1"/>
    <col min="10" max="10" width="10.6640625" style="1" customWidth="1" outlineLevel="1"/>
    <col min="11" max="11" width="7" style="1" bestFit="1" customWidth="1" outlineLevel="1"/>
    <col min="12" max="12" width="9.33203125" style="1" customWidth="1"/>
    <col min="13" max="13" width="10.6640625" style="1" customWidth="1" outlineLevel="1"/>
    <col min="14" max="14" width="7" style="1" bestFit="1" customWidth="1" outlineLevel="1"/>
    <col min="15" max="15" width="28.6640625" style="1" customWidth="1"/>
    <col min="16" max="16" width="10.109375" style="1" customWidth="1"/>
    <col min="17" max="17" width="8.109375" style="23" customWidth="1"/>
    <col min="18" max="18" width="7.6640625" style="1" hidden="1" customWidth="1"/>
    <col min="19" max="20" width="9" style="1" customWidth="1"/>
    <col min="21" max="16384" width="9" style="1"/>
  </cols>
  <sheetData>
    <row r="1" spans="1:18" ht="13.95" customHeight="1" thickBot="1"/>
    <row r="2" spans="1:18" s="25" customFormat="1" ht="15" customHeight="1">
      <c r="A2" s="73" t="s">
        <v>353</v>
      </c>
      <c r="B2" s="130" t="s">
        <v>30</v>
      </c>
      <c r="C2" s="131"/>
      <c r="D2" s="131"/>
      <c r="E2" s="132"/>
      <c r="F2" s="63"/>
      <c r="G2" s="57"/>
      <c r="H2" s="9"/>
      <c r="I2" s="63"/>
      <c r="J2" s="57"/>
      <c r="K2" s="9"/>
      <c r="L2" s="63"/>
      <c r="M2" s="57"/>
      <c r="N2" s="9"/>
      <c r="O2" s="9"/>
      <c r="P2" s="9"/>
      <c r="Q2" s="24"/>
      <c r="R2" s="25" t="s">
        <v>344</v>
      </c>
    </row>
    <row r="3" spans="1:18" s="25" customFormat="1" ht="13.95" customHeight="1">
      <c r="A3" s="74" t="s">
        <v>354</v>
      </c>
      <c r="B3" s="127" t="s">
        <v>355</v>
      </c>
      <c r="C3" s="128"/>
      <c r="D3" s="128"/>
      <c r="E3" s="129"/>
      <c r="F3" s="63"/>
      <c r="G3" s="57"/>
      <c r="H3" s="9"/>
      <c r="I3" s="63"/>
      <c r="J3" s="57"/>
      <c r="K3" s="9"/>
      <c r="L3" s="63"/>
      <c r="M3" s="57"/>
      <c r="N3" s="9"/>
      <c r="O3" s="9"/>
      <c r="P3" s="9"/>
      <c r="Q3" s="24"/>
      <c r="R3" s="25" t="s">
        <v>345</v>
      </c>
    </row>
    <row r="4" spans="1:18" s="25" customFormat="1" ht="18" customHeight="1">
      <c r="A4" s="74" t="s">
        <v>356</v>
      </c>
      <c r="B4" s="127">
        <f>COUNTA(F12:F1000)</f>
        <v>160</v>
      </c>
      <c r="C4" s="128"/>
      <c r="D4" s="128"/>
      <c r="E4" s="129"/>
      <c r="F4" s="63"/>
      <c r="G4" s="57"/>
      <c r="H4" s="9"/>
      <c r="I4" s="63"/>
      <c r="J4" s="57"/>
      <c r="K4" s="9"/>
      <c r="L4" s="63"/>
      <c r="M4" s="57"/>
      <c r="N4" s="9"/>
      <c r="O4" s="9"/>
      <c r="P4" s="9"/>
      <c r="Q4" s="24"/>
      <c r="R4" s="25" t="s">
        <v>346</v>
      </c>
    </row>
    <row r="5" spans="1:18" s="25" customFormat="1" ht="19.5" customHeight="1">
      <c r="A5" s="67" t="s">
        <v>357</v>
      </c>
      <c r="B5" s="65" t="s">
        <v>344</v>
      </c>
      <c r="C5" s="65" t="s">
        <v>345</v>
      </c>
      <c r="D5" s="65" t="s">
        <v>346</v>
      </c>
      <c r="E5" s="68" t="s">
        <v>347</v>
      </c>
      <c r="F5" s="58"/>
      <c r="G5" s="58"/>
      <c r="H5" s="26"/>
      <c r="I5" s="58"/>
      <c r="J5" s="58"/>
      <c r="K5" s="26"/>
      <c r="L5" s="58"/>
      <c r="M5" s="58"/>
      <c r="N5" s="26"/>
      <c r="O5" s="26"/>
      <c r="P5" s="26"/>
      <c r="Q5" s="27"/>
      <c r="R5" s="25" t="s">
        <v>347</v>
      </c>
    </row>
    <row r="6" spans="1:18" s="25" customFormat="1" ht="15" customHeight="1">
      <c r="A6" s="67" t="s">
        <v>358</v>
      </c>
      <c r="B6" s="66">
        <f>COUNTIF($F$10:$F$998,B$5)</f>
        <v>160</v>
      </c>
      <c r="C6" s="66">
        <f>COUNTIF($F$10:$F$998,C$5)</f>
        <v>0</v>
      </c>
      <c r="D6" s="66">
        <f>COUNTIF($F$10:$F$998,D$5)</f>
        <v>0</v>
      </c>
      <c r="E6" s="72">
        <f>COUNTIF($F$10:$F$998,E$5)</f>
        <v>0</v>
      </c>
      <c r="F6" s="59"/>
      <c r="G6" s="59"/>
      <c r="H6" s="26"/>
      <c r="I6" s="59"/>
      <c r="J6" s="59"/>
      <c r="K6" s="26"/>
      <c r="L6" s="59"/>
      <c r="M6" s="59"/>
      <c r="N6" s="26"/>
      <c r="O6" s="26"/>
      <c r="P6" s="26"/>
      <c r="Q6" s="27"/>
    </row>
    <row r="7" spans="1:18" s="25" customFormat="1" ht="15" customHeight="1">
      <c r="A7" s="67" t="s">
        <v>359</v>
      </c>
      <c r="B7" s="66">
        <f>COUNTIF($I$10:$I$998,B$5)</f>
        <v>0</v>
      </c>
      <c r="C7" s="66">
        <f>COUNTIF($I$10:$I$998,C$5)</f>
        <v>0</v>
      </c>
      <c r="D7" s="66">
        <f>COUNTIF($I$10:$I$998,D$5)</f>
        <v>160</v>
      </c>
      <c r="E7" s="72">
        <f>COUNTIF($I$10:$I$998,E$5)</f>
        <v>0</v>
      </c>
      <c r="F7" s="59"/>
      <c r="G7" s="59"/>
      <c r="H7" s="26"/>
      <c r="I7" s="59"/>
      <c r="J7" s="59"/>
      <c r="K7" s="26"/>
      <c r="L7" s="59"/>
      <c r="M7" s="59"/>
      <c r="N7" s="26"/>
      <c r="O7" s="26"/>
      <c r="P7" s="26"/>
      <c r="Q7" s="27"/>
    </row>
    <row r="8" spans="1:18" s="25" customFormat="1" ht="15" customHeight="1" thickBot="1">
      <c r="A8" s="69" t="s">
        <v>360</v>
      </c>
      <c r="B8" s="70">
        <f>COUNTIF($L$10:$L$998,B$5)</f>
        <v>0</v>
      </c>
      <c r="C8" s="70">
        <f>COUNTIF($L$10:$L$998,C$5)</f>
        <v>0</v>
      </c>
      <c r="D8" s="70">
        <f>COUNTIF($L$10:$L$998,D$5)</f>
        <v>160</v>
      </c>
      <c r="E8" s="71">
        <f>COUNTIF($L$10:$L$998,E$5)</f>
        <v>0</v>
      </c>
      <c r="F8" s="59"/>
      <c r="G8" s="59"/>
      <c r="H8" s="26"/>
      <c r="I8" s="59"/>
      <c r="J8" s="59"/>
      <c r="K8" s="26"/>
      <c r="L8" s="59"/>
      <c r="M8" s="59"/>
      <c r="N8" s="26"/>
      <c r="O8" s="26"/>
      <c r="P8" s="26"/>
      <c r="Q8" s="27"/>
    </row>
    <row r="9" spans="1:18" s="25" customFormat="1" ht="15" customHeight="1">
      <c r="A9" s="26"/>
      <c r="B9" s="26"/>
      <c r="C9" s="26"/>
      <c r="D9" s="26"/>
      <c r="E9" s="26"/>
      <c r="F9" s="28"/>
      <c r="G9" s="26"/>
      <c r="H9" s="26"/>
      <c r="I9" s="28"/>
      <c r="J9" s="26"/>
      <c r="K9" s="26"/>
      <c r="L9" s="28"/>
      <c r="M9" s="26"/>
      <c r="N9" s="26"/>
      <c r="O9" s="26"/>
      <c r="P9" s="26"/>
      <c r="Q9" s="27"/>
    </row>
    <row r="10" spans="1:18" s="25" customFormat="1" ht="25.5" customHeight="1">
      <c r="A10" s="64" t="s">
        <v>361</v>
      </c>
      <c r="B10" s="64" t="s">
        <v>362</v>
      </c>
      <c r="C10" s="64" t="s">
        <v>363</v>
      </c>
      <c r="D10" s="64" t="s">
        <v>364</v>
      </c>
      <c r="E10" s="64" t="s">
        <v>365</v>
      </c>
      <c r="F10" s="64" t="s">
        <v>358</v>
      </c>
      <c r="G10" s="64" t="s">
        <v>366</v>
      </c>
      <c r="H10" s="64" t="s">
        <v>367</v>
      </c>
      <c r="I10" s="64" t="s">
        <v>359</v>
      </c>
      <c r="J10" s="64" t="s">
        <v>366</v>
      </c>
      <c r="K10" s="64" t="s">
        <v>367</v>
      </c>
      <c r="L10" s="64" t="s">
        <v>360</v>
      </c>
      <c r="M10" s="64" t="s">
        <v>366</v>
      </c>
      <c r="N10" s="64" t="s">
        <v>367</v>
      </c>
      <c r="O10" s="64" t="s">
        <v>368</v>
      </c>
      <c r="Q10" s="29"/>
    </row>
    <row r="11" spans="1:18" s="25" customFormat="1" ht="15.75" customHeight="1">
      <c r="A11" s="60" t="s">
        <v>29</v>
      </c>
      <c r="B11" s="60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2"/>
      <c r="Q11" s="30"/>
    </row>
    <row r="12" spans="1:18" s="32" customFormat="1" ht="70.05" customHeight="1" outlineLevel="1">
      <c r="A12" s="109" t="s">
        <v>369</v>
      </c>
      <c r="B12" s="110" t="s">
        <v>370</v>
      </c>
      <c r="C12" s="110" t="s">
        <v>371</v>
      </c>
      <c r="D12" s="111" t="s">
        <v>372</v>
      </c>
      <c r="E12" s="111" t="s">
        <v>373</v>
      </c>
      <c r="F12" s="109" t="s">
        <v>344</v>
      </c>
      <c r="G12" s="112">
        <v>46300</v>
      </c>
      <c r="H12" s="109" t="s">
        <v>4</v>
      </c>
      <c r="I12" s="109" t="s">
        <v>346</v>
      </c>
      <c r="J12" s="109"/>
      <c r="K12" s="109"/>
      <c r="L12" s="109" t="s">
        <v>346</v>
      </c>
      <c r="M12" s="109"/>
      <c r="N12" s="109"/>
      <c r="O12" s="113"/>
      <c r="Q12" s="31"/>
    </row>
    <row r="13" spans="1:18" ht="70.05" customHeight="1" outlineLevel="1">
      <c r="A13" s="109" t="s">
        <v>374</v>
      </c>
      <c r="B13" s="110" t="s">
        <v>375</v>
      </c>
      <c r="C13" s="110" t="s">
        <v>376</v>
      </c>
      <c r="D13" s="111" t="s">
        <v>377</v>
      </c>
      <c r="E13" s="111" t="s">
        <v>373</v>
      </c>
      <c r="F13" s="109" t="s">
        <v>344</v>
      </c>
      <c r="G13" s="112">
        <v>46300</v>
      </c>
      <c r="H13" s="109" t="s">
        <v>4</v>
      </c>
      <c r="I13" s="109" t="s">
        <v>346</v>
      </c>
      <c r="J13" s="109"/>
      <c r="K13" s="109"/>
      <c r="L13" s="109" t="s">
        <v>346</v>
      </c>
      <c r="M13" s="109"/>
      <c r="N13" s="109"/>
      <c r="O13" s="113"/>
      <c r="Q13" s="31"/>
    </row>
    <row r="14" spans="1:18" ht="70.05" customHeight="1" outlineLevel="1">
      <c r="A14" s="109" t="s">
        <v>378</v>
      </c>
      <c r="B14" s="110" t="s">
        <v>379</v>
      </c>
      <c r="C14" s="110" t="s">
        <v>380</v>
      </c>
      <c r="D14" s="111" t="s">
        <v>381</v>
      </c>
      <c r="E14" s="111" t="s">
        <v>373</v>
      </c>
      <c r="F14" s="109" t="s">
        <v>344</v>
      </c>
      <c r="G14" s="112">
        <v>46300</v>
      </c>
      <c r="H14" s="109" t="s">
        <v>4</v>
      </c>
      <c r="I14" s="109" t="s">
        <v>346</v>
      </c>
      <c r="J14" s="109"/>
      <c r="K14" s="109"/>
      <c r="L14" s="109" t="s">
        <v>346</v>
      </c>
      <c r="M14" s="109"/>
      <c r="N14" s="109"/>
      <c r="O14" s="113"/>
      <c r="Q14" s="31"/>
    </row>
    <row r="15" spans="1:18" s="25" customFormat="1" ht="70.05" customHeight="1" outlineLevel="1">
      <c r="A15" s="109" t="s">
        <v>382</v>
      </c>
      <c r="B15" s="110" t="s">
        <v>370</v>
      </c>
      <c r="C15" s="110" t="s">
        <v>371</v>
      </c>
      <c r="D15" s="111" t="s">
        <v>383</v>
      </c>
      <c r="E15" s="111" t="s">
        <v>373</v>
      </c>
      <c r="F15" s="109" t="s">
        <v>344</v>
      </c>
      <c r="G15" s="112">
        <v>46300</v>
      </c>
      <c r="H15" s="109" t="s">
        <v>4</v>
      </c>
      <c r="I15" s="109" t="s">
        <v>346</v>
      </c>
      <c r="J15" s="109"/>
      <c r="K15" s="109"/>
      <c r="L15" s="109" t="s">
        <v>346</v>
      </c>
      <c r="M15" s="109"/>
      <c r="N15" s="109"/>
      <c r="O15" s="113"/>
      <c r="Q15" s="30"/>
    </row>
    <row r="16" spans="1:18" ht="70.05" customHeight="1" outlineLevel="1">
      <c r="A16" s="109" t="s">
        <v>384</v>
      </c>
      <c r="B16" s="110" t="s">
        <v>370</v>
      </c>
      <c r="C16" s="110" t="s">
        <v>371</v>
      </c>
      <c r="D16" s="111" t="s">
        <v>385</v>
      </c>
      <c r="E16" s="111" t="s">
        <v>373</v>
      </c>
      <c r="F16" s="109" t="s">
        <v>344</v>
      </c>
      <c r="G16" s="112">
        <v>46300</v>
      </c>
      <c r="H16" s="109" t="s">
        <v>4</v>
      </c>
      <c r="I16" s="109" t="s">
        <v>346</v>
      </c>
      <c r="J16" s="109"/>
      <c r="K16" s="109"/>
      <c r="L16" s="109" t="s">
        <v>346</v>
      </c>
      <c r="M16" s="109"/>
      <c r="N16" s="109"/>
      <c r="O16" s="113"/>
      <c r="Q16" s="31"/>
    </row>
    <row r="17" spans="1:17" ht="70.05" customHeight="1" outlineLevel="1">
      <c r="A17" s="109" t="s">
        <v>386</v>
      </c>
      <c r="B17" s="110" t="s">
        <v>370</v>
      </c>
      <c r="C17" s="110" t="s">
        <v>371</v>
      </c>
      <c r="D17" s="111" t="s">
        <v>387</v>
      </c>
      <c r="E17" s="111" t="s">
        <v>373</v>
      </c>
      <c r="F17" s="109" t="s">
        <v>344</v>
      </c>
      <c r="G17" s="112">
        <v>46300</v>
      </c>
      <c r="H17" s="109" t="s">
        <v>4</v>
      </c>
      <c r="I17" s="109" t="s">
        <v>346</v>
      </c>
      <c r="J17" s="109"/>
      <c r="K17" s="109"/>
      <c r="L17" s="109" t="s">
        <v>346</v>
      </c>
      <c r="M17" s="109"/>
      <c r="N17" s="109"/>
      <c r="O17" s="113"/>
    </row>
    <row r="18" spans="1:17" s="25" customFormat="1" ht="70.05" customHeight="1" outlineLevel="1">
      <c r="A18" s="109" t="s">
        <v>388</v>
      </c>
      <c r="B18" s="110" t="s">
        <v>370</v>
      </c>
      <c r="C18" s="110" t="s">
        <v>371</v>
      </c>
      <c r="D18" s="111" t="s">
        <v>389</v>
      </c>
      <c r="E18" s="111" t="s">
        <v>373</v>
      </c>
      <c r="F18" s="109" t="s">
        <v>344</v>
      </c>
      <c r="G18" s="112">
        <v>46300</v>
      </c>
      <c r="H18" s="109" t="s">
        <v>4</v>
      </c>
      <c r="I18" s="109" t="s">
        <v>346</v>
      </c>
      <c r="J18" s="109"/>
      <c r="K18" s="109"/>
      <c r="L18" s="109" t="s">
        <v>346</v>
      </c>
      <c r="M18" s="109"/>
      <c r="N18" s="109"/>
      <c r="O18" s="113"/>
      <c r="Q18" s="30"/>
    </row>
    <row r="19" spans="1:17" ht="70.05" customHeight="1" outlineLevel="1">
      <c r="A19" s="109" t="s">
        <v>390</v>
      </c>
      <c r="B19" s="110" t="s">
        <v>391</v>
      </c>
      <c r="C19" s="110" t="s">
        <v>392</v>
      </c>
      <c r="D19" s="111" t="s">
        <v>393</v>
      </c>
      <c r="E19" s="111" t="s">
        <v>373</v>
      </c>
      <c r="F19" s="109" t="s">
        <v>344</v>
      </c>
      <c r="G19" s="112">
        <v>46300</v>
      </c>
      <c r="H19" s="109" t="s">
        <v>4</v>
      </c>
      <c r="I19" s="109" t="s">
        <v>346</v>
      </c>
      <c r="J19" s="109"/>
      <c r="K19" s="109"/>
      <c r="L19" s="109" t="s">
        <v>346</v>
      </c>
      <c r="M19" s="109"/>
      <c r="N19" s="109"/>
      <c r="O19" s="113"/>
      <c r="Q19" s="31"/>
    </row>
    <row r="20" spans="1:17" ht="70.05" customHeight="1" outlineLevel="1">
      <c r="A20" s="109" t="s">
        <v>394</v>
      </c>
      <c r="B20" s="110" t="s">
        <v>395</v>
      </c>
      <c r="C20" s="110" t="s">
        <v>396</v>
      </c>
      <c r="D20" s="111" t="s">
        <v>397</v>
      </c>
      <c r="E20" s="111" t="s">
        <v>373</v>
      </c>
      <c r="F20" s="109" t="s">
        <v>344</v>
      </c>
      <c r="G20" s="112">
        <v>46300</v>
      </c>
      <c r="H20" s="109" t="s">
        <v>4</v>
      </c>
      <c r="I20" s="109" t="s">
        <v>346</v>
      </c>
      <c r="J20" s="109"/>
      <c r="K20" s="109"/>
      <c r="L20" s="109" t="s">
        <v>346</v>
      </c>
      <c r="M20" s="109"/>
      <c r="N20" s="109"/>
      <c r="O20" s="113"/>
    </row>
    <row r="21" spans="1:17" ht="70.05" customHeight="1" outlineLevel="1">
      <c r="A21" s="109" t="s">
        <v>398</v>
      </c>
      <c r="B21" s="110" t="s">
        <v>399</v>
      </c>
      <c r="C21" s="110" t="s">
        <v>400</v>
      </c>
      <c r="D21" s="111" t="s">
        <v>401</v>
      </c>
      <c r="E21" s="111" t="s">
        <v>373</v>
      </c>
      <c r="F21" s="109" t="s">
        <v>344</v>
      </c>
      <c r="G21" s="112">
        <v>46300</v>
      </c>
      <c r="H21" s="109" t="s">
        <v>4</v>
      </c>
      <c r="I21" s="109" t="s">
        <v>346</v>
      </c>
      <c r="J21" s="109"/>
      <c r="K21" s="109"/>
      <c r="L21" s="109" t="s">
        <v>346</v>
      </c>
      <c r="M21" s="109"/>
      <c r="N21" s="109"/>
      <c r="O21" s="113"/>
    </row>
    <row r="22" spans="1:17" ht="70.05" customHeight="1" outlineLevel="1">
      <c r="A22" s="109" t="s">
        <v>402</v>
      </c>
      <c r="B22" s="110" t="s">
        <v>403</v>
      </c>
      <c r="C22" s="110" t="s">
        <v>371</v>
      </c>
      <c r="D22" s="111" t="s">
        <v>404</v>
      </c>
      <c r="E22" s="111" t="s">
        <v>405</v>
      </c>
      <c r="F22" s="109" t="s">
        <v>344</v>
      </c>
      <c r="G22" s="112">
        <v>46300</v>
      </c>
      <c r="H22" s="109" t="s">
        <v>4</v>
      </c>
      <c r="I22" s="109" t="s">
        <v>346</v>
      </c>
      <c r="J22" s="109"/>
      <c r="K22" s="109"/>
      <c r="L22" s="109" t="s">
        <v>346</v>
      </c>
      <c r="M22" s="109"/>
      <c r="N22" s="109"/>
      <c r="O22" s="113"/>
    </row>
    <row r="23" spans="1:17" ht="70.05" customHeight="1" outlineLevel="1">
      <c r="A23" s="109" t="s">
        <v>406</v>
      </c>
      <c r="B23" s="110" t="s">
        <v>407</v>
      </c>
      <c r="C23" s="110" t="s">
        <v>408</v>
      </c>
      <c r="D23" s="111" t="s">
        <v>409</v>
      </c>
      <c r="E23" s="111" t="s">
        <v>405</v>
      </c>
      <c r="F23" s="109" t="s">
        <v>344</v>
      </c>
      <c r="G23" s="112">
        <v>46300</v>
      </c>
      <c r="H23" s="109" t="s">
        <v>4</v>
      </c>
      <c r="I23" s="109" t="s">
        <v>346</v>
      </c>
      <c r="J23" s="109"/>
      <c r="K23" s="109"/>
      <c r="L23" s="109" t="s">
        <v>346</v>
      </c>
      <c r="M23" s="109"/>
      <c r="N23" s="109"/>
      <c r="O23" s="113"/>
    </row>
    <row r="24" spans="1:17" ht="70.05" customHeight="1" outlineLevel="1">
      <c r="A24" s="109" t="s">
        <v>410</v>
      </c>
      <c r="B24" s="110" t="s">
        <v>403</v>
      </c>
      <c r="C24" s="110" t="s">
        <v>371</v>
      </c>
      <c r="D24" s="111" t="s">
        <v>411</v>
      </c>
      <c r="E24" s="111" t="s">
        <v>412</v>
      </c>
      <c r="F24" s="109" t="s">
        <v>344</v>
      </c>
      <c r="G24" s="112">
        <v>46300</v>
      </c>
      <c r="H24" s="109" t="s">
        <v>4</v>
      </c>
      <c r="I24" s="109" t="s">
        <v>346</v>
      </c>
      <c r="J24" s="109"/>
      <c r="K24" s="109"/>
      <c r="L24" s="109" t="s">
        <v>346</v>
      </c>
      <c r="M24" s="109"/>
      <c r="N24" s="109"/>
      <c r="O24" s="113"/>
    </row>
    <row r="25" spans="1:17" ht="70.05" customHeight="1" outlineLevel="1">
      <c r="A25" s="109" t="s">
        <v>413</v>
      </c>
      <c r="B25" s="110" t="s">
        <v>414</v>
      </c>
      <c r="C25" s="110" t="s">
        <v>415</v>
      </c>
      <c r="D25" s="111" t="s">
        <v>416</v>
      </c>
      <c r="E25" s="111" t="s">
        <v>417</v>
      </c>
      <c r="F25" s="109" t="s">
        <v>344</v>
      </c>
      <c r="G25" s="112">
        <v>46300</v>
      </c>
      <c r="H25" s="109" t="s">
        <v>4</v>
      </c>
      <c r="I25" s="109" t="s">
        <v>346</v>
      </c>
      <c r="J25" s="109"/>
      <c r="K25" s="109"/>
      <c r="L25" s="109" t="s">
        <v>346</v>
      </c>
      <c r="M25" s="109"/>
      <c r="N25" s="109"/>
      <c r="O25" s="113"/>
    </row>
    <row r="26" spans="1:17" ht="70.05" customHeight="1" outlineLevel="1">
      <c r="A26" s="109" t="s">
        <v>418</v>
      </c>
      <c r="B26" s="110" t="s">
        <v>419</v>
      </c>
      <c r="C26" s="110" t="s">
        <v>420</v>
      </c>
      <c r="D26" s="111" t="s">
        <v>421</v>
      </c>
      <c r="E26" s="111" t="s">
        <v>417</v>
      </c>
      <c r="F26" s="109" t="s">
        <v>344</v>
      </c>
      <c r="G26" s="112">
        <v>46300</v>
      </c>
      <c r="H26" s="109" t="s">
        <v>4</v>
      </c>
      <c r="I26" s="109" t="s">
        <v>346</v>
      </c>
      <c r="J26" s="109"/>
      <c r="K26" s="109"/>
      <c r="L26" s="109" t="s">
        <v>346</v>
      </c>
      <c r="M26" s="109"/>
      <c r="N26" s="109"/>
      <c r="O26" s="113"/>
    </row>
    <row r="27" spans="1:17" ht="70.05" customHeight="1" outlineLevel="1">
      <c r="A27" s="109" t="s">
        <v>422</v>
      </c>
      <c r="B27" s="110" t="s">
        <v>423</v>
      </c>
      <c r="C27" s="110" t="s">
        <v>424</v>
      </c>
      <c r="D27" s="111" t="s">
        <v>425</v>
      </c>
      <c r="E27" s="111" t="s">
        <v>417</v>
      </c>
      <c r="F27" s="109" t="s">
        <v>344</v>
      </c>
      <c r="G27" s="112">
        <v>46300</v>
      </c>
      <c r="H27" s="109" t="s">
        <v>4</v>
      </c>
      <c r="I27" s="109" t="s">
        <v>346</v>
      </c>
      <c r="J27" s="109"/>
      <c r="K27" s="109"/>
      <c r="L27" s="109" t="s">
        <v>346</v>
      </c>
      <c r="M27" s="109"/>
      <c r="N27" s="109"/>
      <c r="O27" s="113"/>
    </row>
    <row r="28" spans="1:17" ht="70.05" customHeight="1" outlineLevel="1">
      <c r="A28" s="109" t="s">
        <v>426</v>
      </c>
      <c r="B28" s="110" t="s">
        <v>427</v>
      </c>
      <c r="C28" s="110" t="s">
        <v>428</v>
      </c>
      <c r="D28" s="111" t="s">
        <v>429</v>
      </c>
      <c r="E28" s="111" t="s">
        <v>417</v>
      </c>
      <c r="F28" s="109" t="s">
        <v>344</v>
      </c>
      <c r="G28" s="112">
        <v>46300</v>
      </c>
      <c r="H28" s="109" t="s">
        <v>4</v>
      </c>
      <c r="I28" s="109" t="s">
        <v>346</v>
      </c>
      <c r="J28" s="109"/>
      <c r="K28" s="109"/>
      <c r="L28" s="109" t="s">
        <v>346</v>
      </c>
      <c r="M28" s="109"/>
      <c r="N28" s="109"/>
      <c r="O28" s="113"/>
    </row>
    <row r="29" spans="1:17" ht="70.05" customHeight="1" outlineLevel="1">
      <c r="A29" s="109" t="s">
        <v>430</v>
      </c>
      <c r="B29" s="110" t="s">
        <v>431</v>
      </c>
      <c r="C29" s="110" t="s">
        <v>432</v>
      </c>
      <c r="D29" s="111" t="s">
        <v>433</v>
      </c>
      <c r="E29" s="111" t="s">
        <v>417</v>
      </c>
      <c r="F29" s="109" t="s">
        <v>344</v>
      </c>
      <c r="G29" s="112">
        <v>46300</v>
      </c>
      <c r="H29" s="109" t="s">
        <v>4</v>
      </c>
      <c r="I29" s="109" t="s">
        <v>346</v>
      </c>
      <c r="J29" s="109"/>
      <c r="K29" s="109"/>
      <c r="L29" s="109" t="s">
        <v>346</v>
      </c>
      <c r="M29" s="109"/>
      <c r="N29" s="109"/>
      <c r="O29" s="113"/>
    </row>
    <row r="30" spans="1:17" ht="15.75" customHeight="1">
      <c r="A30" s="60" t="s">
        <v>33</v>
      </c>
      <c r="B30" s="60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2"/>
    </row>
    <row r="31" spans="1:17" ht="70.05" customHeight="1" outlineLevel="1">
      <c r="A31" s="109" t="s">
        <v>434</v>
      </c>
      <c r="B31" s="110" t="s">
        <v>435</v>
      </c>
      <c r="C31" s="110" t="s">
        <v>436</v>
      </c>
      <c r="D31" s="111" t="s">
        <v>437</v>
      </c>
      <c r="E31" s="111" t="s">
        <v>438</v>
      </c>
      <c r="F31" s="109" t="s">
        <v>344</v>
      </c>
      <c r="G31" s="112">
        <v>46300</v>
      </c>
      <c r="H31" s="109" t="s">
        <v>4</v>
      </c>
      <c r="I31" s="109" t="s">
        <v>346</v>
      </c>
      <c r="J31" s="109"/>
      <c r="K31" s="109"/>
      <c r="L31" s="109" t="s">
        <v>346</v>
      </c>
      <c r="M31" s="109"/>
      <c r="N31" s="109"/>
      <c r="O31" s="113"/>
    </row>
    <row r="32" spans="1:17" ht="70.05" customHeight="1" outlineLevel="1">
      <c r="A32" s="109" t="s">
        <v>439</v>
      </c>
      <c r="B32" s="110" t="s">
        <v>440</v>
      </c>
      <c r="C32" s="110" t="s">
        <v>441</v>
      </c>
      <c r="D32" s="111" t="s">
        <v>442</v>
      </c>
      <c r="E32" s="111" t="s">
        <v>438</v>
      </c>
      <c r="F32" s="109" t="s">
        <v>344</v>
      </c>
      <c r="G32" s="112">
        <v>46300</v>
      </c>
      <c r="H32" s="109" t="s">
        <v>4</v>
      </c>
      <c r="I32" s="109" t="s">
        <v>346</v>
      </c>
      <c r="J32" s="109"/>
      <c r="K32" s="109"/>
      <c r="L32" s="109" t="s">
        <v>346</v>
      </c>
      <c r="M32" s="109"/>
      <c r="N32" s="109"/>
      <c r="O32" s="113"/>
    </row>
    <row r="33" spans="1:15" ht="70.05" customHeight="1" outlineLevel="1">
      <c r="A33" s="109" t="s">
        <v>443</v>
      </c>
      <c r="B33" s="110" t="s">
        <v>444</v>
      </c>
      <c r="C33" s="110" t="s">
        <v>445</v>
      </c>
      <c r="D33" s="111" t="s">
        <v>446</v>
      </c>
      <c r="E33" s="111" t="s">
        <v>447</v>
      </c>
      <c r="F33" s="109" t="s">
        <v>344</v>
      </c>
      <c r="G33" s="112">
        <v>46300</v>
      </c>
      <c r="H33" s="109" t="s">
        <v>4</v>
      </c>
      <c r="I33" s="109" t="s">
        <v>346</v>
      </c>
      <c r="J33" s="109"/>
      <c r="K33" s="109"/>
      <c r="L33" s="109" t="s">
        <v>346</v>
      </c>
      <c r="M33" s="109"/>
      <c r="N33" s="109"/>
      <c r="O33" s="113"/>
    </row>
    <row r="34" spans="1:15" ht="70.05" customHeight="1" outlineLevel="1">
      <c r="A34" s="109" t="s">
        <v>448</v>
      </c>
      <c r="B34" s="110" t="s">
        <v>435</v>
      </c>
      <c r="C34" s="110" t="s">
        <v>436</v>
      </c>
      <c r="D34" s="111" t="s">
        <v>449</v>
      </c>
      <c r="E34" s="111" t="s">
        <v>438</v>
      </c>
      <c r="F34" s="109" t="s">
        <v>344</v>
      </c>
      <c r="G34" s="112">
        <v>46300</v>
      </c>
      <c r="H34" s="109" t="s">
        <v>4</v>
      </c>
      <c r="I34" s="109" t="s">
        <v>346</v>
      </c>
      <c r="J34" s="109"/>
      <c r="K34" s="109"/>
      <c r="L34" s="109" t="s">
        <v>346</v>
      </c>
      <c r="M34" s="109"/>
      <c r="N34" s="109"/>
      <c r="O34" s="113"/>
    </row>
    <row r="35" spans="1:15" ht="70.05" customHeight="1" outlineLevel="1">
      <c r="A35" s="109" t="s">
        <v>450</v>
      </c>
      <c r="B35" s="110" t="s">
        <v>435</v>
      </c>
      <c r="C35" s="110" t="s">
        <v>436</v>
      </c>
      <c r="D35" s="111" t="s">
        <v>451</v>
      </c>
      <c r="E35" s="111" t="s">
        <v>452</v>
      </c>
      <c r="F35" s="109" t="s">
        <v>344</v>
      </c>
      <c r="G35" s="112">
        <v>46300</v>
      </c>
      <c r="H35" s="109" t="s">
        <v>4</v>
      </c>
      <c r="I35" s="109" t="s">
        <v>346</v>
      </c>
      <c r="J35" s="109"/>
      <c r="K35" s="109"/>
      <c r="L35" s="109" t="s">
        <v>346</v>
      </c>
      <c r="M35" s="109"/>
      <c r="N35" s="109"/>
      <c r="O35" s="113"/>
    </row>
    <row r="36" spans="1:15" ht="70.05" customHeight="1" outlineLevel="1">
      <c r="A36" s="109" t="s">
        <v>453</v>
      </c>
      <c r="B36" s="110" t="s">
        <v>454</v>
      </c>
      <c r="C36" s="110" t="s">
        <v>455</v>
      </c>
      <c r="D36" s="111" t="s">
        <v>456</v>
      </c>
      <c r="E36" s="111" t="s">
        <v>457</v>
      </c>
      <c r="F36" s="109" t="s">
        <v>344</v>
      </c>
      <c r="G36" s="112">
        <v>46300</v>
      </c>
      <c r="H36" s="109" t="s">
        <v>4</v>
      </c>
      <c r="I36" s="109" t="s">
        <v>346</v>
      </c>
      <c r="J36" s="109"/>
      <c r="K36" s="109"/>
      <c r="L36" s="109" t="s">
        <v>346</v>
      </c>
      <c r="M36" s="109"/>
      <c r="N36" s="109"/>
      <c r="O36" s="113"/>
    </row>
    <row r="37" spans="1:15" ht="70.05" customHeight="1" outlineLevel="1">
      <c r="A37" s="109" t="s">
        <v>458</v>
      </c>
      <c r="B37" s="110" t="s">
        <v>435</v>
      </c>
      <c r="C37" s="110" t="s">
        <v>436</v>
      </c>
      <c r="D37" s="111" t="s">
        <v>459</v>
      </c>
      <c r="E37" s="111" t="s">
        <v>460</v>
      </c>
      <c r="F37" s="109" t="s">
        <v>344</v>
      </c>
      <c r="G37" s="112">
        <v>46300</v>
      </c>
      <c r="H37" s="109" t="s">
        <v>4</v>
      </c>
      <c r="I37" s="109" t="s">
        <v>346</v>
      </c>
      <c r="J37" s="109"/>
      <c r="K37" s="109"/>
      <c r="L37" s="109" t="s">
        <v>346</v>
      </c>
      <c r="M37" s="109"/>
      <c r="N37" s="109"/>
      <c r="O37" s="113"/>
    </row>
    <row r="38" spans="1:15" ht="70.05" customHeight="1" outlineLevel="1">
      <c r="A38" s="109" t="s">
        <v>461</v>
      </c>
      <c r="B38" s="110" t="s">
        <v>435</v>
      </c>
      <c r="C38" s="110" t="s">
        <v>436</v>
      </c>
      <c r="D38" s="111" t="s">
        <v>462</v>
      </c>
      <c r="E38" s="111" t="s">
        <v>463</v>
      </c>
      <c r="F38" s="109" t="s">
        <v>344</v>
      </c>
      <c r="G38" s="112">
        <v>46300</v>
      </c>
      <c r="H38" s="109" t="s">
        <v>4</v>
      </c>
      <c r="I38" s="109" t="s">
        <v>346</v>
      </c>
      <c r="J38" s="109"/>
      <c r="K38" s="109"/>
      <c r="L38" s="109" t="s">
        <v>346</v>
      </c>
      <c r="M38" s="109"/>
      <c r="N38" s="109"/>
      <c r="O38" s="113"/>
    </row>
    <row r="39" spans="1:15" ht="70.05" customHeight="1" outlineLevel="1">
      <c r="A39" s="109" t="s">
        <v>464</v>
      </c>
      <c r="B39" s="110" t="s">
        <v>435</v>
      </c>
      <c r="C39" s="110" t="s">
        <v>436</v>
      </c>
      <c r="D39" s="111" t="s">
        <v>465</v>
      </c>
      <c r="E39" s="111" t="s">
        <v>438</v>
      </c>
      <c r="F39" s="109" t="s">
        <v>344</v>
      </c>
      <c r="G39" s="112">
        <v>46300</v>
      </c>
      <c r="H39" s="109" t="s">
        <v>4</v>
      </c>
      <c r="I39" s="109" t="s">
        <v>346</v>
      </c>
      <c r="J39" s="109"/>
      <c r="K39" s="109"/>
      <c r="L39" s="109" t="s">
        <v>346</v>
      </c>
      <c r="M39" s="109"/>
      <c r="N39" s="109"/>
      <c r="O39" s="113"/>
    </row>
    <row r="40" spans="1:15" ht="70.05" customHeight="1" outlineLevel="1">
      <c r="A40" s="109" t="s">
        <v>466</v>
      </c>
      <c r="B40" s="110" t="s">
        <v>467</v>
      </c>
      <c r="C40" s="110" t="s">
        <v>468</v>
      </c>
      <c r="D40" s="111" t="s">
        <v>469</v>
      </c>
      <c r="E40" s="111" t="s">
        <v>438</v>
      </c>
      <c r="F40" s="109" t="s">
        <v>344</v>
      </c>
      <c r="G40" s="112">
        <v>46300</v>
      </c>
      <c r="H40" s="109" t="s">
        <v>4</v>
      </c>
      <c r="I40" s="109" t="s">
        <v>346</v>
      </c>
      <c r="J40" s="109"/>
      <c r="K40" s="109"/>
      <c r="L40" s="109" t="s">
        <v>346</v>
      </c>
      <c r="M40" s="109"/>
      <c r="N40" s="109"/>
      <c r="O40" s="113"/>
    </row>
    <row r="41" spans="1:15" ht="70.05" customHeight="1" outlineLevel="1">
      <c r="A41" s="109" t="s">
        <v>470</v>
      </c>
      <c r="B41" s="110" t="s">
        <v>471</v>
      </c>
      <c r="C41" s="110" t="s">
        <v>472</v>
      </c>
      <c r="D41" s="111" t="s">
        <v>473</v>
      </c>
      <c r="E41" s="111" t="s">
        <v>373</v>
      </c>
      <c r="F41" s="109" t="s">
        <v>344</v>
      </c>
      <c r="G41" s="112">
        <v>46300</v>
      </c>
      <c r="H41" s="109" t="s">
        <v>4</v>
      </c>
      <c r="I41" s="109" t="s">
        <v>346</v>
      </c>
      <c r="J41" s="109"/>
      <c r="K41" s="109"/>
      <c r="L41" s="109" t="s">
        <v>346</v>
      </c>
      <c r="M41" s="109"/>
      <c r="N41" s="109"/>
      <c r="O41" s="113"/>
    </row>
    <row r="42" spans="1:15" ht="70.05" customHeight="1" outlineLevel="1">
      <c r="A42" s="109" t="s">
        <v>474</v>
      </c>
      <c r="B42" s="110" t="s">
        <v>475</v>
      </c>
      <c r="C42" s="110" t="s">
        <v>476</v>
      </c>
      <c r="D42" s="111" t="s">
        <v>473</v>
      </c>
      <c r="E42" s="111" t="s">
        <v>438</v>
      </c>
      <c r="F42" s="109" t="s">
        <v>344</v>
      </c>
      <c r="G42" s="112">
        <v>46300</v>
      </c>
      <c r="H42" s="109" t="s">
        <v>4</v>
      </c>
      <c r="I42" s="109" t="s">
        <v>346</v>
      </c>
      <c r="J42" s="109"/>
      <c r="K42" s="109"/>
      <c r="L42" s="109" t="s">
        <v>346</v>
      </c>
      <c r="M42" s="109"/>
      <c r="N42" s="109"/>
      <c r="O42" s="113"/>
    </row>
    <row r="43" spans="1:15" ht="70.05" customHeight="1" outlineLevel="1">
      <c r="A43" s="109" t="s">
        <v>477</v>
      </c>
      <c r="B43" s="110" t="s">
        <v>478</v>
      </c>
      <c r="C43" s="110" t="s">
        <v>479</v>
      </c>
      <c r="D43" s="111" t="s">
        <v>473</v>
      </c>
      <c r="E43" s="111" t="s">
        <v>480</v>
      </c>
      <c r="F43" s="109" t="s">
        <v>344</v>
      </c>
      <c r="G43" s="112">
        <v>46300</v>
      </c>
      <c r="H43" s="109" t="s">
        <v>4</v>
      </c>
      <c r="I43" s="109" t="s">
        <v>346</v>
      </c>
      <c r="J43" s="109"/>
      <c r="K43" s="109"/>
      <c r="L43" s="109" t="s">
        <v>346</v>
      </c>
      <c r="M43" s="109"/>
      <c r="N43" s="109"/>
      <c r="O43" s="113"/>
    </row>
    <row r="44" spans="1:15" ht="70.05" customHeight="1" outlineLevel="1">
      <c r="A44" s="109" t="s">
        <v>481</v>
      </c>
      <c r="B44" s="110" t="s">
        <v>482</v>
      </c>
      <c r="C44" s="110" t="s">
        <v>436</v>
      </c>
      <c r="D44" s="111" t="s">
        <v>483</v>
      </c>
      <c r="E44" s="111" t="s">
        <v>484</v>
      </c>
      <c r="F44" s="109" t="s">
        <v>344</v>
      </c>
      <c r="G44" s="112">
        <v>46300</v>
      </c>
      <c r="H44" s="109" t="s">
        <v>4</v>
      </c>
      <c r="I44" s="109" t="s">
        <v>346</v>
      </c>
      <c r="J44" s="109"/>
      <c r="K44" s="109"/>
      <c r="L44" s="109" t="s">
        <v>346</v>
      </c>
      <c r="M44" s="109"/>
      <c r="N44" s="109"/>
      <c r="O44" s="113"/>
    </row>
    <row r="45" spans="1:15" ht="70.05" customHeight="1" outlineLevel="1">
      <c r="A45" s="109" t="s">
        <v>485</v>
      </c>
      <c r="B45" s="110" t="s">
        <v>482</v>
      </c>
      <c r="C45" s="110" t="s">
        <v>436</v>
      </c>
      <c r="D45" s="111" t="s">
        <v>486</v>
      </c>
      <c r="E45" s="111" t="s">
        <v>487</v>
      </c>
      <c r="F45" s="109" t="s">
        <v>344</v>
      </c>
      <c r="G45" s="112">
        <v>46300</v>
      </c>
      <c r="H45" s="109" t="s">
        <v>4</v>
      </c>
      <c r="I45" s="109" t="s">
        <v>346</v>
      </c>
      <c r="J45" s="109"/>
      <c r="K45" s="109"/>
      <c r="L45" s="109" t="s">
        <v>346</v>
      </c>
      <c r="M45" s="109"/>
      <c r="N45" s="109"/>
      <c r="O45" s="113"/>
    </row>
    <row r="46" spans="1:15" ht="70.05" customHeight="1" outlineLevel="1">
      <c r="A46" s="109" t="s">
        <v>488</v>
      </c>
      <c r="B46" s="110" t="s">
        <v>482</v>
      </c>
      <c r="C46" s="110" t="s">
        <v>436</v>
      </c>
      <c r="D46" s="111" t="s">
        <v>483</v>
      </c>
      <c r="E46" s="111" t="s">
        <v>489</v>
      </c>
      <c r="F46" s="109" t="s">
        <v>344</v>
      </c>
      <c r="G46" s="112">
        <v>46300</v>
      </c>
      <c r="H46" s="109" t="s">
        <v>4</v>
      </c>
      <c r="I46" s="109" t="s">
        <v>346</v>
      </c>
      <c r="J46" s="109"/>
      <c r="K46" s="109"/>
      <c r="L46" s="109" t="s">
        <v>346</v>
      </c>
      <c r="M46" s="109"/>
      <c r="N46" s="109"/>
      <c r="O46" s="113"/>
    </row>
    <row r="47" spans="1:15" ht="70.05" customHeight="1" outlineLevel="1">
      <c r="A47" s="109" t="s">
        <v>490</v>
      </c>
      <c r="B47" s="110" t="s">
        <v>491</v>
      </c>
      <c r="C47" s="110" t="s">
        <v>492</v>
      </c>
      <c r="D47" s="111" t="s">
        <v>493</v>
      </c>
      <c r="E47" s="111" t="s">
        <v>417</v>
      </c>
      <c r="F47" s="109" t="s">
        <v>344</v>
      </c>
      <c r="G47" s="112">
        <v>46300</v>
      </c>
      <c r="H47" s="109" t="s">
        <v>4</v>
      </c>
      <c r="I47" s="109" t="s">
        <v>346</v>
      </c>
      <c r="J47" s="109"/>
      <c r="K47" s="109"/>
      <c r="L47" s="109" t="s">
        <v>346</v>
      </c>
      <c r="M47" s="109"/>
      <c r="N47" s="109"/>
      <c r="O47" s="113"/>
    </row>
    <row r="48" spans="1:15" ht="70.05" customHeight="1" outlineLevel="1">
      <c r="A48" s="109" t="s">
        <v>494</v>
      </c>
      <c r="B48" s="110" t="s">
        <v>495</v>
      </c>
      <c r="C48" s="110" t="s">
        <v>496</v>
      </c>
      <c r="D48" s="111" t="s">
        <v>429</v>
      </c>
      <c r="E48" s="111" t="s">
        <v>417</v>
      </c>
      <c r="F48" s="109" t="s">
        <v>344</v>
      </c>
      <c r="G48" s="112">
        <v>46300</v>
      </c>
      <c r="H48" s="109" t="s">
        <v>4</v>
      </c>
      <c r="I48" s="109" t="s">
        <v>346</v>
      </c>
      <c r="J48" s="109"/>
      <c r="K48" s="109"/>
      <c r="L48" s="109" t="s">
        <v>346</v>
      </c>
      <c r="M48" s="109"/>
      <c r="N48" s="109"/>
      <c r="O48" s="113"/>
    </row>
    <row r="49" spans="1:15" ht="15.75" customHeight="1">
      <c r="A49" s="60" t="s">
        <v>36</v>
      </c>
      <c r="B49" s="60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2"/>
    </row>
    <row r="50" spans="1:15" ht="70.05" customHeight="1" outlineLevel="1">
      <c r="A50" s="109" t="s">
        <v>497</v>
      </c>
      <c r="B50" s="110" t="s">
        <v>498</v>
      </c>
      <c r="C50" s="110" t="s">
        <v>499</v>
      </c>
      <c r="D50" s="111" t="s">
        <v>500</v>
      </c>
      <c r="E50" s="111" t="s">
        <v>501</v>
      </c>
      <c r="F50" s="109" t="s">
        <v>344</v>
      </c>
      <c r="G50" s="112">
        <v>46300</v>
      </c>
      <c r="H50" s="109" t="s">
        <v>4</v>
      </c>
      <c r="I50" s="109" t="s">
        <v>346</v>
      </c>
      <c r="J50" s="109"/>
      <c r="K50" s="109"/>
      <c r="L50" s="109" t="s">
        <v>346</v>
      </c>
      <c r="M50" s="109"/>
      <c r="N50" s="109"/>
      <c r="O50" s="113"/>
    </row>
    <row r="51" spans="1:15" ht="70.05" customHeight="1" outlineLevel="1">
      <c r="A51" s="109" t="s">
        <v>502</v>
      </c>
      <c r="B51" s="110" t="s">
        <v>498</v>
      </c>
      <c r="C51" s="110" t="s">
        <v>499</v>
      </c>
      <c r="D51" s="111" t="s">
        <v>503</v>
      </c>
      <c r="E51" s="111" t="s">
        <v>504</v>
      </c>
      <c r="F51" s="109" t="s">
        <v>344</v>
      </c>
      <c r="G51" s="112">
        <v>46300</v>
      </c>
      <c r="H51" s="109" t="s">
        <v>4</v>
      </c>
      <c r="I51" s="109" t="s">
        <v>346</v>
      </c>
      <c r="J51" s="109"/>
      <c r="K51" s="109"/>
      <c r="L51" s="109" t="s">
        <v>346</v>
      </c>
      <c r="M51" s="109"/>
      <c r="N51" s="109"/>
      <c r="O51" s="113"/>
    </row>
    <row r="52" spans="1:15" ht="70.05" customHeight="1" outlineLevel="1">
      <c r="A52" s="109" t="s">
        <v>505</v>
      </c>
      <c r="B52" s="110" t="s">
        <v>498</v>
      </c>
      <c r="C52" s="110" t="s">
        <v>499</v>
      </c>
      <c r="D52" s="111" t="s">
        <v>506</v>
      </c>
      <c r="E52" s="111" t="s">
        <v>507</v>
      </c>
      <c r="F52" s="109" t="s">
        <v>344</v>
      </c>
      <c r="G52" s="112">
        <v>46300</v>
      </c>
      <c r="H52" s="109" t="s">
        <v>4</v>
      </c>
      <c r="I52" s="109" t="s">
        <v>346</v>
      </c>
      <c r="J52" s="109"/>
      <c r="K52" s="109"/>
      <c r="L52" s="109" t="s">
        <v>346</v>
      </c>
      <c r="M52" s="109"/>
      <c r="N52" s="109"/>
      <c r="O52" s="113"/>
    </row>
    <row r="53" spans="1:15" ht="70.05" customHeight="1" outlineLevel="1">
      <c r="A53" s="109" t="s">
        <v>508</v>
      </c>
      <c r="B53" s="110" t="s">
        <v>498</v>
      </c>
      <c r="C53" s="110" t="s">
        <v>499</v>
      </c>
      <c r="D53" s="111" t="s">
        <v>509</v>
      </c>
      <c r="E53" s="111" t="s">
        <v>510</v>
      </c>
      <c r="F53" s="109" t="s">
        <v>344</v>
      </c>
      <c r="G53" s="112">
        <v>46300</v>
      </c>
      <c r="H53" s="109" t="s">
        <v>4</v>
      </c>
      <c r="I53" s="109" t="s">
        <v>346</v>
      </c>
      <c r="J53" s="109"/>
      <c r="K53" s="109"/>
      <c r="L53" s="109" t="s">
        <v>346</v>
      </c>
      <c r="M53" s="109"/>
      <c r="N53" s="109"/>
      <c r="O53" s="113"/>
    </row>
    <row r="54" spans="1:15" ht="70.05" customHeight="1" outlineLevel="1">
      <c r="A54" s="109" t="s">
        <v>511</v>
      </c>
      <c r="B54" s="110" t="s">
        <v>512</v>
      </c>
      <c r="C54" s="110" t="s">
        <v>513</v>
      </c>
      <c r="D54" s="111" t="s">
        <v>514</v>
      </c>
      <c r="E54" s="111" t="s">
        <v>515</v>
      </c>
      <c r="F54" s="109" t="s">
        <v>344</v>
      </c>
      <c r="G54" s="112">
        <v>46300</v>
      </c>
      <c r="H54" s="109" t="s">
        <v>4</v>
      </c>
      <c r="I54" s="109" t="s">
        <v>346</v>
      </c>
      <c r="J54" s="109"/>
      <c r="K54" s="109"/>
      <c r="L54" s="109" t="s">
        <v>346</v>
      </c>
      <c r="M54" s="109"/>
      <c r="N54" s="109"/>
      <c r="O54" s="113"/>
    </row>
    <row r="55" spans="1:15" ht="70.05" customHeight="1" outlineLevel="1">
      <c r="A55" s="109" t="s">
        <v>516</v>
      </c>
      <c r="B55" s="110" t="s">
        <v>498</v>
      </c>
      <c r="C55" s="110" t="s">
        <v>499</v>
      </c>
      <c r="D55" s="111" t="s">
        <v>517</v>
      </c>
      <c r="E55" s="111" t="s">
        <v>501</v>
      </c>
      <c r="F55" s="109" t="s">
        <v>344</v>
      </c>
      <c r="G55" s="112">
        <v>46300</v>
      </c>
      <c r="H55" s="109" t="s">
        <v>4</v>
      </c>
      <c r="I55" s="109" t="s">
        <v>346</v>
      </c>
      <c r="J55" s="109"/>
      <c r="K55" s="109"/>
      <c r="L55" s="109" t="s">
        <v>346</v>
      </c>
      <c r="M55" s="109"/>
      <c r="N55" s="109"/>
      <c r="O55" s="113"/>
    </row>
    <row r="56" spans="1:15" ht="70.05" customHeight="1" outlineLevel="1">
      <c r="A56" s="109" t="s">
        <v>518</v>
      </c>
      <c r="B56" s="110" t="s">
        <v>498</v>
      </c>
      <c r="C56" s="110" t="s">
        <v>499</v>
      </c>
      <c r="D56" s="111" t="s">
        <v>519</v>
      </c>
      <c r="E56" s="111" t="s">
        <v>520</v>
      </c>
      <c r="F56" s="109" t="s">
        <v>344</v>
      </c>
      <c r="G56" s="112">
        <v>46300</v>
      </c>
      <c r="H56" s="109" t="s">
        <v>4</v>
      </c>
      <c r="I56" s="109" t="s">
        <v>346</v>
      </c>
      <c r="J56" s="109"/>
      <c r="K56" s="109"/>
      <c r="L56" s="109" t="s">
        <v>346</v>
      </c>
      <c r="M56" s="109"/>
      <c r="N56" s="109"/>
      <c r="O56" s="113"/>
    </row>
    <row r="57" spans="1:15" ht="70.05" customHeight="1" outlineLevel="1">
      <c r="A57" s="109" t="s">
        <v>521</v>
      </c>
      <c r="B57" s="110" t="s">
        <v>498</v>
      </c>
      <c r="C57" s="110" t="s">
        <v>499</v>
      </c>
      <c r="D57" s="111" t="s">
        <v>522</v>
      </c>
      <c r="E57" s="111" t="s">
        <v>523</v>
      </c>
      <c r="F57" s="109" t="s">
        <v>344</v>
      </c>
      <c r="G57" s="112">
        <v>46300</v>
      </c>
      <c r="H57" s="109" t="s">
        <v>4</v>
      </c>
      <c r="I57" s="109" t="s">
        <v>346</v>
      </c>
      <c r="J57" s="109"/>
      <c r="K57" s="109"/>
      <c r="L57" s="109" t="s">
        <v>346</v>
      </c>
      <c r="M57" s="109"/>
      <c r="N57" s="109"/>
      <c r="O57" s="113"/>
    </row>
    <row r="58" spans="1:15" ht="70.05" customHeight="1" outlineLevel="1">
      <c r="A58" s="109" t="s">
        <v>524</v>
      </c>
      <c r="B58" s="110" t="s">
        <v>525</v>
      </c>
      <c r="C58" s="110" t="s">
        <v>499</v>
      </c>
      <c r="D58" s="111" t="s">
        <v>526</v>
      </c>
      <c r="E58" s="111" t="s">
        <v>527</v>
      </c>
      <c r="F58" s="109" t="s">
        <v>344</v>
      </c>
      <c r="G58" s="112">
        <v>46300</v>
      </c>
      <c r="H58" s="109" t="s">
        <v>4</v>
      </c>
      <c r="I58" s="109" t="s">
        <v>346</v>
      </c>
      <c r="J58" s="109"/>
      <c r="K58" s="109"/>
      <c r="L58" s="109" t="s">
        <v>346</v>
      </c>
      <c r="M58" s="109"/>
      <c r="N58" s="109"/>
      <c r="O58" s="113"/>
    </row>
    <row r="59" spans="1:15" ht="70.05" customHeight="1" outlineLevel="1">
      <c r="A59" s="109" t="s">
        <v>528</v>
      </c>
      <c r="B59" s="110" t="s">
        <v>529</v>
      </c>
      <c r="C59" s="110" t="s">
        <v>513</v>
      </c>
      <c r="D59" s="111" t="s">
        <v>530</v>
      </c>
      <c r="E59" s="111" t="s">
        <v>531</v>
      </c>
      <c r="F59" s="109" t="s">
        <v>344</v>
      </c>
      <c r="G59" s="112">
        <v>46300</v>
      </c>
      <c r="H59" s="109" t="s">
        <v>4</v>
      </c>
      <c r="I59" s="109" t="s">
        <v>346</v>
      </c>
      <c r="J59" s="109"/>
      <c r="K59" s="109"/>
      <c r="L59" s="109" t="s">
        <v>346</v>
      </c>
      <c r="M59" s="109"/>
      <c r="N59" s="109"/>
      <c r="O59" s="113"/>
    </row>
    <row r="60" spans="1:15" ht="70.05" customHeight="1" outlineLevel="1">
      <c r="A60" s="109" t="s">
        <v>532</v>
      </c>
      <c r="B60" s="110" t="s">
        <v>533</v>
      </c>
      <c r="C60" s="110" t="s">
        <v>534</v>
      </c>
      <c r="D60" s="111" t="s">
        <v>535</v>
      </c>
      <c r="E60" s="111" t="s">
        <v>536</v>
      </c>
      <c r="F60" s="109" t="s">
        <v>344</v>
      </c>
      <c r="G60" s="112">
        <v>46300</v>
      </c>
      <c r="H60" s="109" t="s">
        <v>4</v>
      </c>
      <c r="I60" s="109" t="s">
        <v>346</v>
      </c>
      <c r="J60" s="109"/>
      <c r="K60" s="109"/>
      <c r="L60" s="109" t="s">
        <v>346</v>
      </c>
      <c r="M60" s="109"/>
      <c r="N60" s="109"/>
      <c r="O60" s="113"/>
    </row>
    <row r="61" spans="1:15" ht="70.05" customHeight="1" outlineLevel="1">
      <c r="A61" s="109" t="s">
        <v>537</v>
      </c>
      <c r="B61" s="110" t="s">
        <v>538</v>
      </c>
      <c r="C61" s="110" t="s">
        <v>539</v>
      </c>
      <c r="D61" s="111" t="s">
        <v>535</v>
      </c>
      <c r="E61" s="111" t="s">
        <v>540</v>
      </c>
      <c r="F61" s="109" t="s">
        <v>344</v>
      </c>
      <c r="G61" s="112">
        <v>46300</v>
      </c>
      <c r="H61" s="109" t="s">
        <v>4</v>
      </c>
      <c r="I61" s="109" t="s">
        <v>346</v>
      </c>
      <c r="J61" s="109"/>
      <c r="K61" s="109"/>
      <c r="L61" s="109" t="s">
        <v>346</v>
      </c>
      <c r="M61" s="109"/>
      <c r="N61" s="109"/>
      <c r="O61" s="113"/>
    </row>
    <row r="62" spans="1:15" ht="70.05" customHeight="1" outlineLevel="1">
      <c r="A62" s="109" t="s">
        <v>541</v>
      </c>
      <c r="B62" s="110" t="s">
        <v>542</v>
      </c>
      <c r="C62" s="110" t="s">
        <v>543</v>
      </c>
      <c r="D62" s="111" t="s">
        <v>544</v>
      </c>
      <c r="E62" s="111" t="s">
        <v>545</v>
      </c>
      <c r="F62" s="109" t="s">
        <v>344</v>
      </c>
      <c r="G62" s="112">
        <v>46300</v>
      </c>
      <c r="H62" s="109" t="s">
        <v>4</v>
      </c>
      <c r="I62" s="109" t="s">
        <v>346</v>
      </c>
      <c r="J62" s="109"/>
      <c r="K62" s="109"/>
      <c r="L62" s="109" t="s">
        <v>346</v>
      </c>
      <c r="M62" s="109"/>
      <c r="N62" s="109"/>
      <c r="O62" s="113"/>
    </row>
    <row r="63" spans="1:15" ht="70.05" customHeight="1" outlineLevel="1">
      <c r="A63" s="109" t="s">
        <v>546</v>
      </c>
      <c r="B63" s="110" t="s">
        <v>547</v>
      </c>
      <c r="C63" s="110" t="s">
        <v>548</v>
      </c>
      <c r="D63" s="111" t="s">
        <v>544</v>
      </c>
      <c r="E63" s="111" t="s">
        <v>545</v>
      </c>
      <c r="F63" s="109" t="s">
        <v>344</v>
      </c>
      <c r="G63" s="112">
        <v>46300</v>
      </c>
      <c r="H63" s="109" t="s">
        <v>4</v>
      </c>
      <c r="I63" s="109" t="s">
        <v>346</v>
      </c>
      <c r="J63" s="109"/>
      <c r="K63" s="109"/>
      <c r="L63" s="109" t="s">
        <v>346</v>
      </c>
      <c r="M63" s="109"/>
      <c r="N63" s="109"/>
      <c r="O63" s="113"/>
    </row>
    <row r="64" spans="1:15" ht="70.05" customHeight="1" outlineLevel="1">
      <c r="A64" s="109" t="s">
        <v>549</v>
      </c>
      <c r="B64" s="110" t="s">
        <v>550</v>
      </c>
      <c r="C64" s="110" t="s">
        <v>499</v>
      </c>
      <c r="D64" s="111" t="s">
        <v>483</v>
      </c>
      <c r="E64" s="111" t="s">
        <v>551</v>
      </c>
      <c r="F64" s="109" t="s">
        <v>344</v>
      </c>
      <c r="G64" s="112">
        <v>46300</v>
      </c>
      <c r="H64" s="109" t="s">
        <v>4</v>
      </c>
      <c r="I64" s="109" t="s">
        <v>346</v>
      </c>
      <c r="J64" s="109"/>
      <c r="K64" s="109"/>
      <c r="L64" s="109" t="s">
        <v>346</v>
      </c>
      <c r="M64" s="109"/>
      <c r="N64" s="109"/>
      <c r="O64" s="113"/>
    </row>
    <row r="65" spans="1:15" ht="70.05" customHeight="1" outlineLevel="1">
      <c r="A65" s="109" t="s">
        <v>552</v>
      </c>
      <c r="B65" s="110" t="s">
        <v>550</v>
      </c>
      <c r="C65" s="110" t="s">
        <v>499</v>
      </c>
      <c r="D65" s="111" t="s">
        <v>483</v>
      </c>
      <c r="E65" s="111" t="s">
        <v>553</v>
      </c>
      <c r="F65" s="109" t="s">
        <v>344</v>
      </c>
      <c r="G65" s="112">
        <v>46300</v>
      </c>
      <c r="H65" s="109" t="s">
        <v>4</v>
      </c>
      <c r="I65" s="109" t="s">
        <v>346</v>
      </c>
      <c r="J65" s="109"/>
      <c r="K65" s="109"/>
      <c r="L65" s="109" t="s">
        <v>346</v>
      </c>
      <c r="M65" s="109"/>
      <c r="N65" s="109"/>
      <c r="O65" s="113"/>
    </row>
    <row r="66" spans="1:15" ht="70.05" customHeight="1" outlineLevel="1">
      <c r="A66" s="109" t="s">
        <v>554</v>
      </c>
      <c r="B66" s="110" t="s">
        <v>555</v>
      </c>
      <c r="C66" s="110" t="s">
        <v>513</v>
      </c>
      <c r="D66" s="111" t="s">
        <v>556</v>
      </c>
      <c r="E66" s="111" t="s">
        <v>557</v>
      </c>
      <c r="F66" s="109" t="s">
        <v>344</v>
      </c>
      <c r="G66" s="112">
        <v>46300</v>
      </c>
      <c r="H66" s="109" t="s">
        <v>4</v>
      </c>
      <c r="I66" s="109" t="s">
        <v>346</v>
      </c>
      <c r="J66" s="109"/>
      <c r="K66" s="109"/>
      <c r="L66" s="109" t="s">
        <v>346</v>
      </c>
      <c r="M66" s="109"/>
      <c r="N66" s="109"/>
      <c r="O66" s="113"/>
    </row>
    <row r="67" spans="1:15" ht="70.05" customHeight="1" outlineLevel="1">
      <c r="A67" s="109" t="s">
        <v>558</v>
      </c>
      <c r="B67" s="110" t="s">
        <v>555</v>
      </c>
      <c r="C67" s="110" t="s">
        <v>513</v>
      </c>
      <c r="D67" s="111" t="s">
        <v>559</v>
      </c>
      <c r="E67" s="111" t="s">
        <v>560</v>
      </c>
      <c r="F67" s="109" t="s">
        <v>344</v>
      </c>
      <c r="G67" s="112">
        <v>46300</v>
      </c>
      <c r="H67" s="109" t="s">
        <v>4</v>
      </c>
      <c r="I67" s="109" t="s">
        <v>346</v>
      </c>
      <c r="J67" s="109"/>
      <c r="K67" s="109"/>
      <c r="L67" s="109" t="s">
        <v>346</v>
      </c>
      <c r="M67" s="109"/>
      <c r="N67" s="109"/>
      <c r="O67" s="113"/>
    </row>
    <row r="68" spans="1:15" ht="70.05" customHeight="1" outlineLevel="1">
      <c r="A68" s="109" t="s">
        <v>561</v>
      </c>
      <c r="B68" s="110" t="s">
        <v>555</v>
      </c>
      <c r="C68" s="110" t="s">
        <v>513</v>
      </c>
      <c r="D68" s="111" t="s">
        <v>562</v>
      </c>
      <c r="E68" s="111" t="s">
        <v>563</v>
      </c>
      <c r="F68" s="109" t="s">
        <v>344</v>
      </c>
      <c r="G68" s="112">
        <v>46300</v>
      </c>
      <c r="H68" s="109" t="s">
        <v>4</v>
      </c>
      <c r="I68" s="109" t="s">
        <v>346</v>
      </c>
      <c r="J68" s="109"/>
      <c r="K68" s="109"/>
      <c r="L68" s="109" t="s">
        <v>346</v>
      </c>
      <c r="M68" s="109"/>
      <c r="N68" s="109"/>
      <c r="O68" s="113"/>
    </row>
    <row r="69" spans="1:15" ht="15.75" customHeight="1">
      <c r="A69" s="60" t="s">
        <v>39</v>
      </c>
      <c r="B69" s="60"/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2"/>
    </row>
    <row r="70" spans="1:15" ht="70.05" customHeight="1" outlineLevel="1">
      <c r="A70" s="109" t="s">
        <v>564</v>
      </c>
      <c r="B70" s="110" t="s">
        <v>565</v>
      </c>
      <c r="C70" s="110" t="s">
        <v>566</v>
      </c>
      <c r="D70" s="111" t="s">
        <v>567</v>
      </c>
      <c r="E70" s="111" t="s">
        <v>568</v>
      </c>
      <c r="F70" s="109" t="s">
        <v>344</v>
      </c>
      <c r="G70" s="112">
        <v>46300</v>
      </c>
      <c r="H70" s="109" t="s">
        <v>4</v>
      </c>
      <c r="I70" s="109" t="s">
        <v>346</v>
      </c>
      <c r="J70" s="109"/>
      <c r="K70" s="109"/>
      <c r="L70" s="109" t="s">
        <v>346</v>
      </c>
      <c r="M70" s="109"/>
      <c r="N70" s="109"/>
      <c r="O70" s="113"/>
    </row>
    <row r="71" spans="1:15" ht="70.05" customHeight="1" outlineLevel="1">
      <c r="A71" s="109" t="s">
        <v>569</v>
      </c>
      <c r="B71" s="110" t="s">
        <v>565</v>
      </c>
      <c r="C71" s="110" t="s">
        <v>566</v>
      </c>
      <c r="D71" s="111" t="s">
        <v>570</v>
      </c>
      <c r="E71" s="111" t="s">
        <v>568</v>
      </c>
      <c r="F71" s="109" t="s">
        <v>344</v>
      </c>
      <c r="G71" s="112">
        <v>46300</v>
      </c>
      <c r="H71" s="109" t="s">
        <v>4</v>
      </c>
      <c r="I71" s="109" t="s">
        <v>346</v>
      </c>
      <c r="J71" s="109"/>
      <c r="K71" s="109"/>
      <c r="L71" s="109" t="s">
        <v>346</v>
      </c>
      <c r="M71" s="109"/>
      <c r="N71" s="109"/>
      <c r="O71" s="113"/>
    </row>
    <row r="72" spans="1:15" ht="70.05" customHeight="1" outlineLevel="1">
      <c r="A72" s="109" t="s">
        <v>571</v>
      </c>
      <c r="B72" s="110" t="s">
        <v>565</v>
      </c>
      <c r="C72" s="110" t="s">
        <v>566</v>
      </c>
      <c r="D72" s="111" t="s">
        <v>572</v>
      </c>
      <c r="E72" s="111" t="s">
        <v>568</v>
      </c>
      <c r="F72" s="109" t="s">
        <v>344</v>
      </c>
      <c r="G72" s="112">
        <v>46300</v>
      </c>
      <c r="H72" s="109" t="s">
        <v>4</v>
      </c>
      <c r="I72" s="109" t="s">
        <v>346</v>
      </c>
      <c r="J72" s="109"/>
      <c r="K72" s="109"/>
      <c r="L72" s="109" t="s">
        <v>346</v>
      </c>
      <c r="M72" s="109"/>
      <c r="N72" s="109"/>
      <c r="O72" s="113"/>
    </row>
    <row r="73" spans="1:15" ht="70.05" customHeight="1" outlineLevel="1">
      <c r="A73" s="109" t="s">
        <v>573</v>
      </c>
      <c r="B73" s="110" t="s">
        <v>565</v>
      </c>
      <c r="C73" s="110" t="s">
        <v>566</v>
      </c>
      <c r="D73" s="111" t="s">
        <v>574</v>
      </c>
      <c r="E73" s="111" t="s">
        <v>568</v>
      </c>
      <c r="F73" s="109" t="s">
        <v>344</v>
      </c>
      <c r="G73" s="112">
        <v>46300</v>
      </c>
      <c r="H73" s="109" t="s">
        <v>4</v>
      </c>
      <c r="I73" s="109" t="s">
        <v>346</v>
      </c>
      <c r="J73" s="109"/>
      <c r="K73" s="109"/>
      <c r="L73" s="109" t="s">
        <v>346</v>
      </c>
      <c r="M73" s="109"/>
      <c r="N73" s="109"/>
      <c r="O73" s="113"/>
    </row>
    <row r="74" spans="1:15" ht="70.05" customHeight="1" outlineLevel="1">
      <c r="A74" s="109" t="s">
        <v>575</v>
      </c>
      <c r="B74" s="110" t="s">
        <v>565</v>
      </c>
      <c r="C74" s="110" t="s">
        <v>566</v>
      </c>
      <c r="D74" s="111" t="s">
        <v>576</v>
      </c>
      <c r="E74" s="111" t="s">
        <v>577</v>
      </c>
      <c r="F74" s="109" t="s">
        <v>344</v>
      </c>
      <c r="G74" s="112">
        <v>46300</v>
      </c>
      <c r="H74" s="109" t="s">
        <v>4</v>
      </c>
      <c r="I74" s="109" t="s">
        <v>346</v>
      </c>
      <c r="J74" s="109"/>
      <c r="K74" s="109"/>
      <c r="L74" s="109" t="s">
        <v>346</v>
      </c>
      <c r="M74" s="109"/>
      <c r="N74" s="109"/>
      <c r="O74" s="113"/>
    </row>
    <row r="75" spans="1:15" ht="70.05" customHeight="1" outlineLevel="1">
      <c r="A75" s="109" t="s">
        <v>578</v>
      </c>
      <c r="B75" s="110" t="s">
        <v>565</v>
      </c>
      <c r="C75" s="110" t="s">
        <v>566</v>
      </c>
      <c r="D75" s="111" t="s">
        <v>579</v>
      </c>
      <c r="E75" s="111" t="s">
        <v>580</v>
      </c>
      <c r="F75" s="109" t="s">
        <v>344</v>
      </c>
      <c r="G75" s="112">
        <v>46300</v>
      </c>
      <c r="H75" s="109" t="s">
        <v>4</v>
      </c>
      <c r="I75" s="109" t="s">
        <v>346</v>
      </c>
      <c r="J75" s="109"/>
      <c r="K75" s="109"/>
      <c r="L75" s="109" t="s">
        <v>346</v>
      </c>
      <c r="M75" s="109"/>
      <c r="N75" s="109"/>
      <c r="O75" s="113"/>
    </row>
    <row r="76" spans="1:15" ht="70.05" customHeight="1" outlineLevel="1">
      <c r="A76" s="109" t="s">
        <v>581</v>
      </c>
      <c r="B76" s="110" t="s">
        <v>582</v>
      </c>
      <c r="C76" s="110" t="s">
        <v>583</v>
      </c>
      <c r="D76" s="111" t="s">
        <v>584</v>
      </c>
      <c r="E76" s="111" t="s">
        <v>568</v>
      </c>
      <c r="F76" s="109" t="s">
        <v>344</v>
      </c>
      <c r="G76" s="112">
        <v>46300</v>
      </c>
      <c r="H76" s="109" t="s">
        <v>4</v>
      </c>
      <c r="I76" s="109" t="s">
        <v>346</v>
      </c>
      <c r="J76" s="109"/>
      <c r="K76" s="109"/>
      <c r="L76" s="109" t="s">
        <v>346</v>
      </c>
      <c r="M76" s="109"/>
      <c r="N76" s="109"/>
      <c r="O76" s="113"/>
    </row>
    <row r="77" spans="1:15" ht="70.05" customHeight="1" outlineLevel="1">
      <c r="A77" s="109" t="s">
        <v>585</v>
      </c>
      <c r="B77" s="110" t="s">
        <v>586</v>
      </c>
      <c r="C77" s="110" t="s">
        <v>587</v>
      </c>
      <c r="D77" s="111" t="s">
        <v>588</v>
      </c>
      <c r="E77" s="111" t="s">
        <v>589</v>
      </c>
      <c r="F77" s="109" t="s">
        <v>344</v>
      </c>
      <c r="G77" s="112">
        <v>46300</v>
      </c>
      <c r="H77" s="109" t="s">
        <v>4</v>
      </c>
      <c r="I77" s="109" t="s">
        <v>346</v>
      </c>
      <c r="J77" s="109"/>
      <c r="K77" s="109"/>
      <c r="L77" s="109" t="s">
        <v>346</v>
      </c>
      <c r="M77" s="109"/>
      <c r="N77" s="109"/>
      <c r="O77" s="113"/>
    </row>
    <row r="78" spans="1:15" ht="70.05" customHeight="1" outlineLevel="1">
      <c r="A78" s="109" t="s">
        <v>590</v>
      </c>
      <c r="B78" s="110" t="s">
        <v>591</v>
      </c>
      <c r="C78" s="110" t="s">
        <v>592</v>
      </c>
      <c r="D78" s="111" t="s">
        <v>593</v>
      </c>
      <c r="E78" s="111" t="s">
        <v>568</v>
      </c>
      <c r="F78" s="109" t="s">
        <v>344</v>
      </c>
      <c r="G78" s="112">
        <v>46300</v>
      </c>
      <c r="H78" s="109" t="s">
        <v>4</v>
      </c>
      <c r="I78" s="109" t="s">
        <v>346</v>
      </c>
      <c r="J78" s="109"/>
      <c r="K78" s="109"/>
      <c r="L78" s="109" t="s">
        <v>346</v>
      </c>
      <c r="M78" s="109"/>
      <c r="N78" s="109"/>
      <c r="O78" s="113"/>
    </row>
    <row r="79" spans="1:15" ht="70.05" customHeight="1" outlineLevel="1">
      <c r="A79" s="109" t="s">
        <v>594</v>
      </c>
      <c r="B79" s="110" t="s">
        <v>595</v>
      </c>
      <c r="C79" s="110" t="s">
        <v>596</v>
      </c>
      <c r="D79" s="111" t="s">
        <v>401</v>
      </c>
      <c r="E79" s="111" t="s">
        <v>568</v>
      </c>
      <c r="F79" s="109" t="s">
        <v>344</v>
      </c>
      <c r="G79" s="112">
        <v>46300</v>
      </c>
      <c r="H79" s="109" t="s">
        <v>4</v>
      </c>
      <c r="I79" s="109" t="s">
        <v>346</v>
      </c>
      <c r="J79" s="109"/>
      <c r="K79" s="109"/>
      <c r="L79" s="109" t="s">
        <v>346</v>
      </c>
      <c r="M79" s="109"/>
      <c r="N79" s="109"/>
      <c r="O79" s="113"/>
    </row>
    <row r="80" spans="1:15" ht="70.05" customHeight="1" outlineLevel="1">
      <c r="A80" s="109" t="s">
        <v>597</v>
      </c>
      <c r="B80" s="110" t="s">
        <v>598</v>
      </c>
      <c r="C80" s="110" t="s">
        <v>599</v>
      </c>
      <c r="D80" s="111" t="s">
        <v>600</v>
      </c>
      <c r="E80" s="111" t="s">
        <v>601</v>
      </c>
      <c r="F80" s="109" t="s">
        <v>344</v>
      </c>
      <c r="G80" s="112">
        <v>46300</v>
      </c>
      <c r="H80" s="109" t="s">
        <v>4</v>
      </c>
      <c r="I80" s="109" t="s">
        <v>346</v>
      </c>
      <c r="J80" s="109"/>
      <c r="K80" s="109"/>
      <c r="L80" s="109" t="s">
        <v>346</v>
      </c>
      <c r="M80" s="109"/>
      <c r="N80" s="109"/>
      <c r="O80" s="113"/>
    </row>
    <row r="81" spans="1:15" ht="70.05" customHeight="1" outlineLevel="1">
      <c r="A81" s="109" t="s">
        <v>602</v>
      </c>
      <c r="B81" s="110" t="s">
        <v>603</v>
      </c>
      <c r="C81" s="110" t="s">
        <v>604</v>
      </c>
      <c r="D81" s="111" t="s">
        <v>600</v>
      </c>
      <c r="E81" s="111" t="s">
        <v>605</v>
      </c>
      <c r="F81" s="109" t="s">
        <v>344</v>
      </c>
      <c r="G81" s="112">
        <v>46300</v>
      </c>
      <c r="H81" s="109" t="s">
        <v>4</v>
      </c>
      <c r="I81" s="109" t="s">
        <v>346</v>
      </c>
      <c r="J81" s="109"/>
      <c r="K81" s="109"/>
      <c r="L81" s="109" t="s">
        <v>346</v>
      </c>
      <c r="M81" s="109"/>
      <c r="N81" s="109"/>
      <c r="O81" s="113"/>
    </row>
    <row r="82" spans="1:15" ht="70.05" customHeight="1" outlineLevel="1">
      <c r="A82" s="109" t="s">
        <v>606</v>
      </c>
      <c r="B82" s="110" t="s">
        <v>607</v>
      </c>
      <c r="C82" s="110" t="s">
        <v>608</v>
      </c>
      <c r="D82" s="111" t="s">
        <v>600</v>
      </c>
      <c r="E82" s="111" t="s">
        <v>609</v>
      </c>
      <c r="F82" s="109" t="s">
        <v>344</v>
      </c>
      <c r="G82" s="112">
        <v>46300</v>
      </c>
      <c r="H82" s="109" t="s">
        <v>4</v>
      </c>
      <c r="I82" s="109" t="s">
        <v>346</v>
      </c>
      <c r="J82" s="109"/>
      <c r="K82" s="109"/>
      <c r="L82" s="109" t="s">
        <v>346</v>
      </c>
      <c r="M82" s="109"/>
      <c r="N82" s="109"/>
      <c r="O82" s="113"/>
    </row>
    <row r="83" spans="1:15" ht="70.05" customHeight="1" outlineLevel="1">
      <c r="A83" s="109" t="s">
        <v>610</v>
      </c>
      <c r="B83" s="110" t="s">
        <v>611</v>
      </c>
      <c r="C83" s="110" t="s">
        <v>612</v>
      </c>
      <c r="D83" s="111" t="s">
        <v>613</v>
      </c>
      <c r="E83" s="111" t="s">
        <v>614</v>
      </c>
      <c r="F83" s="109" t="s">
        <v>344</v>
      </c>
      <c r="G83" s="112">
        <v>46300</v>
      </c>
      <c r="H83" s="109" t="s">
        <v>4</v>
      </c>
      <c r="I83" s="109" t="s">
        <v>346</v>
      </c>
      <c r="J83" s="109"/>
      <c r="K83" s="109"/>
      <c r="L83" s="109" t="s">
        <v>346</v>
      </c>
      <c r="M83" s="109"/>
      <c r="N83" s="109"/>
      <c r="O83" s="113"/>
    </row>
    <row r="84" spans="1:15" ht="70.05" customHeight="1" outlineLevel="1">
      <c r="A84" s="109" t="s">
        <v>615</v>
      </c>
      <c r="B84" s="110" t="s">
        <v>616</v>
      </c>
      <c r="C84" s="110" t="s">
        <v>566</v>
      </c>
      <c r="D84" s="111" t="s">
        <v>600</v>
      </c>
      <c r="E84" s="111" t="s">
        <v>617</v>
      </c>
      <c r="F84" s="109" t="s">
        <v>344</v>
      </c>
      <c r="G84" s="112">
        <v>46300</v>
      </c>
      <c r="H84" s="109" t="s">
        <v>4</v>
      </c>
      <c r="I84" s="109" t="s">
        <v>346</v>
      </c>
      <c r="J84" s="109"/>
      <c r="K84" s="109"/>
      <c r="L84" s="109" t="s">
        <v>346</v>
      </c>
      <c r="M84" s="109"/>
      <c r="N84" s="109"/>
      <c r="O84" s="113"/>
    </row>
    <row r="85" spans="1:15" ht="70.05" customHeight="1" outlineLevel="1">
      <c r="A85" s="109" t="s">
        <v>618</v>
      </c>
      <c r="B85" s="110" t="s">
        <v>619</v>
      </c>
      <c r="C85" s="110" t="s">
        <v>620</v>
      </c>
      <c r="D85" s="111" t="s">
        <v>416</v>
      </c>
      <c r="E85" s="111" t="s">
        <v>568</v>
      </c>
      <c r="F85" s="109" t="s">
        <v>344</v>
      </c>
      <c r="G85" s="112">
        <v>46300</v>
      </c>
      <c r="H85" s="109" t="s">
        <v>4</v>
      </c>
      <c r="I85" s="109" t="s">
        <v>346</v>
      </c>
      <c r="J85" s="109"/>
      <c r="K85" s="109"/>
      <c r="L85" s="109" t="s">
        <v>346</v>
      </c>
      <c r="M85" s="109"/>
      <c r="N85" s="109"/>
      <c r="O85" s="113"/>
    </row>
    <row r="86" spans="1:15" ht="70.05" customHeight="1" outlineLevel="1">
      <c r="A86" s="109" t="s">
        <v>621</v>
      </c>
      <c r="B86" s="110" t="s">
        <v>622</v>
      </c>
      <c r="C86" s="110" t="s">
        <v>623</v>
      </c>
      <c r="D86" s="111" t="s">
        <v>624</v>
      </c>
      <c r="E86" s="111" t="s">
        <v>568</v>
      </c>
      <c r="F86" s="109" t="s">
        <v>344</v>
      </c>
      <c r="G86" s="112">
        <v>46300</v>
      </c>
      <c r="H86" s="109" t="s">
        <v>4</v>
      </c>
      <c r="I86" s="109" t="s">
        <v>346</v>
      </c>
      <c r="J86" s="109"/>
      <c r="K86" s="109"/>
      <c r="L86" s="109" t="s">
        <v>346</v>
      </c>
      <c r="M86" s="109"/>
      <c r="N86" s="109"/>
      <c r="O86" s="113"/>
    </row>
    <row r="87" spans="1:15" ht="70.05" customHeight="1" outlineLevel="1">
      <c r="A87" s="109" t="s">
        <v>625</v>
      </c>
      <c r="B87" s="110" t="s">
        <v>626</v>
      </c>
      <c r="C87" s="110" t="s">
        <v>627</v>
      </c>
      <c r="D87" s="111" t="s">
        <v>628</v>
      </c>
      <c r="E87" s="111" t="s">
        <v>417</v>
      </c>
      <c r="F87" s="109" t="s">
        <v>344</v>
      </c>
      <c r="G87" s="112">
        <v>46300</v>
      </c>
      <c r="H87" s="109" t="s">
        <v>4</v>
      </c>
      <c r="I87" s="109" t="s">
        <v>346</v>
      </c>
      <c r="J87" s="109"/>
      <c r="K87" s="109"/>
      <c r="L87" s="109" t="s">
        <v>346</v>
      </c>
      <c r="M87" s="109"/>
      <c r="N87" s="109"/>
      <c r="O87" s="113"/>
    </row>
    <row r="88" spans="1:15" ht="15.75" customHeight="1">
      <c r="A88" s="60" t="s">
        <v>42</v>
      </c>
      <c r="B88" s="60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2"/>
    </row>
    <row r="89" spans="1:15" ht="70.05" customHeight="1" outlineLevel="1">
      <c r="A89" s="109" t="s">
        <v>629</v>
      </c>
      <c r="B89" s="110" t="s">
        <v>630</v>
      </c>
      <c r="C89" s="110" t="s">
        <v>631</v>
      </c>
      <c r="D89" s="111" t="s">
        <v>567</v>
      </c>
      <c r="E89" s="111" t="s">
        <v>632</v>
      </c>
      <c r="F89" s="109" t="s">
        <v>344</v>
      </c>
      <c r="G89" s="112">
        <v>46300</v>
      </c>
      <c r="H89" s="109" t="s">
        <v>4</v>
      </c>
      <c r="I89" s="109" t="s">
        <v>346</v>
      </c>
      <c r="J89" s="109"/>
      <c r="K89" s="109"/>
      <c r="L89" s="109" t="s">
        <v>346</v>
      </c>
      <c r="M89" s="109"/>
      <c r="N89" s="109"/>
      <c r="O89" s="113"/>
    </row>
    <row r="90" spans="1:15" ht="70.05" customHeight="1" outlineLevel="1">
      <c r="A90" s="109" t="s">
        <v>633</v>
      </c>
      <c r="B90" s="110" t="s">
        <v>630</v>
      </c>
      <c r="C90" s="110" t="s">
        <v>631</v>
      </c>
      <c r="D90" s="111" t="s">
        <v>634</v>
      </c>
      <c r="E90" s="111" t="s">
        <v>632</v>
      </c>
      <c r="F90" s="109" t="s">
        <v>344</v>
      </c>
      <c r="G90" s="112">
        <v>46300</v>
      </c>
      <c r="H90" s="109" t="s">
        <v>4</v>
      </c>
      <c r="I90" s="109" t="s">
        <v>346</v>
      </c>
      <c r="J90" s="109"/>
      <c r="K90" s="109"/>
      <c r="L90" s="109" t="s">
        <v>346</v>
      </c>
      <c r="M90" s="109"/>
      <c r="N90" s="109"/>
      <c r="O90" s="113"/>
    </row>
    <row r="91" spans="1:15" ht="70.05" customHeight="1" outlineLevel="1">
      <c r="A91" s="109" t="s">
        <v>635</v>
      </c>
      <c r="B91" s="110" t="s">
        <v>630</v>
      </c>
      <c r="C91" s="110" t="s">
        <v>631</v>
      </c>
      <c r="D91" s="111" t="s">
        <v>636</v>
      </c>
      <c r="E91" s="111" t="s">
        <v>632</v>
      </c>
      <c r="F91" s="109" t="s">
        <v>344</v>
      </c>
      <c r="G91" s="112">
        <v>46300</v>
      </c>
      <c r="H91" s="109" t="s">
        <v>4</v>
      </c>
      <c r="I91" s="109" t="s">
        <v>346</v>
      </c>
      <c r="J91" s="109"/>
      <c r="K91" s="109"/>
      <c r="L91" s="109" t="s">
        <v>346</v>
      </c>
      <c r="M91" s="109"/>
      <c r="N91" s="109"/>
      <c r="O91" s="113"/>
    </row>
    <row r="92" spans="1:15" ht="70.05" customHeight="1" outlineLevel="1">
      <c r="A92" s="109" t="s">
        <v>637</v>
      </c>
      <c r="B92" s="110" t="s">
        <v>630</v>
      </c>
      <c r="C92" s="110" t="s">
        <v>631</v>
      </c>
      <c r="D92" s="111" t="s">
        <v>638</v>
      </c>
      <c r="E92" s="111" t="s">
        <v>639</v>
      </c>
      <c r="F92" s="109" t="s">
        <v>344</v>
      </c>
      <c r="G92" s="112">
        <v>46300</v>
      </c>
      <c r="H92" s="109" t="s">
        <v>4</v>
      </c>
      <c r="I92" s="109" t="s">
        <v>346</v>
      </c>
      <c r="J92" s="109"/>
      <c r="K92" s="109"/>
      <c r="L92" s="109" t="s">
        <v>346</v>
      </c>
      <c r="M92" s="109"/>
      <c r="N92" s="109"/>
      <c r="O92" s="113"/>
    </row>
    <row r="93" spans="1:15" ht="70.05" customHeight="1" outlineLevel="1">
      <c r="A93" s="109" t="s">
        <v>640</v>
      </c>
      <c r="B93" s="110" t="s">
        <v>641</v>
      </c>
      <c r="C93" s="110" t="s">
        <v>642</v>
      </c>
      <c r="D93" s="111" t="s">
        <v>584</v>
      </c>
      <c r="E93" s="111" t="s">
        <v>632</v>
      </c>
      <c r="F93" s="109" t="s">
        <v>344</v>
      </c>
      <c r="G93" s="112">
        <v>46300</v>
      </c>
      <c r="H93" s="109" t="s">
        <v>4</v>
      </c>
      <c r="I93" s="109" t="s">
        <v>346</v>
      </c>
      <c r="J93" s="109"/>
      <c r="K93" s="109"/>
      <c r="L93" s="109" t="s">
        <v>346</v>
      </c>
      <c r="M93" s="109"/>
      <c r="N93" s="109"/>
      <c r="O93" s="113"/>
    </row>
    <row r="94" spans="1:15" ht="70.05" customHeight="1" outlineLevel="1">
      <c r="A94" s="109" t="s">
        <v>643</v>
      </c>
      <c r="B94" s="110" t="s">
        <v>644</v>
      </c>
      <c r="C94" s="110" t="s">
        <v>645</v>
      </c>
      <c r="D94" s="111" t="s">
        <v>646</v>
      </c>
      <c r="E94" s="111" t="s">
        <v>632</v>
      </c>
      <c r="F94" s="109" t="s">
        <v>344</v>
      </c>
      <c r="G94" s="112">
        <v>46300</v>
      </c>
      <c r="H94" s="109" t="s">
        <v>4</v>
      </c>
      <c r="I94" s="109" t="s">
        <v>346</v>
      </c>
      <c r="J94" s="109"/>
      <c r="K94" s="109"/>
      <c r="L94" s="109" t="s">
        <v>346</v>
      </c>
      <c r="M94" s="109"/>
      <c r="N94" s="109"/>
      <c r="O94" s="113"/>
    </row>
    <row r="95" spans="1:15" ht="70.05" customHeight="1" outlineLevel="1">
      <c r="A95" s="109" t="s">
        <v>647</v>
      </c>
      <c r="B95" s="110" t="s">
        <v>648</v>
      </c>
      <c r="C95" s="110" t="s">
        <v>649</v>
      </c>
      <c r="D95" s="111" t="s">
        <v>650</v>
      </c>
      <c r="E95" s="111" t="s">
        <v>632</v>
      </c>
      <c r="F95" s="109" t="s">
        <v>344</v>
      </c>
      <c r="G95" s="112">
        <v>46300</v>
      </c>
      <c r="H95" s="109" t="s">
        <v>4</v>
      </c>
      <c r="I95" s="109" t="s">
        <v>346</v>
      </c>
      <c r="J95" s="109"/>
      <c r="K95" s="109"/>
      <c r="L95" s="109" t="s">
        <v>346</v>
      </c>
      <c r="M95" s="109"/>
      <c r="N95" s="109"/>
      <c r="O95" s="113"/>
    </row>
    <row r="96" spans="1:15" ht="70.05" customHeight="1" outlineLevel="1">
      <c r="A96" s="109" t="s">
        <v>651</v>
      </c>
      <c r="B96" s="110" t="s">
        <v>630</v>
      </c>
      <c r="C96" s="110" t="s">
        <v>631</v>
      </c>
      <c r="D96" s="111" t="s">
        <v>652</v>
      </c>
      <c r="E96" s="111" t="s">
        <v>632</v>
      </c>
      <c r="F96" s="109" t="s">
        <v>344</v>
      </c>
      <c r="G96" s="112">
        <v>46300</v>
      </c>
      <c r="H96" s="109" t="s">
        <v>4</v>
      </c>
      <c r="I96" s="109" t="s">
        <v>346</v>
      </c>
      <c r="J96" s="109"/>
      <c r="K96" s="109"/>
      <c r="L96" s="109" t="s">
        <v>346</v>
      </c>
      <c r="M96" s="109"/>
      <c r="N96" s="109"/>
      <c r="O96" s="113"/>
    </row>
    <row r="97" spans="1:15" ht="70.05" customHeight="1" outlineLevel="1">
      <c r="A97" s="109" t="s">
        <v>653</v>
      </c>
      <c r="B97" s="110" t="s">
        <v>654</v>
      </c>
      <c r="C97" s="110" t="s">
        <v>655</v>
      </c>
      <c r="D97" s="111" t="s">
        <v>656</v>
      </c>
      <c r="E97" s="111" t="s">
        <v>632</v>
      </c>
      <c r="F97" s="109" t="s">
        <v>344</v>
      </c>
      <c r="G97" s="112">
        <v>46300</v>
      </c>
      <c r="H97" s="109" t="s">
        <v>4</v>
      </c>
      <c r="I97" s="109" t="s">
        <v>346</v>
      </c>
      <c r="J97" s="109"/>
      <c r="K97" s="109"/>
      <c r="L97" s="109" t="s">
        <v>346</v>
      </c>
      <c r="M97" s="109"/>
      <c r="N97" s="109"/>
      <c r="O97" s="113"/>
    </row>
    <row r="98" spans="1:15" ht="70.05" customHeight="1" outlineLevel="1">
      <c r="A98" s="109" t="s">
        <v>657</v>
      </c>
      <c r="B98" s="110" t="s">
        <v>658</v>
      </c>
      <c r="C98" s="110" t="s">
        <v>659</v>
      </c>
      <c r="D98" s="111" t="s">
        <v>401</v>
      </c>
      <c r="E98" s="111" t="s">
        <v>632</v>
      </c>
      <c r="F98" s="109" t="s">
        <v>344</v>
      </c>
      <c r="G98" s="112">
        <v>46300</v>
      </c>
      <c r="H98" s="109" t="s">
        <v>4</v>
      </c>
      <c r="I98" s="109" t="s">
        <v>346</v>
      </c>
      <c r="J98" s="109"/>
      <c r="K98" s="109"/>
      <c r="L98" s="109" t="s">
        <v>346</v>
      </c>
      <c r="M98" s="109"/>
      <c r="N98" s="109"/>
      <c r="O98" s="113"/>
    </row>
    <row r="99" spans="1:15" ht="70.05" customHeight="1" outlineLevel="1">
      <c r="A99" s="109" t="s">
        <v>660</v>
      </c>
      <c r="B99" s="110" t="s">
        <v>661</v>
      </c>
      <c r="C99" s="110" t="s">
        <v>662</v>
      </c>
      <c r="D99" s="111" t="s">
        <v>663</v>
      </c>
      <c r="E99" s="111" t="s">
        <v>632</v>
      </c>
      <c r="F99" s="109" t="s">
        <v>344</v>
      </c>
      <c r="G99" s="112">
        <v>46300</v>
      </c>
      <c r="H99" s="109" t="s">
        <v>4</v>
      </c>
      <c r="I99" s="109" t="s">
        <v>346</v>
      </c>
      <c r="J99" s="109"/>
      <c r="K99" s="109"/>
      <c r="L99" s="109" t="s">
        <v>346</v>
      </c>
      <c r="M99" s="109"/>
      <c r="N99" s="109"/>
      <c r="O99" s="113"/>
    </row>
    <row r="100" spans="1:15" ht="70.05" customHeight="1" outlineLevel="1">
      <c r="A100" s="109" t="s">
        <v>664</v>
      </c>
      <c r="B100" s="110" t="s">
        <v>665</v>
      </c>
      <c r="C100" s="110" t="s">
        <v>666</v>
      </c>
      <c r="D100" s="111" t="s">
        <v>667</v>
      </c>
      <c r="E100" s="111" t="s">
        <v>632</v>
      </c>
      <c r="F100" s="109" t="s">
        <v>344</v>
      </c>
      <c r="G100" s="112">
        <v>46300</v>
      </c>
      <c r="H100" s="109" t="s">
        <v>4</v>
      </c>
      <c r="I100" s="109" t="s">
        <v>346</v>
      </c>
      <c r="J100" s="109"/>
      <c r="K100" s="109"/>
      <c r="L100" s="109" t="s">
        <v>346</v>
      </c>
      <c r="M100" s="109"/>
      <c r="N100" s="109"/>
      <c r="O100" s="113"/>
    </row>
    <row r="101" spans="1:15" ht="70.05" customHeight="1" outlineLevel="1">
      <c r="A101" s="109" t="s">
        <v>668</v>
      </c>
      <c r="B101" s="110" t="s">
        <v>669</v>
      </c>
      <c r="C101" s="110" t="s">
        <v>670</v>
      </c>
      <c r="D101" s="111" t="s">
        <v>416</v>
      </c>
      <c r="E101" s="111" t="s">
        <v>632</v>
      </c>
      <c r="F101" s="109" t="s">
        <v>344</v>
      </c>
      <c r="G101" s="112">
        <v>46300</v>
      </c>
      <c r="H101" s="109" t="s">
        <v>4</v>
      </c>
      <c r="I101" s="109" t="s">
        <v>346</v>
      </c>
      <c r="J101" s="109"/>
      <c r="K101" s="109"/>
      <c r="L101" s="109" t="s">
        <v>346</v>
      </c>
      <c r="M101" s="109"/>
      <c r="N101" s="109"/>
      <c r="O101" s="113"/>
    </row>
    <row r="102" spans="1:15" ht="70.05" customHeight="1" outlineLevel="1">
      <c r="A102" s="109" t="s">
        <v>671</v>
      </c>
      <c r="B102" s="110" t="s">
        <v>672</v>
      </c>
      <c r="C102" s="110" t="s">
        <v>673</v>
      </c>
      <c r="D102" s="111" t="s">
        <v>674</v>
      </c>
      <c r="E102" s="111" t="s">
        <v>632</v>
      </c>
      <c r="F102" s="109" t="s">
        <v>344</v>
      </c>
      <c r="G102" s="112">
        <v>46300</v>
      </c>
      <c r="H102" s="109" t="s">
        <v>4</v>
      </c>
      <c r="I102" s="109" t="s">
        <v>346</v>
      </c>
      <c r="J102" s="109"/>
      <c r="K102" s="109"/>
      <c r="L102" s="109" t="s">
        <v>346</v>
      </c>
      <c r="M102" s="109"/>
      <c r="N102" s="109"/>
      <c r="O102" s="113"/>
    </row>
    <row r="103" spans="1:15" ht="70.05" customHeight="1" outlineLevel="1">
      <c r="A103" s="109" t="s">
        <v>675</v>
      </c>
      <c r="B103" s="110" t="s">
        <v>676</v>
      </c>
      <c r="C103" s="110" t="s">
        <v>677</v>
      </c>
      <c r="D103" s="111" t="s">
        <v>624</v>
      </c>
      <c r="E103" s="111" t="s">
        <v>632</v>
      </c>
      <c r="F103" s="109" t="s">
        <v>344</v>
      </c>
      <c r="G103" s="112">
        <v>46300</v>
      </c>
      <c r="H103" s="109" t="s">
        <v>4</v>
      </c>
      <c r="I103" s="109" t="s">
        <v>346</v>
      </c>
      <c r="J103" s="109"/>
      <c r="K103" s="109"/>
      <c r="L103" s="109" t="s">
        <v>346</v>
      </c>
      <c r="M103" s="109"/>
      <c r="N103" s="109"/>
      <c r="O103" s="113"/>
    </row>
    <row r="104" spans="1:15" ht="70.05" customHeight="1" outlineLevel="1">
      <c r="A104" s="109" t="s">
        <v>678</v>
      </c>
      <c r="B104" s="110" t="s">
        <v>679</v>
      </c>
      <c r="C104" s="110" t="s">
        <v>631</v>
      </c>
      <c r="D104" s="111" t="s">
        <v>562</v>
      </c>
      <c r="E104" s="111" t="s">
        <v>680</v>
      </c>
      <c r="F104" s="109" t="s">
        <v>344</v>
      </c>
      <c r="G104" s="112">
        <v>46300</v>
      </c>
      <c r="H104" s="109" t="s">
        <v>4</v>
      </c>
      <c r="I104" s="109" t="s">
        <v>346</v>
      </c>
      <c r="J104" s="109"/>
      <c r="K104" s="109"/>
      <c r="L104" s="109" t="s">
        <v>346</v>
      </c>
      <c r="M104" s="109"/>
      <c r="N104" s="109"/>
      <c r="O104" s="113"/>
    </row>
    <row r="105" spans="1:15" ht="70.05" customHeight="1" outlineLevel="1">
      <c r="A105" s="109" t="s">
        <v>681</v>
      </c>
      <c r="B105" s="110" t="s">
        <v>682</v>
      </c>
      <c r="C105" s="110" t="s">
        <v>683</v>
      </c>
      <c r="D105" s="111" t="s">
        <v>684</v>
      </c>
      <c r="E105" s="111" t="s">
        <v>417</v>
      </c>
      <c r="F105" s="109" t="s">
        <v>344</v>
      </c>
      <c r="G105" s="112">
        <v>46300</v>
      </c>
      <c r="H105" s="109" t="s">
        <v>4</v>
      </c>
      <c r="I105" s="109" t="s">
        <v>346</v>
      </c>
      <c r="J105" s="109"/>
      <c r="K105" s="109"/>
      <c r="L105" s="109" t="s">
        <v>346</v>
      </c>
      <c r="M105" s="109"/>
      <c r="N105" s="109"/>
      <c r="O105" s="113"/>
    </row>
    <row r="106" spans="1:15" ht="15.75" customHeight="1">
      <c r="A106" s="60" t="s">
        <v>45</v>
      </c>
      <c r="B106" s="60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2"/>
    </row>
    <row r="107" spans="1:15" ht="70.05" customHeight="1" outlineLevel="1">
      <c r="A107" s="109" t="s">
        <v>685</v>
      </c>
      <c r="B107" s="110" t="s">
        <v>686</v>
      </c>
      <c r="C107" s="110" t="s">
        <v>687</v>
      </c>
      <c r="D107" s="111" t="s">
        <v>688</v>
      </c>
      <c r="E107" s="111" t="s">
        <v>689</v>
      </c>
      <c r="F107" s="109" t="s">
        <v>344</v>
      </c>
      <c r="G107" s="112">
        <v>46300</v>
      </c>
      <c r="H107" s="109" t="s">
        <v>4</v>
      </c>
      <c r="I107" s="109" t="s">
        <v>346</v>
      </c>
      <c r="J107" s="109"/>
      <c r="K107" s="109"/>
      <c r="L107" s="109" t="s">
        <v>346</v>
      </c>
      <c r="M107" s="109"/>
      <c r="N107" s="109"/>
      <c r="O107" s="113"/>
    </row>
    <row r="108" spans="1:15" ht="70.05" customHeight="1" outlineLevel="1">
      <c r="A108" s="109" t="s">
        <v>690</v>
      </c>
      <c r="B108" s="110" t="s">
        <v>691</v>
      </c>
      <c r="C108" s="110" t="s">
        <v>692</v>
      </c>
      <c r="D108" s="111" t="s">
        <v>693</v>
      </c>
      <c r="E108" s="111" t="s">
        <v>689</v>
      </c>
      <c r="F108" s="109" t="s">
        <v>344</v>
      </c>
      <c r="G108" s="112">
        <v>46300</v>
      </c>
      <c r="H108" s="109" t="s">
        <v>4</v>
      </c>
      <c r="I108" s="109" t="s">
        <v>346</v>
      </c>
      <c r="J108" s="109"/>
      <c r="K108" s="109"/>
      <c r="L108" s="109" t="s">
        <v>346</v>
      </c>
      <c r="M108" s="109"/>
      <c r="N108" s="109"/>
      <c r="O108" s="113"/>
    </row>
    <row r="109" spans="1:15" ht="70.05" customHeight="1" outlineLevel="1">
      <c r="A109" s="109" t="s">
        <v>694</v>
      </c>
      <c r="B109" s="110" t="s">
        <v>686</v>
      </c>
      <c r="C109" s="110" t="s">
        <v>687</v>
      </c>
      <c r="D109" s="111" t="s">
        <v>695</v>
      </c>
      <c r="E109" s="111" t="s">
        <v>689</v>
      </c>
      <c r="F109" s="109" t="s">
        <v>344</v>
      </c>
      <c r="G109" s="112">
        <v>46300</v>
      </c>
      <c r="H109" s="109" t="s">
        <v>4</v>
      </c>
      <c r="I109" s="109" t="s">
        <v>346</v>
      </c>
      <c r="J109" s="109"/>
      <c r="K109" s="109"/>
      <c r="L109" s="109" t="s">
        <v>346</v>
      </c>
      <c r="M109" s="109"/>
      <c r="N109" s="109"/>
      <c r="O109" s="113"/>
    </row>
    <row r="110" spans="1:15" ht="70.05" customHeight="1" outlineLevel="1">
      <c r="A110" s="109" t="s">
        <v>696</v>
      </c>
      <c r="B110" s="110" t="s">
        <v>686</v>
      </c>
      <c r="C110" s="110" t="s">
        <v>687</v>
      </c>
      <c r="D110" s="111" t="s">
        <v>697</v>
      </c>
      <c r="E110" s="111" t="s">
        <v>689</v>
      </c>
      <c r="F110" s="109" t="s">
        <v>344</v>
      </c>
      <c r="G110" s="112">
        <v>46300</v>
      </c>
      <c r="H110" s="109" t="s">
        <v>4</v>
      </c>
      <c r="I110" s="109" t="s">
        <v>346</v>
      </c>
      <c r="J110" s="109"/>
      <c r="K110" s="109"/>
      <c r="L110" s="109" t="s">
        <v>346</v>
      </c>
      <c r="M110" s="109"/>
      <c r="N110" s="109"/>
      <c r="O110" s="113"/>
    </row>
    <row r="111" spans="1:15" ht="70.05" customHeight="1" outlineLevel="1">
      <c r="A111" s="109" t="s">
        <v>698</v>
      </c>
      <c r="B111" s="110" t="s">
        <v>699</v>
      </c>
      <c r="C111" s="110" t="s">
        <v>700</v>
      </c>
      <c r="D111" s="111" t="s">
        <v>701</v>
      </c>
      <c r="E111" s="111" t="s">
        <v>702</v>
      </c>
      <c r="F111" s="109" t="s">
        <v>344</v>
      </c>
      <c r="G111" s="112">
        <v>46300</v>
      </c>
      <c r="H111" s="109" t="s">
        <v>4</v>
      </c>
      <c r="I111" s="109" t="s">
        <v>346</v>
      </c>
      <c r="J111" s="109"/>
      <c r="K111" s="109"/>
      <c r="L111" s="109" t="s">
        <v>346</v>
      </c>
      <c r="M111" s="109"/>
      <c r="N111" s="109"/>
      <c r="O111" s="113"/>
    </row>
    <row r="112" spans="1:15" ht="70.05" customHeight="1" outlineLevel="1">
      <c r="A112" s="109" t="s">
        <v>703</v>
      </c>
      <c r="B112" s="110" t="s">
        <v>686</v>
      </c>
      <c r="C112" s="110" t="s">
        <v>687</v>
      </c>
      <c r="D112" s="111" t="s">
        <v>704</v>
      </c>
      <c r="E112" s="111" t="s">
        <v>705</v>
      </c>
      <c r="F112" s="109" t="s">
        <v>344</v>
      </c>
      <c r="G112" s="112">
        <v>46300</v>
      </c>
      <c r="H112" s="109" t="s">
        <v>4</v>
      </c>
      <c r="I112" s="109" t="s">
        <v>346</v>
      </c>
      <c r="J112" s="109"/>
      <c r="K112" s="109"/>
      <c r="L112" s="109" t="s">
        <v>346</v>
      </c>
      <c r="M112" s="109"/>
      <c r="N112" s="109"/>
      <c r="O112" s="113"/>
    </row>
    <row r="113" spans="1:15" ht="70.05" customHeight="1" outlineLevel="1">
      <c r="A113" s="109" t="s">
        <v>706</v>
      </c>
      <c r="B113" s="110" t="s">
        <v>707</v>
      </c>
      <c r="C113" s="110" t="s">
        <v>708</v>
      </c>
      <c r="D113" s="111" t="s">
        <v>709</v>
      </c>
      <c r="E113" s="111" t="s">
        <v>710</v>
      </c>
      <c r="F113" s="109" t="s">
        <v>344</v>
      </c>
      <c r="G113" s="112">
        <v>46300</v>
      </c>
      <c r="H113" s="109" t="s">
        <v>4</v>
      </c>
      <c r="I113" s="109" t="s">
        <v>346</v>
      </c>
      <c r="J113" s="109"/>
      <c r="K113" s="109"/>
      <c r="L113" s="109" t="s">
        <v>346</v>
      </c>
      <c r="M113" s="109"/>
      <c r="N113" s="109"/>
      <c r="O113" s="113"/>
    </row>
    <row r="114" spans="1:15" ht="70.05" customHeight="1" outlineLevel="1">
      <c r="A114" s="109" t="s">
        <v>711</v>
      </c>
      <c r="B114" s="110" t="s">
        <v>707</v>
      </c>
      <c r="C114" s="110" t="s">
        <v>708</v>
      </c>
      <c r="D114" s="111" t="s">
        <v>712</v>
      </c>
      <c r="E114" s="111" t="s">
        <v>702</v>
      </c>
      <c r="F114" s="109" t="s">
        <v>344</v>
      </c>
      <c r="G114" s="112">
        <v>46300</v>
      </c>
      <c r="H114" s="109" t="s">
        <v>4</v>
      </c>
      <c r="I114" s="109" t="s">
        <v>346</v>
      </c>
      <c r="J114" s="109"/>
      <c r="K114" s="109"/>
      <c r="L114" s="109" t="s">
        <v>346</v>
      </c>
      <c r="M114" s="109"/>
      <c r="N114" s="109"/>
      <c r="O114" s="113"/>
    </row>
    <row r="115" spans="1:15" ht="70.05" customHeight="1" outlineLevel="1">
      <c r="A115" s="109" t="s">
        <v>713</v>
      </c>
      <c r="B115" s="110" t="s">
        <v>714</v>
      </c>
      <c r="C115" s="110" t="s">
        <v>687</v>
      </c>
      <c r="D115" s="111" t="s">
        <v>715</v>
      </c>
      <c r="E115" s="111" t="s">
        <v>716</v>
      </c>
      <c r="F115" s="109" t="s">
        <v>344</v>
      </c>
      <c r="G115" s="112">
        <v>46300</v>
      </c>
      <c r="H115" s="109" t="s">
        <v>4</v>
      </c>
      <c r="I115" s="109" t="s">
        <v>346</v>
      </c>
      <c r="J115" s="109"/>
      <c r="K115" s="109"/>
      <c r="L115" s="109" t="s">
        <v>346</v>
      </c>
      <c r="M115" s="109"/>
      <c r="N115" s="109"/>
      <c r="O115" s="113"/>
    </row>
    <row r="116" spans="1:15" ht="70.05" customHeight="1" outlineLevel="1">
      <c r="A116" s="109" t="s">
        <v>717</v>
      </c>
      <c r="B116" s="110" t="s">
        <v>714</v>
      </c>
      <c r="C116" s="110" t="s">
        <v>687</v>
      </c>
      <c r="D116" s="111" t="s">
        <v>718</v>
      </c>
      <c r="E116" s="111" t="s">
        <v>719</v>
      </c>
      <c r="F116" s="109" t="s">
        <v>344</v>
      </c>
      <c r="G116" s="112">
        <v>46300</v>
      </c>
      <c r="H116" s="109" t="s">
        <v>4</v>
      </c>
      <c r="I116" s="109" t="s">
        <v>346</v>
      </c>
      <c r="J116" s="109"/>
      <c r="K116" s="109"/>
      <c r="L116" s="109" t="s">
        <v>346</v>
      </c>
      <c r="M116" s="109"/>
      <c r="N116" s="109"/>
      <c r="O116" s="113"/>
    </row>
    <row r="117" spans="1:15" ht="70.05" customHeight="1" outlineLevel="1">
      <c r="A117" s="109" t="s">
        <v>720</v>
      </c>
      <c r="B117" s="110" t="s">
        <v>721</v>
      </c>
      <c r="C117" s="110" t="s">
        <v>722</v>
      </c>
      <c r="D117" s="111" t="s">
        <v>723</v>
      </c>
      <c r="E117" s="111" t="s">
        <v>724</v>
      </c>
      <c r="F117" s="109" t="s">
        <v>344</v>
      </c>
      <c r="G117" s="112">
        <v>46300</v>
      </c>
      <c r="H117" s="109" t="s">
        <v>4</v>
      </c>
      <c r="I117" s="109" t="s">
        <v>346</v>
      </c>
      <c r="J117" s="109"/>
      <c r="K117" s="109"/>
      <c r="L117" s="109" t="s">
        <v>346</v>
      </c>
      <c r="M117" s="109"/>
      <c r="N117" s="109"/>
      <c r="O117" s="113"/>
    </row>
    <row r="118" spans="1:15" ht="70.05" customHeight="1" outlineLevel="1">
      <c r="A118" s="109" t="s">
        <v>725</v>
      </c>
      <c r="B118" s="110" t="s">
        <v>721</v>
      </c>
      <c r="C118" s="110" t="s">
        <v>722</v>
      </c>
      <c r="D118" s="111" t="s">
        <v>726</v>
      </c>
      <c r="E118" s="111" t="s">
        <v>727</v>
      </c>
      <c r="F118" s="109" t="s">
        <v>344</v>
      </c>
      <c r="G118" s="112">
        <v>46300</v>
      </c>
      <c r="H118" s="109" t="s">
        <v>4</v>
      </c>
      <c r="I118" s="109" t="s">
        <v>346</v>
      </c>
      <c r="J118" s="109"/>
      <c r="K118" s="109"/>
      <c r="L118" s="109" t="s">
        <v>346</v>
      </c>
      <c r="M118" s="109"/>
      <c r="N118" s="109"/>
      <c r="O118" s="113"/>
    </row>
    <row r="119" spans="1:15" ht="70.05" customHeight="1" outlineLevel="1">
      <c r="A119" s="109" t="s">
        <v>728</v>
      </c>
      <c r="B119" s="110" t="s">
        <v>729</v>
      </c>
      <c r="C119" s="110" t="s">
        <v>730</v>
      </c>
      <c r="D119" s="111" t="s">
        <v>562</v>
      </c>
      <c r="E119" s="111" t="s">
        <v>373</v>
      </c>
      <c r="F119" s="109" t="s">
        <v>344</v>
      </c>
      <c r="G119" s="112">
        <v>46300</v>
      </c>
      <c r="H119" s="109" t="s">
        <v>4</v>
      </c>
      <c r="I119" s="109" t="s">
        <v>346</v>
      </c>
      <c r="J119" s="109"/>
      <c r="K119" s="109"/>
      <c r="L119" s="109" t="s">
        <v>346</v>
      </c>
      <c r="M119" s="109"/>
      <c r="N119" s="109"/>
      <c r="O119" s="113"/>
    </row>
    <row r="120" spans="1:15" ht="70.05" customHeight="1" outlineLevel="1">
      <c r="A120" s="109" t="s">
        <v>731</v>
      </c>
      <c r="B120" s="110" t="s">
        <v>732</v>
      </c>
      <c r="C120" s="110" t="s">
        <v>733</v>
      </c>
      <c r="D120" s="111" t="s">
        <v>718</v>
      </c>
      <c r="E120" s="111" t="s">
        <v>689</v>
      </c>
      <c r="F120" s="109" t="s">
        <v>344</v>
      </c>
      <c r="G120" s="112">
        <v>46300</v>
      </c>
      <c r="H120" s="109" t="s">
        <v>4</v>
      </c>
      <c r="I120" s="109" t="s">
        <v>346</v>
      </c>
      <c r="J120" s="109"/>
      <c r="K120" s="109"/>
      <c r="L120" s="109" t="s">
        <v>346</v>
      </c>
      <c r="M120" s="109"/>
      <c r="N120" s="109"/>
      <c r="O120" s="113"/>
    </row>
    <row r="121" spans="1:15" ht="70.05" customHeight="1" outlineLevel="1">
      <c r="A121" s="109" t="s">
        <v>734</v>
      </c>
      <c r="B121" s="110" t="s">
        <v>735</v>
      </c>
      <c r="C121" s="110" t="s">
        <v>687</v>
      </c>
      <c r="D121" s="111" t="s">
        <v>718</v>
      </c>
      <c r="E121" s="111" t="s">
        <v>736</v>
      </c>
      <c r="F121" s="109" t="s">
        <v>344</v>
      </c>
      <c r="G121" s="112">
        <v>46300</v>
      </c>
      <c r="H121" s="109" t="s">
        <v>4</v>
      </c>
      <c r="I121" s="109" t="s">
        <v>346</v>
      </c>
      <c r="J121" s="109"/>
      <c r="K121" s="109"/>
      <c r="L121" s="109" t="s">
        <v>346</v>
      </c>
      <c r="M121" s="109"/>
      <c r="N121" s="109"/>
      <c r="O121" s="113"/>
    </row>
    <row r="122" spans="1:15" ht="70.05" customHeight="1" outlineLevel="1">
      <c r="A122" s="109" t="s">
        <v>737</v>
      </c>
      <c r="B122" s="110" t="s">
        <v>735</v>
      </c>
      <c r="C122" s="110" t="s">
        <v>687</v>
      </c>
      <c r="D122" s="111" t="s">
        <v>718</v>
      </c>
      <c r="E122" s="111" t="s">
        <v>738</v>
      </c>
      <c r="F122" s="109" t="s">
        <v>344</v>
      </c>
      <c r="G122" s="112">
        <v>46300</v>
      </c>
      <c r="H122" s="109" t="s">
        <v>4</v>
      </c>
      <c r="I122" s="109" t="s">
        <v>346</v>
      </c>
      <c r="J122" s="109"/>
      <c r="K122" s="109"/>
      <c r="L122" s="109" t="s">
        <v>346</v>
      </c>
      <c r="M122" s="109"/>
      <c r="N122" s="109"/>
      <c r="O122" s="113"/>
    </row>
    <row r="123" spans="1:15" ht="70.05" customHeight="1" outlineLevel="1">
      <c r="A123" s="109" t="s">
        <v>739</v>
      </c>
      <c r="B123" s="110" t="s">
        <v>740</v>
      </c>
      <c r="C123" s="110" t="s">
        <v>708</v>
      </c>
      <c r="D123" s="111" t="s">
        <v>741</v>
      </c>
      <c r="E123" s="111" t="s">
        <v>742</v>
      </c>
      <c r="F123" s="109" t="s">
        <v>344</v>
      </c>
      <c r="G123" s="112">
        <v>46300</v>
      </c>
      <c r="H123" s="109" t="s">
        <v>4</v>
      </c>
      <c r="I123" s="109" t="s">
        <v>346</v>
      </c>
      <c r="J123" s="109"/>
      <c r="K123" s="109"/>
      <c r="L123" s="109" t="s">
        <v>346</v>
      </c>
      <c r="M123" s="109"/>
      <c r="N123" s="109"/>
      <c r="O123" s="113"/>
    </row>
    <row r="124" spans="1:15" ht="70.05" customHeight="1" outlineLevel="1">
      <c r="A124" s="109" t="s">
        <v>743</v>
      </c>
      <c r="B124" s="110" t="s">
        <v>744</v>
      </c>
      <c r="C124" s="110" t="s">
        <v>745</v>
      </c>
      <c r="D124" s="111" t="s">
        <v>746</v>
      </c>
      <c r="E124" s="111" t="s">
        <v>373</v>
      </c>
      <c r="F124" s="109" t="s">
        <v>344</v>
      </c>
      <c r="G124" s="112">
        <v>46300</v>
      </c>
      <c r="H124" s="109" t="s">
        <v>4</v>
      </c>
      <c r="I124" s="109" t="s">
        <v>346</v>
      </c>
      <c r="J124" s="109"/>
      <c r="K124" s="109"/>
      <c r="L124" s="109" t="s">
        <v>346</v>
      </c>
      <c r="M124" s="109"/>
      <c r="N124" s="109"/>
      <c r="O124" s="113"/>
    </row>
    <row r="125" spans="1:15" ht="15.75" customHeight="1">
      <c r="A125" s="60" t="s">
        <v>48</v>
      </c>
      <c r="B125" s="60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2"/>
    </row>
    <row r="126" spans="1:15" ht="70.05" customHeight="1" outlineLevel="1">
      <c r="A126" s="109" t="s">
        <v>747</v>
      </c>
      <c r="B126" s="110" t="s">
        <v>748</v>
      </c>
      <c r="C126" s="110" t="s">
        <v>749</v>
      </c>
      <c r="D126" s="111" t="s">
        <v>750</v>
      </c>
      <c r="E126" s="111" t="s">
        <v>751</v>
      </c>
      <c r="F126" s="109" t="s">
        <v>344</v>
      </c>
      <c r="G126" s="112">
        <v>46300</v>
      </c>
      <c r="H126" s="109" t="s">
        <v>4</v>
      </c>
      <c r="I126" s="109" t="s">
        <v>346</v>
      </c>
      <c r="J126" s="109"/>
      <c r="K126" s="109"/>
      <c r="L126" s="109" t="s">
        <v>346</v>
      </c>
      <c r="M126" s="109"/>
      <c r="N126" s="109"/>
      <c r="O126" s="113"/>
    </row>
    <row r="127" spans="1:15" ht="70.05" customHeight="1" outlineLevel="1">
      <c r="A127" s="109" t="s">
        <v>752</v>
      </c>
      <c r="B127" s="110" t="s">
        <v>748</v>
      </c>
      <c r="C127" s="110" t="s">
        <v>749</v>
      </c>
      <c r="D127" s="111" t="s">
        <v>753</v>
      </c>
      <c r="E127" s="111" t="s">
        <v>751</v>
      </c>
      <c r="F127" s="109" t="s">
        <v>344</v>
      </c>
      <c r="G127" s="112">
        <v>46300</v>
      </c>
      <c r="H127" s="109" t="s">
        <v>4</v>
      </c>
      <c r="I127" s="109" t="s">
        <v>346</v>
      </c>
      <c r="J127" s="109"/>
      <c r="K127" s="109"/>
      <c r="L127" s="109" t="s">
        <v>346</v>
      </c>
      <c r="M127" s="109"/>
      <c r="N127" s="109"/>
      <c r="O127" s="113"/>
    </row>
    <row r="128" spans="1:15" ht="70.05" customHeight="1" outlineLevel="1">
      <c r="A128" s="109" t="s">
        <v>754</v>
      </c>
      <c r="B128" s="110" t="s">
        <v>748</v>
      </c>
      <c r="C128" s="110" t="s">
        <v>749</v>
      </c>
      <c r="D128" s="111" t="s">
        <v>456</v>
      </c>
      <c r="E128" s="111" t="s">
        <v>755</v>
      </c>
      <c r="F128" s="109" t="s">
        <v>344</v>
      </c>
      <c r="G128" s="112">
        <v>46300</v>
      </c>
      <c r="H128" s="109" t="s">
        <v>4</v>
      </c>
      <c r="I128" s="109" t="s">
        <v>346</v>
      </c>
      <c r="J128" s="109"/>
      <c r="K128" s="109"/>
      <c r="L128" s="109" t="s">
        <v>346</v>
      </c>
      <c r="M128" s="109"/>
      <c r="N128" s="109"/>
      <c r="O128" s="113"/>
    </row>
    <row r="129" spans="1:15" ht="70.05" customHeight="1" outlineLevel="1">
      <c r="A129" s="109" t="s">
        <v>756</v>
      </c>
      <c r="B129" s="110" t="s">
        <v>748</v>
      </c>
      <c r="C129" s="110" t="s">
        <v>749</v>
      </c>
      <c r="D129" s="111" t="s">
        <v>757</v>
      </c>
      <c r="E129" s="111" t="s">
        <v>758</v>
      </c>
      <c r="F129" s="109" t="s">
        <v>344</v>
      </c>
      <c r="G129" s="112">
        <v>46300</v>
      </c>
      <c r="H129" s="109" t="s">
        <v>4</v>
      </c>
      <c r="I129" s="109" t="s">
        <v>346</v>
      </c>
      <c r="J129" s="109"/>
      <c r="K129" s="109"/>
      <c r="L129" s="109" t="s">
        <v>346</v>
      </c>
      <c r="M129" s="109"/>
      <c r="N129" s="109"/>
      <c r="O129" s="113"/>
    </row>
    <row r="130" spans="1:15" ht="70.05" customHeight="1" outlineLevel="1">
      <c r="A130" s="109" t="s">
        <v>759</v>
      </c>
      <c r="B130" s="110" t="s">
        <v>760</v>
      </c>
      <c r="C130" s="110" t="s">
        <v>761</v>
      </c>
      <c r="D130" s="111" t="s">
        <v>762</v>
      </c>
      <c r="E130" s="111" t="s">
        <v>763</v>
      </c>
      <c r="F130" s="109" t="s">
        <v>344</v>
      </c>
      <c r="G130" s="112">
        <v>46300</v>
      </c>
      <c r="H130" s="109" t="s">
        <v>4</v>
      </c>
      <c r="I130" s="109" t="s">
        <v>346</v>
      </c>
      <c r="J130" s="109"/>
      <c r="K130" s="109"/>
      <c r="L130" s="109" t="s">
        <v>346</v>
      </c>
      <c r="M130" s="109"/>
      <c r="N130" s="109"/>
      <c r="O130" s="113"/>
    </row>
    <row r="131" spans="1:15" ht="70.05" customHeight="1" outlineLevel="1">
      <c r="A131" s="109" t="s">
        <v>764</v>
      </c>
      <c r="B131" s="110" t="s">
        <v>765</v>
      </c>
      <c r="C131" s="110" t="s">
        <v>766</v>
      </c>
      <c r="D131" s="111" t="s">
        <v>767</v>
      </c>
      <c r="E131" s="111" t="s">
        <v>768</v>
      </c>
      <c r="F131" s="109" t="s">
        <v>344</v>
      </c>
      <c r="G131" s="112">
        <v>46300</v>
      </c>
      <c r="H131" s="109" t="s">
        <v>4</v>
      </c>
      <c r="I131" s="109" t="s">
        <v>346</v>
      </c>
      <c r="J131" s="109"/>
      <c r="K131" s="109"/>
      <c r="L131" s="109" t="s">
        <v>346</v>
      </c>
      <c r="M131" s="109"/>
      <c r="N131" s="109"/>
      <c r="O131" s="113"/>
    </row>
    <row r="132" spans="1:15" ht="70.05" customHeight="1" outlineLevel="1">
      <c r="A132" s="109" t="s">
        <v>769</v>
      </c>
      <c r="B132" s="110" t="s">
        <v>760</v>
      </c>
      <c r="C132" s="110" t="s">
        <v>761</v>
      </c>
      <c r="D132" s="111" t="s">
        <v>770</v>
      </c>
      <c r="E132" s="111" t="s">
        <v>751</v>
      </c>
      <c r="F132" s="109" t="s">
        <v>344</v>
      </c>
      <c r="G132" s="112">
        <v>46300</v>
      </c>
      <c r="H132" s="109" t="s">
        <v>4</v>
      </c>
      <c r="I132" s="109" t="s">
        <v>346</v>
      </c>
      <c r="J132" s="109"/>
      <c r="K132" s="109"/>
      <c r="L132" s="109" t="s">
        <v>346</v>
      </c>
      <c r="M132" s="109"/>
      <c r="N132" s="109"/>
      <c r="O132" s="113"/>
    </row>
    <row r="133" spans="1:15" ht="70.05" customHeight="1" outlineLevel="1">
      <c r="A133" s="109" t="s">
        <v>771</v>
      </c>
      <c r="B133" s="110" t="s">
        <v>772</v>
      </c>
      <c r="C133" s="110" t="s">
        <v>773</v>
      </c>
      <c r="D133" s="111" t="s">
        <v>774</v>
      </c>
      <c r="E133" s="111" t="s">
        <v>775</v>
      </c>
      <c r="F133" s="109" t="s">
        <v>344</v>
      </c>
      <c r="G133" s="112">
        <v>46300</v>
      </c>
      <c r="H133" s="109" t="s">
        <v>4</v>
      </c>
      <c r="I133" s="109" t="s">
        <v>346</v>
      </c>
      <c r="J133" s="109"/>
      <c r="K133" s="109"/>
      <c r="L133" s="109" t="s">
        <v>346</v>
      </c>
      <c r="M133" s="109"/>
      <c r="N133" s="109"/>
      <c r="O133" s="113"/>
    </row>
    <row r="134" spans="1:15" ht="70.05" customHeight="1" outlineLevel="1">
      <c r="A134" s="109" t="s">
        <v>776</v>
      </c>
      <c r="B134" s="110" t="s">
        <v>772</v>
      </c>
      <c r="C134" s="110" t="s">
        <v>773</v>
      </c>
      <c r="D134" s="111" t="s">
        <v>777</v>
      </c>
      <c r="E134" s="111" t="s">
        <v>778</v>
      </c>
      <c r="F134" s="109" t="s">
        <v>344</v>
      </c>
      <c r="G134" s="112">
        <v>46300</v>
      </c>
      <c r="H134" s="109" t="s">
        <v>4</v>
      </c>
      <c r="I134" s="109" t="s">
        <v>346</v>
      </c>
      <c r="J134" s="109"/>
      <c r="K134" s="109"/>
      <c r="L134" s="109" t="s">
        <v>346</v>
      </c>
      <c r="M134" s="109"/>
      <c r="N134" s="109"/>
      <c r="O134" s="113"/>
    </row>
    <row r="135" spans="1:15" ht="70.05" customHeight="1" outlineLevel="1">
      <c r="A135" s="109" t="s">
        <v>779</v>
      </c>
      <c r="B135" s="110" t="s">
        <v>780</v>
      </c>
      <c r="C135" s="110" t="s">
        <v>781</v>
      </c>
      <c r="D135" s="111" t="s">
        <v>782</v>
      </c>
      <c r="E135" s="111" t="s">
        <v>417</v>
      </c>
      <c r="F135" s="109" t="s">
        <v>344</v>
      </c>
      <c r="G135" s="112">
        <v>46300</v>
      </c>
      <c r="H135" s="109" t="s">
        <v>4</v>
      </c>
      <c r="I135" s="109" t="s">
        <v>346</v>
      </c>
      <c r="J135" s="109"/>
      <c r="K135" s="109"/>
      <c r="L135" s="109" t="s">
        <v>346</v>
      </c>
      <c r="M135" s="109"/>
      <c r="N135" s="109"/>
      <c r="O135" s="113"/>
    </row>
    <row r="136" spans="1:15" ht="70.05" customHeight="1" outlineLevel="1">
      <c r="A136" s="109" t="s">
        <v>783</v>
      </c>
      <c r="B136" s="110" t="s">
        <v>784</v>
      </c>
      <c r="C136" s="110" t="s">
        <v>785</v>
      </c>
      <c r="D136" s="111" t="s">
        <v>782</v>
      </c>
      <c r="E136" s="111" t="s">
        <v>417</v>
      </c>
      <c r="F136" s="109" t="s">
        <v>344</v>
      </c>
      <c r="G136" s="112">
        <v>46300</v>
      </c>
      <c r="H136" s="109" t="s">
        <v>4</v>
      </c>
      <c r="I136" s="109" t="s">
        <v>346</v>
      </c>
      <c r="J136" s="109"/>
      <c r="K136" s="109"/>
      <c r="L136" s="109" t="s">
        <v>346</v>
      </c>
      <c r="M136" s="109"/>
      <c r="N136" s="109"/>
      <c r="O136" s="113"/>
    </row>
    <row r="137" spans="1:15" ht="70.05" customHeight="1" outlineLevel="1">
      <c r="A137" s="109" t="s">
        <v>786</v>
      </c>
      <c r="B137" s="110" t="s">
        <v>787</v>
      </c>
      <c r="C137" s="110" t="s">
        <v>749</v>
      </c>
      <c r="D137" s="111" t="s">
        <v>782</v>
      </c>
      <c r="E137" s="111" t="s">
        <v>788</v>
      </c>
      <c r="F137" s="109" t="s">
        <v>344</v>
      </c>
      <c r="G137" s="112">
        <v>46300</v>
      </c>
      <c r="H137" s="109" t="s">
        <v>4</v>
      </c>
      <c r="I137" s="109" t="s">
        <v>346</v>
      </c>
      <c r="J137" s="109"/>
      <c r="K137" s="109"/>
      <c r="L137" s="109" t="s">
        <v>346</v>
      </c>
      <c r="M137" s="109"/>
      <c r="N137" s="109"/>
      <c r="O137" s="113"/>
    </row>
    <row r="138" spans="1:15" ht="70.05" customHeight="1" outlineLevel="1">
      <c r="A138" s="109" t="s">
        <v>789</v>
      </c>
      <c r="B138" s="110" t="s">
        <v>787</v>
      </c>
      <c r="C138" s="110" t="s">
        <v>749</v>
      </c>
      <c r="D138" s="111" t="s">
        <v>486</v>
      </c>
      <c r="E138" s="111" t="s">
        <v>487</v>
      </c>
      <c r="F138" s="109" t="s">
        <v>344</v>
      </c>
      <c r="G138" s="112">
        <v>46300</v>
      </c>
      <c r="H138" s="109" t="s">
        <v>4</v>
      </c>
      <c r="I138" s="109" t="s">
        <v>346</v>
      </c>
      <c r="J138" s="109"/>
      <c r="K138" s="109"/>
      <c r="L138" s="109" t="s">
        <v>346</v>
      </c>
      <c r="M138" s="109"/>
      <c r="N138" s="109"/>
      <c r="O138" s="113"/>
    </row>
    <row r="139" spans="1:15" ht="70.05" customHeight="1" outlineLevel="1">
      <c r="A139" s="109" t="s">
        <v>790</v>
      </c>
      <c r="B139" s="110" t="s">
        <v>787</v>
      </c>
      <c r="C139" s="110" t="s">
        <v>749</v>
      </c>
      <c r="D139" s="111" t="s">
        <v>791</v>
      </c>
      <c r="E139" s="111" t="s">
        <v>792</v>
      </c>
      <c r="F139" s="109" t="s">
        <v>344</v>
      </c>
      <c r="G139" s="112">
        <v>46300</v>
      </c>
      <c r="H139" s="109" t="s">
        <v>4</v>
      </c>
      <c r="I139" s="109" t="s">
        <v>346</v>
      </c>
      <c r="J139" s="109"/>
      <c r="K139" s="109"/>
      <c r="L139" s="109" t="s">
        <v>346</v>
      </c>
      <c r="M139" s="109"/>
      <c r="N139" s="109"/>
      <c r="O139" s="113"/>
    </row>
    <row r="140" spans="1:15" ht="70.05" customHeight="1" outlineLevel="1">
      <c r="A140" s="109" t="s">
        <v>793</v>
      </c>
      <c r="B140" s="110" t="s">
        <v>794</v>
      </c>
      <c r="C140" s="110" t="s">
        <v>766</v>
      </c>
      <c r="D140" s="111" t="s">
        <v>795</v>
      </c>
      <c r="E140" s="111" t="s">
        <v>796</v>
      </c>
      <c r="F140" s="109" t="s">
        <v>344</v>
      </c>
      <c r="G140" s="112">
        <v>46300</v>
      </c>
      <c r="H140" s="109" t="s">
        <v>4</v>
      </c>
      <c r="I140" s="109" t="s">
        <v>346</v>
      </c>
      <c r="J140" s="109"/>
      <c r="K140" s="109"/>
      <c r="L140" s="109" t="s">
        <v>346</v>
      </c>
      <c r="M140" s="109"/>
      <c r="N140" s="109"/>
      <c r="O140" s="113"/>
    </row>
    <row r="141" spans="1:15" ht="70.05" customHeight="1" outlineLevel="1">
      <c r="A141" s="109" t="s">
        <v>797</v>
      </c>
      <c r="B141" s="110" t="s">
        <v>798</v>
      </c>
      <c r="C141" s="110" t="s">
        <v>761</v>
      </c>
      <c r="D141" s="111" t="s">
        <v>799</v>
      </c>
      <c r="E141" s="111" t="s">
        <v>800</v>
      </c>
      <c r="F141" s="109" t="s">
        <v>344</v>
      </c>
      <c r="G141" s="112">
        <v>46300</v>
      </c>
      <c r="H141" s="109" t="s">
        <v>4</v>
      </c>
      <c r="I141" s="109" t="s">
        <v>346</v>
      </c>
      <c r="J141" s="109"/>
      <c r="K141" s="109"/>
      <c r="L141" s="109" t="s">
        <v>346</v>
      </c>
      <c r="M141" s="109"/>
      <c r="N141" s="109"/>
      <c r="O141" s="113"/>
    </row>
    <row r="142" spans="1:15" ht="70.05" customHeight="1" outlineLevel="1">
      <c r="A142" s="109" t="s">
        <v>801</v>
      </c>
      <c r="B142" s="110" t="s">
        <v>798</v>
      </c>
      <c r="C142" s="110" t="s">
        <v>761</v>
      </c>
      <c r="D142" s="111" t="s">
        <v>802</v>
      </c>
      <c r="E142" s="111" t="s">
        <v>768</v>
      </c>
      <c r="F142" s="109" t="s">
        <v>344</v>
      </c>
      <c r="G142" s="112">
        <v>46300</v>
      </c>
      <c r="H142" s="109" t="s">
        <v>4</v>
      </c>
      <c r="I142" s="109" t="s">
        <v>346</v>
      </c>
      <c r="J142" s="109"/>
      <c r="K142" s="109"/>
      <c r="L142" s="109" t="s">
        <v>346</v>
      </c>
      <c r="M142" s="109"/>
      <c r="N142" s="109"/>
      <c r="O142" s="113"/>
    </row>
    <row r="143" spans="1:15" ht="70.05" customHeight="1" outlineLevel="1">
      <c r="A143" s="109" t="s">
        <v>803</v>
      </c>
      <c r="B143" s="110" t="s">
        <v>804</v>
      </c>
      <c r="C143" s="110" t="s">
        <v>805</v>
      </c>
      <c r="D143" s="111" t="s">
        <v>806</v>
      </c>
      <c r="E143" s="111" t="s">
        <v>807</v>
      </c>
      <c r="F143" s="109" t="s">
        <v>344</v>
      </c>
      <c r="G143" s="112">
        <v>46300</v>
      </c>
      <c r="H143" s="109" t="s">
        <v>4</v>
      </c>
      <c r="I143" s="109" t="s">
        <v>346</v>
      </c>
      <c r="J143" s="109"/>
      <c r="K143" s="109"/>
      <c r="L143" s="109" t="s">
        <v>346</v>
      </c>
      <c r="M143" s="109"/>
      <c r="N143" s="109"/>
      <c r="O143" s="113"/>
    </row>
    <row r="144" spans="1:15" ht="15.75" customHeight="1">
      <c r="A144" s="60" t="s">
        <v>51</v>
      </c>
      <c r="B144" s="60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2"/>
    </row>
    <row r="145" spans="1:15" ht="70.05" customHeight="1" outlineLevel="1">
      <c r="A145" s="109" t="s">
        <v>808</v>
      </c>
      <c r="B145" s="110" t="s">
        <v>809</v>
      </c>
      <c r="C145" s="110" t="s">
        <v>810</v>
      </c>
      <c r="D145" s="111" t="s">
        <v>811</v>
      </c>
      <c r="E145" s="111" t="s">
        <v>812</v>
      </c>
      <c r="F145" s="109" t="s">
        <v>344</v>
      </c>
      <c r="G145" s="112">
        <v>46300</v>
      </c>
      <c r="H145" s="109" t="s">
        <v>4</v>
      </c>
      <c r="I145" s="109" t="s">
        <v>346</v>
      </c>
      <c r="J145" s="109"/>
      <c r="K145" s="109"/>
      <c r="L145" s="109" t="s">
        <v>346</v>
      </c>
      <c r="M145" s="109"/>
      <c r="N145" s="109"/>
      <c r="O145" s="113"/>
    </row>
    <row r="146" spans="1:15" ht="70.05" customHeight="1" outlineLevel="1">
      <c r="A146" s="109" t="s">
        <v>813</v>
      </c>
      <c r="B146" s="110" t="s">
        <v>809</v>
      </c>
      <c r="C146" s="110" t="s">
        <v>810</v>
      </c>
      <c r="D146" s="111" t="s">
        <v>814</v>
      </c>
      <c r="E146" s="111" t="s">
        <v>812</v>
      </c>
      <c r="F146" s="109" t="s">
        <v>344</v>
      </c>
      <c r="G146" s="112">
        <v>46300</v>
      </c>
      <c r="H146" s="109" t="s">
        <v>4</v>
      </c>
      <c r="I146" s="109" t="s">
        <v>346</v>
      </c>
      <c r="J146" s="109"/>
      <c r="K146" s="109"/>
      <c r="L146" s="109" t="s">
        <v>346</v>
      </c>
      <c r="M146" s="109"/>
      <c r="N146" s="109"/>
      <c r="O146" s="113"/>
    </row>
    <row r="147" spans="1:15" ht="70.05" customHeight="1" outlineLevel="1">
      <c r="A147" s="109" t="s">
        <v>815</v>
      </c>
      <c r="B147" s="110" t="s">
        <v>809</v>
      </c>
      <c r="C147" s="110" t="s">
        <v>810</v>
      </c>
      <c r="D147" s="111" t="s">
        <v>816</v>
      </c>
      <c r="E147" s="111" t="s">
        <v>812</v>
      </c>
      <c r="F147" s="109" t="s">
        <v>344</v>
      </c>
      <c r="G147" s="112">
        <v>46300</v>
      </c>
      <c r="H147" s="109" t="s">
        <v>4</v>
      </c>
      <c r="I147" s="109" t="s">
        <v>346</v>
      </c>
      <c r="J147" s="109"/>
      <c r="K147" s="109"/>
      <c r="L147" s="109" t="s">
        <v>346</v>
      </c>
      <c r="M147" s="109"/>
      <c r="N147" s="109"/>
      <c r="O147" s="113"/>
    </row>
    <row r="148" spans="1:15" ht="70.05" customHeight="1" outlineLevel="1">
      <c r="A148" s="109" t="s">
        <v>817</v>
      </c>
      <c r="B148" s="110" t="s">
        <v>818</v>
      </c>
      <c r="C148" s="110" t="s">
        <v>819</v>
      </c>
      <c r="D148" s="111" t="s">
        <v>820</v>
      </c>
      <c r="E148" s="111" t="s">
        <v>812</v>
      </c>
      <c r="F148" s="109" t="s">
        <v>344</v>
      </c>
      <c r="G148" s="112">
        <v>46300</v>
      </c>
      <c r="H148" s="109" t="s">
        <v>4</v>
      </c>
      <c r="I148" s="109" t="s">
        <v>346</v>
      </c>
      <c r="J148" s="109"/>
      <c r="K148" s="109"/>
      <c r="L148" s="109" t="s">
        <v>346</v>
      </c>
      <c r="M148" s="109"/>
      <c r="N148" s="109"/>
      <c r="O148" s="113"/>
    </row>
    <row r="149" spans="1:15" ht="70.05" customHeight="1" outlineLevel="1">
      <c r="A149" s="109" t="s">
        <v>821</v>
      </c>
      <c r="B149" s="110" t="s">
        <v>822</v>
      </c>
      <c r="C149" s="110" t="s">
        <v>823</v>
      </c>
      <c r="D149" s="111" t="s">
        <v>824</v>
      </c>
      <c r="E149" s="111" t="s">
        <v>812</v>
      </c>
      <c r="F149" s="109" t="s">
        <v>344</v>
      </c>
      <c r="G149" s="112">
        <v>46300</v>
      </c>
      <c r="H149" s="109" t="s">
        <v>4</v>
      </c>
      <c r="I149" s="109" t="s">
        <v>346</v>
      </c>
      <c r="J149" s="109"/>
      <c r="K149" s="109"/>
      <c r="L149" s="109" t="s">
        <v>346</v>
      </c>
      <c r="M149" s="109"/>
      <c r="N149" s="109"/>
      <c r="O149" s="113"/>
    </row>
    <row r="150" spans="1:15" ht="70.05" customHeight="1" outlineLevel="1">
      <c r="A150" s="109" t="s">
        <v>825</v>
      </c>
      <c r="B150" s="110" t="s">
        <v>826</v>
      </c>
      <c r="C150" s="110" t="s">
        <v>827</v>
      </c>
      <c r="D150" s="111" t="s">
        <v>828</v>
      </c>
      <c r="E150" s="111" t="s">
        <v>812</v>
      </c>
      <c r="F150" s="109" t="s">
        <v>344</v>
      </c>
      <c r="G150" s="112">
        <v>46300</v>
      </c>
      <c r="H150" s="109" t="s">
        <v>4</v>
      </c>
      <c r="I150" s="109" t="s">
        <v>346</v>
      </c>
      <c r="J150" s="109"/>
      <c r="K150" s="109"/>
      <c r="L150" s="109" t="s">
        <v>346</v>
      </c>
      <c r="M150" s="109"/>
      <c r="N150" s="109"/>
      <c r="O150" s="113"/>
    </row>
    <row r="151" spans="1:15" ht="70.05" customHeight="1" outlineLevel="1">
      <c r="A151" s="109" t="s">
        <v>829</v>
      </c>
      <c r="B151" s="110" t="s">
        <v>830</v>
      </c>
      <c r="C151" s="110" t="s">
        <v>831</v>
      </c>
      <c r="D151" s="111" t="s">
        <v>832</v>
      </c>
      <c r="E151" s="111" t="s">
        <v>833</v>
      </c>
      <c r="F151" s="109" t="s">
        <v>344</v>
      </c>
      <c r="G151" s="112">
        <v>46300</v>
      </c>
      <c r="H151" s="109" t="s">
        <v>4</v>
      </c>
      <c r="I151" s="109" t="s">
        <v>346</v>
      </c>
      <c r="J151" s="109"/>
      <c r="K151" s="109"/>
      <c r="L151" s="109" t="s">
        <v>346</v>
      </c>
      <c r="M151" s="109"/>
      <c r="N151" s="109"/>
      <c r="O151" s="113"/>
    </row>
    <row r="152" spans="1:15" ht="70.05" customHeight="1" outlineLevel="1">
      <c r="A152" s="109" t="s">
        <v>834</v>
      </c>
      <c r="B152" s="110" t="s">
        <v>809</v>
      </c>
      <c r="C152" s="110" t="s">
        <v>810</v>
      </c>
      <c r="D152" s="111" t="s">
        <v>835</v>
      </c>
      <c r="E152" s="111" t="s">
        <v>812</v>
      </c>
      <c r="F152" s="109" t="s">
        <v>344</v>
      </c>
      <c r="G152" s="112">
        <v>46300</v>
      </c>
      <c r="H152" s="109" t="s">
        <v>4</v>
      </c>
      <c r="I152" s="109" t="s">
        <v>346</v>
      </c>
      <c r="J152" s="109"/>
      <c r="K152" s="109"/>
      <c r="L152" s="109" t="s">
        <v>346</v>
      </c>
      <c r="M152" s="109"/>
      <c r="N152" s="109"/>
      <c r="O152" s="113"/>
    </row>
    <row r="153" spans="1:15" ht="70.05" customHeight="1" outlineLevel="1">
      <c r="A153" s="109" t="s">
        <v>836</v>
      </c>
      <c r="B153" s="110" t="s">
        <v>809</v>
      </c>
      <c r="C153" s="110" t="s">
        <v>810</v>
      </c>
      <c r="D153" s="111" t="s">
        <v>837</v>
      </c>
      <c r="E153" s="111" t="s">
        <v>838</v>
      </c>
      <c r="F153" s="109" t="s">
        <v>344</v>
      </c>
      <c r="G153" s="112">
        <v>46300</v>
      </c>
      <c r="H153" s="109" t="s">
        <v>4</v>
      </c>
      <c r="I153" s="109" t="s">
        <v>346</v>
      </c>
      <c r="J153" s="109"/>
      <c r="K153" s="109"/>
      <c r="L153" s="109" t="s">
        <v>346</v>
      </c>
      <c r="M153" s="109"/>
      <c r="N153" s="109"/>
      <c r="O153" s="113"/>
    </row>
    <row r="154" spans="1:15" ht="70.05" customHeight="1" outlineLevel="1">
      <c r="A154" s="109" t="s">
        <v>839</v>
      </c>
      <c r="B154" s="110" t="s">
        <v>840</v>
      </c>
      <c r="C154" s="110" t="s">
        <v>810</v>
      </c>
      <c r="D154" s="111" t="s">
        <v>841</v>
      </c>
      <c r="E154" s="111" t="s">
        <v>812</v>
      </c>
      <c r="F154" s="109" t="s">
        <v>344</v>
      </c>
      <c r="G154" s="112">
        <v>46300</v>
      </c>
      <c r="H154" s="109" t="s">
        <v>4</v>
      </c>
      <c r="I154" s="109" t="s">
        <v>346</v>
      </c>
      <c r="J154" s="109"/>
      <c r="K154" s="109"/>
      <c r="L154" s="109" t="s">
        <v>346</v>
      </c>
      <c r="M154" s="109"/>
      <c r="N154" s="109"/>
      <c r="O154" s="113"/>
    </row>
    <row r="155" spans="1:15" ht="70.05" customHeight="1" outlineLevel="1">
      <c r="A155" s="109" t="s">
        <v>842</v>
      </c>
      <c r="B155" s="110" t="s">
        <v>840</v>
      </c>
      <c r="C155" s="110" t="s">
        <v>810</v>
      </c>
      <c r="D155" s="111" t="s">
        <v>843</v>
      </c>
      <c r="E155" s="111" t="s">
        <v>844</v>
      </c>
      <c r="F155" s="109" t="s">
        <v>344</v>
      </c>
      <c r="G155" s="112">
        <v>46300</v>
      </c>
      <c r="H155" s="109" t="s">
        <v>4</v>
      </c>
      <c r="I155" s="109" t="s">
        <v>346</v>
      </c>
      <c r="J155" s="109"/>
      <c r="K155" s="109"/>
      <c r="L155" s="109" t="s">
        <v>346</v>
      </c>
      <c r="M155" s="109"/>
      <c r="N155" s="109"/>
      <c r="O155" s="113"/>
    </row>
    <row r="156" spans="1:15" ht="70.05" customHeight="1" outlineLevel="1">
      <c r="A156" s="109" t="s">
        <v>845</v>
      </c>
      <c r="B156" s="110" t="s">
        <v>846</v>
      </c>
      <c r="C156" s="110" t="s">
        <v>847</v>
      </c>
      <c r="D156" s="111" t="s">
        <v>848</v>
      </c>
      <c r="E156" s="111" t="s">
        <v>417</v>
      </c>
      <c r="F156" s="109" t="s">
        <v>344</v>
      </c>
      <c r="G156" s="112">
        <v>46300</v>
      </c>
      <c r="H156" s="109" t="s">
        <v>4</v>
      </c>
      <c r="I156" s="109" t="s">
        <v>346</v>
      </c>
      <c r="J156" s="109"/>
      <c r="K156" s="109"/>
      <c r="L156" s="109" t="s">
        <v>346</v>
      </c>
      <c r="M156" s="109"/>
      <c r="N156" s="109"/>
      <c r="O156" s="113"/>
    </row>
    <row r="157" spans="1:15" ht="70.05" customHeight="1" outlineLevel="1">
      <c r="A157" s="109" t="s">
        <v>849</v>
      </c>
      <c r="B157" s="110" t="s">
        <v>850</v>
      </c>
      <c r="C157" s="110" t="s">
        <v>851</v>
      </c>
      <c r="D157" s="111" t="s">
        <v>852</v>
      </c>
      <c r="E157" s="111" t="s">
        <v>417</v>
      </c>
      <c r="F157" s="109" t="s">
        <v>344</v>
      </c>
      <c r="G157" s="112">
        <v>46300</v>
      </c>
      <c r="H157" s="109" t="s">
        <v>4</v>
      </c>
      <c r="I157" s="109" t="s">
        <v>346</v>
      </c>
      <c r="J157" s="109"/>
      <c r="K157" s="109"/>
      <c r="L157" s="109" t="s">
        <v>346</v>
      </c>
      <c r="M157" s="109"/>
      <c r="N157" s="109"/>
      <c r="O157" s="113"/>
    </row>
    <row r="158" spans="1:15" ht="70.05" customHeight="1" outlineLevel="1">
      <c r="A158" s="109" t="s">
        <v>853</v>
      </c>
      <c r="B158" s="110" t="s">
        <v>854</v>
      </c>
      <c r="C158" s="110" t="s">
        <v>855</v>
      </c>
      <c r="D158" s="111" t="s">
        <v>856</v>
      </c>
      <c r="E158" s="111" t="s">
        <v>812</v>
      </c>
      <c r="F158" s="109" t="s">
        <v>344</v>
      </c>
      <c r="G158" s="112">
        <v>46300</v>
      </c>
      <c r="H158" s="109" t="s">
        <v>4</v>
      </c>
      <c r="I158" s="109" t="s">
        <v>346</v>
      </c>
      <c r="J158" s="109"/>
      <c r="K158" s="109"/>
      <c r="L158" s="109" t="s">
        <v>346</v>
      </c>
      <c r="M158" s="109"/>
      <c r="N158" s="109"/>
      <c r="O158" s="113"/>
    </row>
    <row r="159" spans="1:15" ht="70.05" customHeight="1" outlineLevel="1">
      <c r="A159" s="109" t="s">
        <v>857</v>
      </c>
      <c r="B159" s="110" t="s">
        <v>858</v>
      </c>
      <c r="C159" s="110" t="s">
        <v>859</v>
      </c>
      <c r="D159" s="111" t="s">
        <v>860</v>
      </c>
      <c r="E159" s="111" t="s">
        <v>417</v>
      </c>
      <c r="F159" s="109" t="s">
        <v>344</v>
      </c>
      <c r="G159" s="112">
        <v>46300</v>
      </c>
      <c r="H159" s="109" t="s">
        <v>4</v>
      </c>
      <c r="I159" s="109" t="s">
        <v>346</v>
      </c>
      <c r="J159" s="109"/>
      <c r="K159" s="109"/>
      <c r="L159" s="109" t="s">
        <v>346</v>
      </c>
      <c r="M159" s="109"/>
      <c r="N159" s="109"/>
      <c r="O159" s="113"/>
    </row>
    <row r="160" spans="1:15" ht="70.05" customHeight="1" outlineLevel="1">
      <c r="A160" s="109" t="s">
        <v>861</v>
      </c>
      <c r="B160" s="110" t="s">
        <v>862</v>
      </c>
      <c r="C160" s="110" t="s">
        <v>863</v>
      </c>
      <c r="D160" s="111" t="s">
        <v>864</v>
      </c>
      <c r="E160" s="111" t="s">
        <v>865</v>
      </c>
      <c r="F160" s="109" t="s">
        <v>344</v>
      </c>
      <c r="G160" s="112">
        <v>46300</v>
      </c>
      <c r="H160" s="109" t="s">
        <v>4</v>
      </c>
      <c r="I160" s="109" t="s">
        <v>346</v>
      </c>
      <c r="J160" s="109"/>
      <c r="K160" s="109"/>
      <c r="L160" s="109" t="s">
        <v>346</v>
      </c>
      <c r="M160" s="109"/>
      <c r="N160" s="109"/>
      <c r="O160" s="113"/>
    </row>
    <row r="161" spans="1:15" ht="15.75" customHeight="1">
      <c r="A161" s="60" t="s">
        <v>54</v>
      </c>
      <c r="B161" s="60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2"/>
    </row>
    <row r="162" spans="1:15" ht="70.05" customHeight="1" outlineLevel="1">
      <c r="A162" s="109" t="s">
        <v>866</v>
      </c>
      <c r="B162" s="110" t="s">
        <v>867</v>
      </c>
      <c r="C162" s="110" t="s">
        <v>868</v>
      </c>
      <c r="D162" s="111" t="s">
        <v>869</v>
      </c>
      <c r="E162" s="111" t="s">
        <v>870</v>
      </c>
      <c r="F162" s="109" t="s">
        <v>344</v>
      </c>
      <c r="G162" s="112">
        <v>46300</v>
      </c>
      <c r="H162" s="109" t="s">
        <v>4</v>
      </c>
      <c r="I162" s="109" t="s">
        <v>346</v>
      </c>
      <c r="J162" s="109"/>
      <c r="K162" s="109"/>
      <c r="L162" s="109" t="s">
        <v>346</v>
      </c>
      <c r="M162" s="109"/>
      <c r="N162" s="109"/>
      <c r="O162" s="113"/>
    </row>
    <row r="163" spans="1:15" ht="70.05" customHeight="1" outlineLevel="1">
      <c r="A163" s="109" t="s">
        <v>871</v>
      </c>
      <c r="B163" s="110" t="s">
        <v>867</v>
      </c>
      <c r="C163" s="110" t="s">
        <v>868</v>
      </c>
      <c r="D163" s="111" t="s">
        <v>872</v>
      </c>
      <c r="E163" s="111" t="s">
        <v>870</v>
      </c>
      <c r="F163" s="109" t="s">
        <v>344</v>
      </c>
      <c r="G163" s="112">
        <v>46300</v>
      </c>
      <c r="H163" s="109" t="s">
        <v>4</v>
      </c>
      <c r="I163" s="109" t="s">
        <v>346</v>
      </c>
      <c r="J163" s="109"/>
      <c r="K163" s="109"/>
      <c r="L163" s="109" t="s">
        <v>346</v>
      </c>
      <c r="M163" s="109"/>
      <c r="N163" s="109"/>
      <c r="O163" s="113"/>
    </row>
    <row r="164" spans="1:15" ht="70.05" customHeight="1" outlineLevel="1">
      <c r="A164" s="109" t="s">
        <v>873</v>
      </c>
      <c r="B164" s="110" t="s">
        <v>874</v>
      </c>
      <c r="C164" s="110" t="s">
        <v>875</v>
      </c>
      <c r="D164" s="111" t="s">
        <v>876</v>
      </c>
      <c r="E164" s="111" t="s">
        <v>877</v>
      </c>
      <c r="F164" s="109" t="s">
        <v>344</v>
      </c>
      <c r="G164" s="112">
        <v>46300</v>
      </c>
      <c r="H164" s="109" t="s">
        <v>4</v>
      </c>
      <c r="I164" s="109" t="s">
        <v>346</v>
      </c>
      <c r="J164" s="109"/>
      <c r="K164" s="109"/>
      <c r="L164" s="109" t="s">
        <v>346</v>
      </c>
      <c r="M164" s="109"/>
      <c r="N164" s="109"/>
      <c r="O164" s="113"/>
    </row>
    <row r="165" spans="1:15" ht="70.05" customHeight="1" outlineLevel="1">
      <c r="A165" s="109" t="s">
        <v>878</v>
      </c>
      <c r="B165" s="110" t="s">
        <v>867</v>
      </c>
      <c r="C165" s="110" t="s">
        <v>868</v>
      </c>
      <c r="D165" s="111" t="s">
        <v>879</v>
      </c>
      <c r="E165" s="111" t="s">
        <v>880</v>
      </c>
      <c r="F165" s="109" t="s">
        <v>344</v>
      </c>
      <c r="G165" s="112">
        <v>46300</v>
      </c>
      <c r="H165" s="109" t="s">
        <v>4</v>
      </c>
      <c r="I165" s="109" t="s">
        <v>346</v>
      </c>
      <c r="J165" s="109"/>
      <c r="K165" s="109"/>
      <c r="L165" s="109" t="s">
        <v>346</v>
      </c>
      <c r="M165" s="109"/>
      <c r="N165" s="109"/>
      <c r="O165" s="113"/>
    </row>
    <row r="166" spans="1:15" ht="70.05" customHeight="1" outlineLevel="1">
      <c r="A166" s="109" t="s">
        <v>881</v>
      </c>
      <c r="B166" s="110" t="s">
        <v>867</v>
      </c>
      <c r="C166" s="110" t="s">
        <v>868</v>
      </c>
      <c r="D166" s="111" t="s">
        <v>882</v>
      </c>
      <c r="E166" s="111" t="s">
        <v>883</v>
      </c>
      <c r="F166" s="109" t="s">
        <v>344</v>
      </c>
      <c r="G166" s="112">
        <v>46300</v>
      </c>
      <c r="H166" s="109" t="s">
        <v>4</v>
      </c>
      <c r="I166" s="109" t="s">
        <v>346</v>
      </c>
      <c r="J166" s="109"/>
      <c r="K166" s="109"/>
      <c r="L166" s="109" t="s">
        <v>346</v>
      </c>
      <c r="M166" s="109"/>
      <c r="N166" s="109"/>
      <c r="O166" s="113"/>
    </row>
    <row r="167" spans="1:15" ht="70.05" customHeight="1" outlineLevel="1">
      <c r="A167" s="109" t="s">
        <v>884</v>
      </c>
      <c r="B167" s="110" t="s">
        <v>867</v>
      </c>
      <c r="C167" s="110" t="s">
        <v>885</v>
      </c>
      <c r="D167" s="111" t="s">
        <v>886</v>
      </c>
      <c r="E167" s="111" t="s">
        <v>870</v>
      </c>
      <c r="F167" s="109" t="s">
        <v>344</v>
      </c>
      <c r="G167" s="112">
        <v>46300</v>
      </c>
      <c r="H167" s="109" t="s">
        <v>4</v>
      </c>
      <c r="I167" s="109" t="s">
        <v>346</v>
      </c>
      <c r="J167" s="109"/>
      <c r="K167" s="109"/>
      <c r="L167" s="109" t="s">
        <v>346</v>
      </c>
      <c r="M167" s="109"/>
      <c r="N167" s="109"/>
      <c r="O167" s="113"/>
    </row>
    <row r="168" spans="1:15" ht="70.05" customHeight="1" outlineLevel="1">
      <c r="A168" s="109" t="s">
        <v>887</v>
      </c>
      <c r="B168" s="110" t="s">
        <v>888</v>
      </c>
      <c r="C168" s="110" t="s">
        <v>889</v>
      </c>
      <c r="D168" s="111" t="s">
        <v>890</v>
      </c>
      <c r="E168" s="111" t="s">
        <v>891</v>
      </c>
      <c r="F168" s="109" t="s">
        <v>344</v>
      </c>
      <c r="G168" s="112">
        <v>46300</v>
      </c>
      <c r="H168" s="109" t="s">
        <v>4</v>
      </c>
      <c r="I168" s="109" t="s">
        <v>346</v>
      </c>
      <c r="J168" s="109"/>
      <c r="K168" s="109"/>
      <c r="L168" s="109" t="s">
        <v>346</v>
      </c>
      <c r="M168" s="109"/>
      <c r="N168" s="109"/>
      <c r="O168" s="113"/>
    </row>
    <row r="169" spans="1:15" ht="70.05" customHeight="1" outlineLevel="1">
      <c r="A169" s="109" t="s">
        <v>892</v>
      </c>
      <c r="B169" s="110" t="s">
        <v>867</v>
      </c>
      <c r="C169" s="110" t="s">
        <v>893</v>
      </c>
      <c r="D169" s="111" t="s">
        <v>894</v>
      </c>
      <c r="E169" s="111" t="s">
        <v>870</v>
      </c>
      <c r="F169" s="109" t="s">
        <v>344</v>
      </c>
      <c r="G169" s="112">
        <v>46300</v>
      </c>
      <c r="H169" s="109" t="s">
        <v>4</v>
      </c>
      <c r="I169" s="109" t="s">
        <v>346</v>
      </c>
      <c r="J169" s="109"/>
      <c r="K169" s="109"/>
      <c r="L169" s="109" t="s">
        <v>346</v>
      </c>
      <c r="M169" s="109"/>
      <c r="N169" s="109"/>
      <c r="O169" s="113"/>
    </row>
    <row r="170" spans="1:15" ht="70.05" customHeight="1" outlineLevel="1">
      <c r="A170" s="109" t="s">
        <v>895</v>
      </c>
      <c r="B170" s="110" t="s">
        <v>896</v>
      </c>
      <c r="C170" s="110" t="s">
        <v>897</v>
      </c>
      <c r="D170" s="111" t="s">
        <v>898</v>
      </c>
      <c r="E170" s="111" t="s">
        <v>877</v>
      </c>
      <c r="F170" s="109" t="s">
        <v>344</v>
      </c>
      <c r="G170" s="112">
        <v>46300</v>
      </c>
      <c r="H170" s="109" t="s">
        <v>4</v>
      </c>
      <c r="I170" s="109" t="s">
        <v>346</v>
      </c>
      <c r="J170" s="109"/>
      <c r="K170" s="109"/>
      <c r="L170" s="109" t="s">
        <v>346</v>
      </c>
      <c r="M170" s="109"/>
      <c r="N170" s="109"/>
      <c r="O170" s="113"/>
    </row>
    <row r="171" spans="1:15" ht="70.05" customHeight="1" outlineLevel="1">
      <c r="A171" s="109" t="s">
        <v>899</v>
      </c>
      <c r="B171" s="110" t="s">
        <v>900</v>
      </c>
      <c r="C171" s="110" t="s">
        <v>868</v>
      </c>
      <c r="D171" s="111" t="s">
        <v>901</v>
      </c>
      <c r="E171" s="111" t="s">
        <v>902</v>
      </c>
      <c r="F171" s="109" t="s">
        <v>344</v>
      </c>
      <c r="G171" s="112">
        <v>46300</v>
      </c>
      <c r="H171" s="109" t="s">
        <v>4</v>
      </c>
      <c r="I171" s="109" t="s">
        <v>346</v>
      </c>
      <c r="J171" s="109"/>
      <c r="K171" s="109"/>
      <c r="L171" s="109" t="s">
        <v>346</v>
      </c>
      <c r="M171" s="109"/>
      <c r="N171" s="109"/>
      <c r="O171" s="113"/>
    </row>
    <row r="172" spans="1:15" ht="70.05" customHeight="1" outlineLevel="1">
      <c r="A172" s="109" t="s">
        <v>903</v>
      </c>
      <c r="B172" s="110" t="s">
        <v>904</v>
      </c>
      <c r="C172" s="110" t="s">
        <v>905</v>
      </c>
      <c r="D172" s="111" t="s">
        <v>663</v>
      </c>
      <c r="E172" s="111" t="s">
        <v>870</v>
      </c>
      <c r="F172" s="109" t="s">
        <v>344</v>
      </c>
      <c r="G172" s="112">
        <v>46300</v>
      </c>
      <c r="H172" s="109" t="s">
        <v>4</v>
      </c>
      <c r="I172" s="109" t="s">
        <v>346</v>
      </c>
      <c r="J172" s="109"/>
      <c r="K172" s="109"/>
      <c r="L172" s="109" t="s">
        <v>346</v>
      </c>
      <c r="M172" s="109"/>
      <c r="N172" s="109"/>
      <c r="O172" s="113"/>
    </row>
    <row r="173" spans="1:15" ht="70.05" customHeight="1" outlineLevel="1">
      <c r="A173" s="109" t="s">
        <v>906</v>
      </c>
      <c r="B173" s="110" t="s">
        <v>907</v>
      </c>
      <c r="C173" s="110" t="s">
        <v>908</v>
      </c>
      <c r="D173" s="111" t="s">
        <v>909</v>
      </c>
      <c r="E173" s="111" t="s">
        <v>870</v>
      </c>
      <c r="F173" s="109" t="s">
        <v>344</v>
      </c>
      <c r="G173" s="112">
        <v>46300</v>
      </c>
      <c r="H173" s="109" t="s">
        <v>4</v>
      </c>
      <c r="I173" s="109" t="s">
        <v>346</v>
      </c>
      <c r="J173" s="109"/>
      <c r="K173" s="109"/>
      <c r="L173" s="109" t="s">
        <v>346</v>
      </c>
      <c r="M173" s="109"/>
      <c r="N173" s="109"/>
      <c r="O173" s="113"/>
    </row>
    <row r="174" spans="1:15" ht="70.05" customHeight="1" outlineLevel="1">
      <c r="A174" s="109" t="s">
        <v>910</v>
      </c>
      <c r="B174" s="110" t="s">
        <v>911</v>
      </c>
      <c r="C174" s="110" t="s">
        <v>875</v>
      </c>
      <c r="D174" s="111" t="s">
        <v>718</v>
      </c>
      <c r="E174" s="111" t="s">
        <v>912</v>
      </c>
      <c r="F174" s="109" t="s">
        <v>344</v>
      </c>
      <c r="G174" s="112">
        <v>46300</v>
      </c>
      <c r="H174" s="109" t="s">
        <v>4</v>
      </c>
      <c r="I174" s="109" t="s">
        <v>346</v>
      </c>
      <c r="J174" s="109"/>
      <c r="K174" s="109"/>
      <c r="L174" s="109" t="s">
        <v>346</v>
      </c>
      <c r="M174" s="109"/>
      <c r="N174" s="109"/>
      <c r="O174" s="113"/>
    </row>
    <row r="175" spans="1:15" ht="70.05" customHeight="1" outlineLevel="1">
      <c r="A175" s="109" t="s">
        <v>913</v>
      </c>
      <c r="B175" s="110" t="s">
        <v>914</v>
      </c>
      <c r="C175" s="110" t="s">
        <v>915</v>
      </c>
      <c r="D175" s="111" t="s">
        <v>916</v>
      </c>
      <c r="E175" s="111" t="s">
        <v>877</v>
      </c>
      <c r="F175" s="109" t="s">
        <v>344</v>
      </c>
      <c r="G175" s="112">
        <v>46300</v>
      </c>
      <c r="H175" s="109" t="s">
        <v>4</v>
      </c>
      <c r="I175" s="109" t="s">
        <v>346</v>
      </c>
      <c r="J175" s="109"/>
      <c r="K175" s="109"/>
      <c r="L175" s="109" t="s">
        <v>346</v>
      </c>
      <c r="M175" s="109"/>
      <c r="N175" s="109"/>
      <c r="O175" s="113"/>
    </row>
    <row r="176" spans="1:15" ht="70.05" customHeight="1" outlineLevel="1">
      <c r="A176" s="109" t="s">
        <v>917</v>
      </c>
      <c r="B176" s="110" t="s">
        <v>907</v>
      </c>
      <c r="C176" s="110" t="s">
        <v>908</v>
      </c>
      <c r="D176" s="111" t="s">
        <v>918</v>
      </c>
      <c r="E176" s="111" t="s">
        <v>877</v>
      </c>
      <c r="F176" s="109" t="s">
        <v>344</v>
      </c>
      <c r="G176" s="112">
        <v>46300</v>
      </c>
      <c r="H176" s="109" t="s">
        <v>4</v>
      </c>
      <c r="I176" s="109" t="s">
        <v>346</v>
      </c>
      <c r="J176" s="109"/>
      <c r="K176" s="109"/>
      <c r="L176" s="109" t="s">
        <v>346</v>
      </c>
      <c r="M176" s="109"/>
      <c r="N176" s="109"/>
      <c r="O176" s="113"/>
    </row>
    <row r="177" spans="1:15" ht="70.05" customHeight="1" outlineLevel="1">
      <c r="A177" s="109" t="s">
        <v>919</v>
      </c>
      <c r="B177" s="110" t="s">
        <v>920</v>
      </c>
      <c r="C177" s="110" t="s">
        <v>868</v>
      </c>
      <c r="D177" s="111" t="s">
        <v>562</v>
      </c>
      <c r="E177" s="111" t="s">
        <v>921</v>
      </c>
      <c r="F177" s="109" t="s">
        <v>344</v>
      </c>
      <c r="G177" s="112">
        <v>46300</v>
      </c>
      <c r="H177" s="109" t="s">
        <v>4</v>
      </c>
      <c r="I177" s="109" t="s">
        <v>346</v>
      </c>
      <c r="J177" s="109"/>
      <c r="K177" s="109"/>
      <c r="L177" s="109" t="s">
        <v>346</v>
      </c>
      <c r="M177" s="109"/>
      <c r="N177" s="109"/>
      <c r="O177" s="113"/>
    </row>
    <row r="178" spans="1:15" ht="70.05" customHeight="1" outlineLevel="1">
      <c r="A178" s="109" t="s">
        <v>922</v>
      </c>
      <c r="B178" s="110" t="s">
        <v>920</v>
      </c>
      <c r="C178" s="110" t="s">
        <v>868</v>
      </c>
      <c r="D178" s="111" t="s">
        <v>923</v>
      </c>
      <c r="E178" s="111" t="s">
        <v>924</v>
      </c>
      <c r="F178" s="109" t="s">
        <v>344</v>
      </c>
      <c r="G178" s="112">
        <v>46300</v>
      </c>
      <c r="H178" s="109" t="s">
        <v>4</v>
      </c>
      <c r="I178" s="109" t="s">
        <v>346</v>
      </c>
      <c r="J178" s="109"/>
      <c r="K178" s="109"/>
      <c r="L178" s="109" t="s">
        <v>346</v>
      </c>
      <c r="M178" s="109"/>
      <c r="N178" s="109"/>
      <c r="O178" s="113"/>
    </row>
    <row r="179" spans="1:15" ht="70.05" customHeight="1" outlineLevel="1">
      <c r="A179" s="109" t="s">
        <v>925</v>
      </c>
      <c r="B179" s="110" t="s">
        <v>926</v>
      </c>
      <c r="C179" s="110" t="s">
        <v>927</v>
      </c>
      <c r="D179" s="111" t="s">
        <v>486</v>
      </c>
      <c r="E179" s="111" t="s">
        <v>928</v>
      </c>
      <c r="F179" s="109" t="s">
        <v>344</v>
      </c>
      <c r="G179" s="112">
        <v>46300</v>
      </c>
      <c r="H179" s="109" t="s">
        <v>4</v>
      </c>
      <c r="I179" s="109" t="s">
        <v>346</v>
      </c>
      <c r="J179" s="109"/>
      <c r="K179" s="109"/>
      <c r="L179" s="109" t="s">
        <v>346</v>
      </c>
      <c r="M179" s="109"/>
      <c r="N179" s="109"/>
      <c r="O179" s="113"/>
    </row>
  </sheetData>
  <mergeCells count="3">
    <mergeCell ref="B3:E3"/>
    <mergeCell ref="B2:E2"/>
    <mergeCell ref="B4:E4"/>
  </mergeCells>
  <dataValidations count="1">
    <dataValidation type="list" allowBlank="1" sqref="F12:F179 I12:I179 L12:L179" xr:uid="{00000000-0002-0000-0300-000000000000}">
      <formula1>$R$2:$R$5</formula1>
    </dataValidation>
  </dataValidations>
  <pageMargins left="0.74791666666666667" right="0.25" top="0.75" bottom="0.98402777777777772" header="0.5" footer="0.5"/>
  <pageSetup paperSize="9" firstPageNumber="0" orientation="landscape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R85"/>
  <sheetViews>
    <sheetView workbookViewId="0"/>
  </sheetViews>
  <sheetFormatPr defaultColWidth="9" defaultRowHeight="13.2" outlineLevelRow="1" outlineLevelCol="1"/>
  <cols>
    <col min="1" max="1" width="17" style="1" customWidth="1"/>
    <col min="2" max="2" width="34.44140625" style="1" customWidth="1"/>
    <col min="3" max="3" width="34.109375" style="1" customWidth="1"/>
    <col min="4" max="4" width="34.6640625" style="1" customWidth="1"/>
    <col min="5" max="5" width="28.33203125" style="1" customWidth="1"/>
    <col min="6" max="6" width="9.33203125" style="1" customWidth="1"/>
    <col min="7" max="7" width="10.6640625" style="1" customWidth="1" outlineLevel="1"/>
    <col min="8" max="8" width="7" style="1" bestFit="1" customWidth="1" outlineLevel="1"/>
    <col min="9" max="9" width="9.33203125" style="1" customWidth="1"/>
    <col min="10" max="10" width="10.6640625" style="1" customWidth="1" outlineLevel="1"/>
    <col min="11" max="11" width="7" style="1" bestFit="1" customWidth="1" outlineLevel="1"/>
    <col min="12" max="12" width="9.33203125" style="1" customWidth="1"/>
    <col min="13" max="13" width="10.6640625" style="1" customWidth="1" outlineLevel="1"/>
    <col min="14" max="14" width="7" style="1" bestFit="1" customWidth="1" outlineLevel="1"/>
    <col min="15" max="15" width="28.6640625" style="1" customWidth="1"/>
    <col min="16" max="16" width="10.109375" style="1" customWidth="1"/>
    <col min="17" max="17" width="8.109375" style="23" customWidth="1"/>
    <col min="18" max="18" width="7.6640625" style="1" hidden="1" customWidth="1"/>
    <col min="19" max="20" width="9" style="1" customWidth="1"/>
    <col min="21" max="16384" width="9" style="1"/>
  </cols>
  <sheetData>
    <row r="1" spans="1:18" ht="13.95" customHeight="1" thickBot="1"/>
    <row r="2" spans="1:18" s="25" customFormat="1" ht="15" customHeight="1">
      <c r="A2" s="73" t="s">
        <v>353</v>
      </c>
      <c r="B2" s="130" t="s">
        <v>58</v>
      </c>
      <c r="C2" s="131"/>
      <c r="D2" s="131"/>
      <c r="E2" s="132"/>
      <c r="F2" s="63"/>
      <c r="G2" s="57"/>
      <c r="H2" s="9"/>
      <c r="I2" s="63"/>
      <c r="J2" s="57"/>
      <c r="K2" s="9"/>
      <c r="L2" s="63"/>
      <c r="M2" s="57"/>
      <c r="N2" s="9"/>
      <c r="O2" s="9"/>
      <c r="P2" s="9"/>
      <c r="Q2" s="24"/>
      <c r="R2" s="25" t="s">
        <v>344</v>
      </c>
    </row>
    <row r="3" spans="1:18" s="25" customFormat="1" ht="13.95" customHeight="1">
      <c r="A3" s="74" t="s">
        <v>354</v>
      </c>
      <c r="B3" s="127" t="s">
        <v>929</v>
      </c>
      <c r="C3" s="128"/>
      <c r="D3" s="128"/>
      <c r="E3" s="129"/>
      <c r="F3" s="63"/>
      <c r="G3" s="57"/>
      <c r="H3" s="9"/>
      <c r="I3" s="63"/>
      <c r="J3" s="57"/>
      <c r="K3" s="9"/>
      <c r="L3" s="63"/>
      <c r="M3" s="57"/>
      <c r="N3" s="9"/>
      <c r="O3" s="9"/>
      <c r="P3" s="9"/>
      <c r="Q3" s="24"/>
      <c r="R3" s="25" t="s">
        <v>345</v>
      </c>
    </row>
    <row r="4" spans="1:18" s="25" customFormat="1" ht="18" customHeight="1">
      <c r="A4" s="74" t="s">
        <v>356</v>
      </c>
      <c r="B4" s="127">
        <f>COUNTA(F12:F1000)</f>
        <v>71</v>
      </c>
      <c r="C4" s="128"/>
      <c r="D4" s="128"/>
      <c r="E4" s="129"/>
      <c r="F4" s="63"/>
      <c r="G4" s="57"/>
      <c r="H4" s="9"/>
      <c r="I4" s="63"/>
      <c r="J4" s="57"/>
      <c r="K4" s="9"/>
      <c r="L4" s="63"/>
      <c r="M4" s="57"/>
      <c r="N4" s="9"/>
      <c r="O4" s="9"/>
      <c r="P4" s="9"/>
      <c r="Q4" s="24"/>
      <c r="R4" s="25" t="s">
        <v>346</v>
      </c>
    </row>
    <row r="5" spans="1:18" s="25" customFormat="1" ht="19.5" customHeight="1">
      <c r="A5" s="67" t="s">
        <v>357</v>
      </c>
      <c r="B5" s="65" t="s">
        <v>344</v>
      </c>
      <c r="C5" s="65" t="s">
        <v>345</v>
      </c>
      <c r="D5" s="65" t="s">
        <v>346</v>
      </c>
      <c r="E5" s="68" t="s">
        <v>347</v>
      </c>
      <c r="F5" s="58"/>
      <c r="G5" s="58"/>
      <c r="H5" s="26"/>
      <c r="I5" s="58"/>
      <c r="J5" s="58"/>
      <c r="K5" s="26"/>
      <c r="L5" s="58"/>
      <c r="M5" s="58"/>
      <c r="N5" s="26"/>
      <c r="O5" s="26"/>
      <c r="P5" s="26"/>
      <c r="Q5" s="27"/>
      <c r="R5" s="25" t="s">
        <v>347</v>
      </c>
    </row>
    <row r="6" spans="1:18" s="25" customFormat="1" ht="15" customHeight="1">
      <c r="A6" s="67" t="s">
        <v>358</v>
      </c>
      <c r="B6" s="66">
        <f>COUNTIF($F$10:$F$998,B$5)</f>
        <v>71</v>
      </c>
      <c r="C6" s="66">
        <f>COUNTIF($F$10:$F$998,C$5)</f>
        <v>0</v>
      </c>
      <c r="D6" s="66">
        <f>COUNTIF($F$10:$F$998,D$5)</f>
        <v>0</v>
      </c>
      <c r="E6" s="72">
        <f>COUNTIF($F$10:$F$998,E$5)</f>
        <v>0</v>
      </c>
      <c r="F6" s="59"/>
      <c r="G6" s="59"/>
      <c r="H6" s="26"/>
      <c r="I6" s="59"/>
      <c r="J6" s="59"/>
      <c r="K6" s="26"/>
      <c r="L6" s="59"/>
      <c r="M6" s="59"/>
      <c r="N6" s="26"/>
      <c r="O6" s="26"/>
      <c r="P6" s="26"/>
      <c r="Q6" s="27"/>
    </row>
    <row r="7" spans="1:18" s="25" customFormat="1" ht="15" customHeight="1">
      <c r="A7" s="67" t="s">
        <v>359</v>
      </c>
      <c r="B7" s="66">
        <f>COUNTIF($I$10:$I$998,B$5)</f>
        <v>0</v>
      </c>
      <c r="C7" s="66">
        <f>COUNTIF($I$10:$I$998,C$5)</f>
        <v>0</v>
      </c>
      <c r="D7" s="66">
        <f>COUNTIF($I$10:$I$998,D$5)</f>
        <v>71</v>
      </c>
      <c r="E7" s="72">
        <f>COUNTIF($I$10:$I$998,E$5)</f>
        <v>0</v>
      </c>
      <c r="F7" s="59"/>
      <c r="G7" s="59"/>
      <c r="H7" s="26"/>
      <c r="I7" s="59"/>
      <c r="J7" s="59"/>
      <c r="K7" s="26"/>
      <c r="L7" s="59"/>
      <c r="M7" s="59"/>
      <c r="N7" s="26"/>
      <c r="O7" s="26"/>
      <c r="P7" s="26"/>
      <c r="Q7" s="27"/>
    </row>
    <row r="8" spans="1:18" s="25" customFormat="1" ht="15" customHeight="1" thickBot="1">
      <c r="A8" s="69" t="s">
        <v>360</v>
      </c>
      <c r="B8" s="70">
        <f>COUNTIF($L$10:$L$998,B$5)</f>
        <v>0</v>
      </c>
      <c r="C8" s="70">
        <f>COUNTIF($L$10:$L$998,C$5)</f>
        <v>0</v>
      </c>
      <c r="D8" s="70">
        <f>COUNTIF($L$10:$L$998,D$5)</f>
        <v>71</v>
      </c>
      <c r="E8" s="71">
        <f>COUNTIF($L$10:$L$998,E$5)</f>
        <v>0</v>
      </c>
      <c r="F8" s="59"/>
      <c r="G8" s="59"/>
      <c r="H8" s="26"/>
      <c r="I8" s="59"/>
      <c r="J8" s="59"/>
      <c r="K8" s="26"/>
      <c r="L8" s="59"/>
      <c r="M8" s="59"/>
      <c r="N8" s="26"/>
      <c r="O8" s="26"/>
      <c r="P8" s="26"/>
      <c r="Q8" s="27"/>
    </row>
    <row r="9" spans="1:18" s="25" customFormat="1" ht="15" customHeight="1">
      <c r="A9" s="26"/>
      <c r="B9" s="26"/>
      <c r="C9" s="26"/>
      <c r="D9" s="26"/>
      <c r="E9" s="26"/>
      <c r="F9" s="28"/>
      <c r="G9" s="26"/>
      <c r="H9" s="26"/>
      <c r="I9" s="28"/>
      <c r="J9" s="26"/>
      <c r="K9" s="26"/>
      <c r="L9" s="28"/>
      <c r="M9" s="26"/>
      <c r="N9" s="26"/>
      <c r="O9" s="26"/>
      <c r="P9" s="26"/>
      <c r="Q9" s="27"/>
    </row>
    <row r="10" spans="1:18" s="25" customFormat="1" ht="25.5" customHeight="1">
      <c r="A10" s="64" t="s">
        <v>361</v>
      </c>
      <c r="B10" s="64" t="s">
        <v>362</v>
      </c>
      <c r="C10" s="64" t="s">
        <v>363</v>
      </c>
      <c r="D10" s="64" t="s">
        <v>364</v>
      </c>
      <c r="E10" s="64" t="s">
        <v>365</v>
      </c>
      <c r="F10" s="64" t="s">
        <v>358</v>
      </c>
      <c r="G10" s="64" t="s">
        <v>366</v>
      </c>
      <c r="H10" s="64" t="s">
        <v>367</v>
      </c>
      <c r="I10" s="64" t="s">
        <v>359</v>
      </c>
      <c r="J10" s="64" t="s">
        <v>366</v>
      </c>
      <c r="K10" s="64" t="s">
        <v>367</v>
      </c>
      <c r="L10" s="64" t="s">
        <v>360</v>
      </c>
      <c r="M10" s="64" t="s">
        <v>366</v>
      </c>
      <c r="N10" s="64" t="s">
        <v>367</v>
      </c>
      <c r="O10" s="64" t="s">
        <v>368</v>
      </c>
      <c r="Q10" s="29"/>
    </row>
    <row r="11" spans="1:18" s="25" customFormat="1" ht="15.75" customHeight="1">
      <c r="A11" s="60" t="s">
        <v>57</v>
      </c>
      <c r="B11" s="60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2"/>
      <c r="Q11" s="30"/>
    </row>
    <row r="12" spans="1:18" s="32" customFormat="1" ht="70.05" customHeight="1" outlineLevel="1">
      <c r="A12" s="109" t="s">
        <v>930</v>
      </c>
      <c r="B12" s="110" t="s">
        <v>931</v>
      </c>
      <c r="C12" s="110" t="s">
        <v>932</v>
      </c>
      <c r="D12" s="111" t="s">
        <v>933</v>
      </c>
      <c r="E12" s="111" t="s">
        <v>934</v>
      </c>
      <c r="F12" s="109" t="s">
        <v>344</v>
      </c>
      <c r="G12" s="112">
        <v>46300</v>
      </c>
      <c r="H12" s="109" t="s">
        <v>4</v>
      </c>
      <c r="I12" s="109" t="s">
        <v>346</v>
      </c>
      <c r="J12" s="109"/>
      <c r="K12" s="109"/>
      <c r="L12" s="109" t="s">
        <v>346</v>
      </c>
      <c r="M12" s="109"/>
      <c r="N12" s="109"/>
      <c r="O12" s="113"/>
      <c r="Q12" s="31"/>
    </row>
    <row r="13" spans="1:18" ht="70.05" customHeight="1" outlineLevel="1">
      <c r="A13" s="109" t="s">
        <v>935</v>
      </c>
      <c r="B13" s="110" t="s">
        <v>931</v>
      </c>
      <c r="C13" s="110" t="s">
        <v>932</v>
      </c>
      <c r="D13" s="111" t="s">
        <v>936</v>
      </c>
      <c r="E13" s="111" t="s">
        <v>937</v>
      </c>
      <c r="F13" s="109" t="s">
        <v>344</v>
      </c>
      <c r="G13" s="112">
        <v>46300</v>
      </c>
      <c r="H13" s="109" t="s">
        <v>4</v>
      </c>
      <c r="I13" s="109" t="s">
        <v>346</v>
      </c>
      <c r="J13" s="109"/>
      <c r="K13" s="109"/>
      <c r="L13" s="109" t="s">
        <v>346</v>
      </c>
      <c r="M13" s="109"/>
      <c r="N13" s="109"/>
      <c r="O13" s="113"/>
      <c r="Q13" s="31"/>
    </row>
    <row r="14" spans="1:18" ht="70.05" customHeight="1" outlineLevel="1">
      <c r="A14" s="109" t="s">
        <v>938</v>
      </c>
      <c r="B14" s="110" t="s">
        <v>931</v>
      </c>
      <c r="C14" s="110" t="s">
        <v>932</v>
      </c>
      <c r="D14" s="111" t="s">
        <v>939</v>
      </c>
      <c r="E14" s="111" t="s">
        <v>940</v>
      </c>
      <c r="F14" s="109" t="s">
        <v>344</v>
      </c>
      <c r="G14" s="112">
        <v>46300</v>
      </c>
      <c r="H14" s="109" t="s">
        <v>4</v>
      </c>
      <c r="I14" s="109" t="s">
        <v>346</v>
      </c>
      <c r="J14" s="109"/>
      <c r="K14" s="109"/>
      <c r="L14" s="109" t="s">
        <v>346</v>
      </c>
      <c r="M14" s="109"/>
      <c r="N14" s="109"/>
      <c r="O14" s="113"/>
      <c r="Q14" s="31"/>
    </row>
    <row r="15" spans="1:18" s="25" customFormat="1" ht="70.05" customHeight="1" outlineLevel="1">
      <c r="A15" s="109" t="s">
        <v>941</v>
      </c>
      <c r="B15" s="110" t="s">
        <v>931</v>
      </c>
      <c r="C15" s="110" t="s">
        <v>932</v>
      </c>
      <c r="D15" s="111" t="s">
        <v>942</v>
      </c>
      <c r="E15" s="111" t="s">
        <v>943</v>
      </c>
      <c r="F15" s="109" t="s">
        <v>344</v>
      </c>
      <c r="G15" s="112">
        <v>46300</v>
      </c>
      <c r="H15" s="109" t="s">
        <v>4</v>
      </c>
      <c r="I15" s="109" t="s">
        <v>346</v>
      </c>
      <c r="J15" s="109"/>
      <c r="K15" s="109"/>
      <c r="L15" s="109" t="s">
        <v>346</v>
      </c>
      <c r="M15" s="109"/>
      <c r="N15" s="109"/>
      <c r="O15" s="113"/>
      <c r="Q15" s="30"/>
    </row>
    <row r="16" spans="1:18" ht="70.05" customHeight="1" outlineLevel="1">
      <c r="A16" s="109" t="s">
        <v>944</v>
      </c>
      <c r="B16" s="110" t="s">
        <v>931</v>
      </c>
      <c r="C16" s="110" t="s">
        <v>932</v>
      </c>
      <c r="D16" s="111" t="s">
        <v>945</v>
      </c>
      <c r="E16" s="111" t="s">
        <v>946</v>
      </c>
      <c r="F16" s="109" t="s">
        <v>344</v>
      </c>
      <c r="G16" s="112">
        <v>46300</v>
      </c>
      <c r="H16" s="109" t="s">
        <v>4</v>
      </c>
      <c r="I16" s="109" t="s">
        <v>346</v>
      </c>
      <c r="J16" s="109"/>
      <c r="K16" s="109"/>
      <c r="L16" s="109" t="s">
        <v>346</v>
      </c>
      <c r="M16" s="109"/>
      <c r="N16" s="109"/>
      <c r="O16" s="113"/>
      <c r="Q16" s="31"/>
    </row>
    <row r="17" spans="1:17" ht="70.05" customHeight="1" outlineLevel="1">
      <c r="A17" s="109" t="s">
        <v>947</v>
      </c>
      <c r="B17" s="110" t="s">
        <v>931</v>
      </c>
      <c r="C17" s="110" t="s">
        <v>932</v>
      </c>
      <c r="D17" s="111" t="s">
        <v>948</v>
      </c>
      <c r="E17" s="111" t="s">
        <v>949</v>
      </c>
      <c r="F17" s="109" t="s">
        <v>344</v>
      </c>
      <c r="G17" s="112">
        <v>46300</v>
      </c>
      <c r="H17" s="109" t="s">
        <v>4</v>
      </c>
      <c r="I17" s="109" t="s">
        <v>346</v>
      </c>
      <c r="J17" s="109"/>
      <c r="K17" s="109"/>
      <c r="L17" s="109" t="s">
        <v>346</v>
      </c>
      <c r="M17" s="109"/>
      <c r="N17" s="109"/>
      <c r="O17" s="113"/>
    </row>
    <row r="18" spans="1:17" s="25" customFormat="1" ht="70.05" customHeight="1" outlineLevel="1">
      <c r="A18" s="109" t="s">
        <v>950</v>
      </c>
      <c r="B18" s="110" t="s">
        <v>931</v>
      </c>
      <c r="C18" s="110" t="s">
        <v>932</v>
      </c>
      <c r="D18" s="111" t="s">
        <v>951</v>
      </c>
      <c r="E18" s="111" t="s">
        <v>952</v>
      </c>
      <c r="F18" s="109" t="s">
        <v>344</v>
      </c>
      <c r="G18" s="112">
        <v>46300</v>
      </c>
      <c r="H18" s="109" t="s">
        <v>4</v>
      </c>
      <c r="I18" s="109" t="s">
        <v>346</v>
      </c>
      <c r="J18" s="109"/>
      <c r="K18" s="109"/>
      <c r="L18" s="109" t="s">
        <v>346</v>
      </c>
      <c r="M18" s="109"/>
      <c r="N18" s="109"/>
      <c r="O18" s="113"/>
      <c r="Q18" s="30"/>
    </row>
    <row r="19" spans="1:17" ht="70.05" customHeight="1" outlineLevel="1">
      <c r="A19" s="109" t="s">
        <v>953</v>
      </c>
      <c r="B19" s="110" t="s">
        <v>931</v>
      </c>
      <c r="C19" s="110" t="s">
        <v>932</v>
      </c>
      <c r="D19" s="111" t="s">
        <v>954</v>
      </c>
      <c r="E19" s="111" t="s">
        <v>955</v>
      </c>
      <c r="F19" s="109" t="s">
        <v>344</v>
      </c>
      <c r="G19" s="112">
        <v>46300</v>
      </c>
      <c r="H19" s="109" t="s">
        <v>4</v>
      </c>
      <c r="I19" s="109" t="s">
        <v>346</v>
      </c>
      <c r="J19" s="109"/>
      <c r="K19" s="109"/>
      <c r="L19" s="109" t="s">
        <v>346</v>
      </c>
      <c r="M19" s="109"/>
      <c r="N19" s="109"/>
      <c r="O19" s="113"/>
      <c r="Q19" s="31"/>
    </row>
    <row r="20" spans="1:17" ht="70.05" customHeight="1" outlineLevel="1">
      <c r="A20" s="109" t="s">
        <v>956</v>
      </c>
      <c r="B20" s="110" t="s">
        <v>931</v>
      </c>
      <c r="C20" s="110" t="s">
        <v>932</v>
      </c>
      <c r="D20" s="111" t="s">
        <v>957</v>
      </c>
      <c r="E20" s="111" t="s">
        <v>934</v>
      </c>
      <c r="F20" s="109" t="s">
        <v>344</v>
      </c>
      <c r="G20" s="112">
        <v>46300</v>
      </c>
      <c r="H20" s="109" t="s">
        <v>4</v>
      </c>
      <c r="I20" s="109" t="s">
        <v>346</v>
      </c>
      <c r="J20" s="109"/>
      <c r="K20" s="109"/>
      <c r="L20" s="109" t="s">
        <v>346</v>
      </c>
      <c r="M20" s="109"/>
      <c r="N20" s="109"/>
      <c r="O20" s="113"/>
    </row>
    <row r="21" spans="1:17" ht="70.05" customHeight="1" outlineLevel="1">
      <c r="A21" s="109" t="s">
        <v>958</v>
      </c>
      <c r="B21" s="110" t="s">
        <v>959</v>
      </c>
      <c r="C21" s="110" t="s">
        <v>932</v>
      </c>
      <c r="D21" s="111" t="s">
        <v>960</v>
      </c>
      <c r="E21" s="111" t="s">
        <v>961</v>
      </c>
      <c r="F21" s="109" t="s">
        <v>344</v>
      </c>
      <c r="G21" s="112">
        <v>46300</v>
      </c>
      <c r="H21" s="109" t="s">
        <v>4</v>
      </c>
      <c r="I21" s="109" t="s">
        <v>346</v>
      </c>
      <c r="J21" s="109"/>
      <c r="K21" s="109"/>
      <c r="L21" s="109" t="s">
        <v>346</v>
      </c>
      <c r="M21" s="109"/>
      <c r="N21" s="109"/>
      <c r="O21" s="113"/>
    </row>
    <row r="22" spans="1:17" ht="70.05" customHeight="1" outlineLevel="1">
      <c r="A22" s="109" t="s">
        <v>962</v>
      </c>
      <c r="B22" s="110" t="s">
        <v>959</v>
      </c>
      <c r="C22" s="110" t="s">
        <v>932</v>
      </c>
      <c r="D22" s="111" t="s">
        <v>963</v>
      </c>
      <c r="E22" s="111" t="s">
        <v>964</v>
      </c>
      <c r="F22" s="109" t="s">
        <v>344</v>
      </c>
      <c r="G22" s="112">
        <v>46300</v>
      </c>
      <c r="H22" s="109" t="s">
        <v>4</v>
      </c>
      <c r="I22" s="109" t="s">
        <v>346</v>
      </c>
      <c r="J22" s="109"/>
      <c r="K22" s="109"/>
      <c r="L22" s="109" t="s">
        <v>346</v>
      </c>
      <c r="M22" s="109"/>
      <c r="N22" s="109"/>
      <c r="O22" s="113"/>
    </row>
    <row r="23" spans="1:17" ht="70.05" customHeight="1" outlineLevel="1">
      <c r="A23" s="109" t="s">
        <v>965</v>
      </c>
      <c r="B23" s="110" t="s">
        <v>959</v>
      </c>
      <c r="C23" s="110" t="s">
        <v>932</v>
      </c>
      <c r="D23" s="111" t="s">
        <v>966</v>
      </c>
      <c r="E23" s="111" t="s">
        <v>967</v>
      </c>
      <c r="F23" s="109" t="s">
        <v>344</v>
      </c>
      <c r="G23" s="112">
        <v>46300</v>
      </c>
      <c r="H23" s="109" t="s">
        <v>4</v>
      </c>
      <c r="I23" s="109" t="s">
        <v>346</v>
      </c>
      <c r="J23" s="109"/>
      <c r="K23" s="109"/>
      <c r="L23" s="109" t="s">
        <v>346</v>
      </c>
      <c r="M23" s="109"/>
      <c r="N23" s="109"/>
      <c r="O23" s="113"/>
    </row>
    <row r="24" spans="1:17" ht="70.05" customHeight="1" outlineLevel="1">
      <c r="A24" s="109" t="s">
        <v>968</v>
      </c>
      <c r="B24" s="110" t="s">
        <v>959</v>
      </c>
      <c r="C24" s="110" t="s">
        <v>932</v>
      </c>
      <c r="D24" s="111" t="s">
        <v>969</v>
      </c>
      <c r="E24" s="111" t="s">
        <v>970</v>
      </c>
      <c r="F24" s="109" t="s">
        <v>344</v>
      </c>
      <c r="G24" s="112">
        <v>46300</v>
      </c>
      <c r="H24" s="109" t="s">
        <v>4</v>
      </c>
      <c r="I24" s="109" t="s">
        <v>346</v>
      </c>
      <c r="J24" s="109"/>
      <c r="K24" s="109"/>
      <c r="L24" s="109" t="s">
        <v>346</v>
      </c>
      <c r="M24" s="109"/>
      <c r="N24" s="109"/>
      <c r="O24" s="113"/>
    </row>
    <row r="25" spans="1:17" ht="70.05" customHeight="1" outlineLevel="1">
      <c r="A25" s="109" t="s">
        <v>971</v>
      </c>
      <c r="B25" s="110" t="s">
        <v>972</v>
      </c>
      <c r="C25" s="110" t="s">
        <v>973</v>
      </c>
      <c r="D25" s="111" t="s">
        <v>562</v>
      </c>
      <c r="E25" s="111" t="s">
        <v>974</v>
      </c>
      <c r="F25" s="109" t="s">
        <v>344</v>
      </c>
      <c r="G25" s="112">
        <v>46300</v>
      </c>
      <c r="H25" s="109" t="s">
        <v>4</v>
      </c>
      <c r="I25" s="109" t="s">
        <v>346</v>
      </c>
      <c r="J25" s="109"/>
      <c r="K25" s="109"/>
      <c r="L25" s="109" t="s">
        <v>346</v>
      </c>
      <c r="M25" s="109"/>
      <c r="N25" s="109"/>
      <c r="O25" s="113"/>
    </row>
    <row r="26" spans="1:17" ht="70.05" customHeight="1" outlineLevel="1">
      <c r="A26" s="109" t="s">
        <v>975</v>
      </c>
      <c r="B26" s="110" t="s">
        <v>976</v>
      </c>
      <c r="C26" s="110" t="s">
        <v>977</v>
      </c>
      <c r="D26" s="111" t="s">
        <v>978</v>
      </c>
      <c r="E26" s="111" t="s">
        <v>934</v>
      </c>
      <c r="F26" s="109" t="s">
        <v>344</v>
      </c>
      <c r="G26" s="112">
        <v>46300</v>
      </c>
      <c r="H26" s="109" t="s">
        <v>4</v>
      </c>
      <c r="I26" s="109" t="s">
        <v>346</v>
      </c>
      <c r="J26" s="109"/>
      <c r="K26" s="109"/>
      <c r="L26" s="109" t="s">
        <v>346</v>
      </c>
      <c r="M26" s="109"/>
      <c r="N26" s="109"/>
      <c r="O26" s="113"/>
    </row>
    <row r="27" spans="1:17" ht="70.05" customHeight="1" outlineLevel="1">
      <c r="A27" s="109" t="s">
        <v>979</v>
      </c>
      <c r="B27" s="110" t="s">
        <v>980</v>
      </c>
      <c r="C27" s="110" t="s">
        <v>981</v>
      </c>
      <c r="D27" s="111" t="s">
        <v>982</v>
      </c>
      <c r="E27" s="111" t="s">
        <v>983</v>
      </c>
      <c r="F27" s="109" t="s">
        <v>344</v>
      </c>
      <c r="G27" s="112">
        <v>46300</v>
      </c>
      <c r="H27" s="109" t="s">
        <v>4</v>
      </c>
      <c r="I27" s="109" t="s">
        <v>346</v>
      </c>
      <c r="J27" s="109"/>
      <c r="K27" s="109"/>
      <c r="L27" s="109" t="s">
        <v>346</v>
      </c>
      <c r="M27" s="109"/>
      <c r="N27" s="109"/>
      <c r="O27" s="113"/>
    </row>
    <row r="28" spans="1:17" ht="15.75" customHeight="1">
      <c r="A28" s="60" t="s">
        <v>61</v>
      </c>
      <c r="B28" s="60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2"/>
    </row>
    <row r="29" spans="1:17" ht="70.05" customHeight="1" outlineLevel="1">
      <c r="A29" s="109" t="s">
        <v>984</v>
      </c>
      <c r="B29" s="110" t="s">
        <v>985</v>
      </c>
      <c r="C29" s="110" t="s">
        <v>986</v>
      </c>
      <c r="D29" s="111" t="s">
        <v>987</v>
      </c>
      <c r="E29" s="111" t="s">
        <v>934</v>
      </c>
      <c r="F29" s="109" t="s">
        <v>344</v>
      </c>
      <c r="G29" s="112">
        <v>46300</v>
      </c>
      <c r="H29" s="109" t="s">
        <v>4</v>
      </c>
      <c r="I29" s="109" t="s">
        <v>346</v>
      </c>
      <c r="J29" s="109"/>
      <c r="K29" s="109"/>
      <c r="L29" s="109" t="s">
        <v>346</v>
      </c>
      <c r="M29" s="109"/>
      <c r="N29" s="109"/>
      <c r="O29" s="113"/>
    </row>
    <row r="30" spans="1:17" ht="70.05" customHeight="1" outlineLevel="1">
      <c r="A30" s="109" t="s">
        <v>988</v>
      </c>
      <c r="B30" s="110" t="s">
        <v>989</v>
      </c>
      <c r="C30" s="110" t="s">
        <v>990</v>
      </c>
      <c r="D30" s="111" t="s">
        <v>991</v>
      </c>
      <c r="E30" s="111" t="s">
        <v>992</v>
      </c>
      <c r="F30" s="109" t="s">
        <v>344</v>
      </c>
      <c r="G30" s="112">
        <v>46300</v>
      </c>
      <c r="H30" s="109" t="s">
        <v>4</v>
      </c>
      <c r="I30" s="109" t="s">
        <v>346</v>
      </c>
      <c r="J30" s="109"/>
      <c r="K30" s="109"/>
      <c r="L30" s="109" t="s">
        <v>346</v>
      </c>
      <c r="M30" s="109"/>
      <c r="N30" s="109"/>
      <c r="O30" s="113"/>
    </row>
    <row r="31" spans="1:17" ht="70.05" customHeight="1" outlineLevel="1">
      <c r="A31" s="109" t="s">
        <v>993</v>
      </c>
      <c r="B31" s="110" t="s">
        <v>994</v>
      </c>
      <c r="C31" s="110" t="s">
        <v>995</v>
      </c>
      <c r="D31" s="111" t="s">
        <v>996</v>
      </c>
      <c r="E31" s="111" t="s">
        <v>934</v>
      </c>
      <c r="F31" s="109" t="s">
        <v>344</v>
      </c>
      <c r="G31" s="112">
        <v>46300</v>
      </c>
      <c r="H31" s="109" t="s">
        <v>4</v>
      </c>
      <c r="I31" s="109" t="s">
        <v>346</v>
      </c>
      <c r="J31" s="109"/>
      <c r="K31" s="109"/>
      <c r="L31" s="109" t="s">
        <v>346</v>
      </c>
      <c r="M31" s="109"/>
      <c r="N31" s="109"/>
      <c r="O31" s="113"/>
    </row>
    <row r="32" spans="1:17" ht="70.05" customHeight="1" outlineLevel="1">
      <c r="A32" s="109" t="s">
        <v>997</v>
      </c>
      <c r="B32" s="110" t="s">
        <v>998</v>
      </c>
      <c r="C32" s="110" t="s">
        <v>999</v>
      </c>
      <c r="D32" s="111" t="s">
        <v>1000</v>
      </c>
      <c r="E32" s="111" t="s">
        <v>934</v>
      </c>
      <c r="F32" s="109" t="s">
        <v>344</v>
      </c>
      <c r="G32" s="112">
        <v>46300</v>
      </c>
      <c r="H32" s="109" t="s">
        <v>4</v>
      </c>
      <c r="I32" s="109" t="s">
        <v>346</v>
      </c>
      <c r="J32" s="109"/>
      <c r="K32" s="109"/>
      <c r="L32" s="109" t="s">
        <v>346</v>
      </c>
      <c r="M32" s="109"/>
      <c r="N32" s="109"/>
      <c r="O32" s="113"/>
    </row>
    <row r="33" spans="1:15" ht="70.05" customHeight="1" outlineLevel="1">
      <c r="A33" s="109" t="s">
        <v>1001</v>
      </c>
      <c r="B33" s="110" t="s">
        <v>1002</v>
      </c>
      <c r="C33" s="110" t="s">
        <v>1003</v>
      </c>
      <c r="D33" s="111" t="s">
        <v>1004</v>
      </c>
      <c r="E33" s="111" t="s">
        <v>1005</v>
      </c>
      <c r="F33" s="109" t="s">
        <v>344</v>
      </c>
      <c r="G33" s="112">
        <v>46300</v>
      </c>
      <c r="H33" s="109" t="s">
        <v>4</v>
      </c>
      <c r="I33" s="109" t="s">
        <v>346</v>
      </c>
      <c r="J33" s="109"/>
      <c r="K33" s="109"/>
      <c r="L33" s="109" t="s">
        <v>346</v>
      </c>
      <c r="M33" s="109"/>
      <c r="N33" s="109"/>
      <c r="O33" s="113"/>
    </row>
    <row r="34" spans="1:15" ht="70.05" customHeight="1" outlineLevel="1">
      <c r="A34" s="109" t="s">
        <v>1006</v>
      </c>
      <c r="B34" s="110" t="s">
        <v>1007</v>
      </c>
      <c r="C34" s="110" t="s">
        <v>1008</v>
      </c>
      <c r="D34" s="111" t="s">
        <v>1009</v>
      </c>
      <c r="E34" s="111" t="s">
        <v>934</v>
      </c>
      <c r="F34" s="109" t="s">
        <v>344</v>
      </c>
      <c r="G34" s="112">
        <v>46300</v>
      </c>
      <c r="H34" s="109" t="s">
        <v>4</v>
      </c>
      <c r="I34" s="109" t="s">
        <v>346</v>
      </c>
      <c r="J34" s="109"/>
      <c r="K34" s="109"/>
      <c r="L34" s="109" t="s">
        <v>346</v>
      </c>
      <c r="M34" s="109"/>
      <c r="N34" s="109"/>
      <c r="O34" s="113"/>
    </row>
    <row r="35" spans="1:15" ht="70.05" customHeight="1" outlineLevel="1">
      <c r="A35" s="109" t="s">
        <v>1010</v>
      </c>
      <c r="B35" s="110" t="s">
        <v>1011</v>
      </c>
      <c r="C35" s="110" t="s">
        <v>1012</v>
      </c>
      <c r="D35" s="111" t="s">
        <v>1013</v>
      </c>
      <c r="E35" s="111" t="s">
        <v>934</v>
      </c>
      <c r="F35" s="109" t="s">
        <v>344</v>
      </c>
      <c r="G35" s="112">
        <v>46300</v>
      </c>
      <c r="H35" s="109" t="s">
        <v>4</v>
      </c>
      <c r="I35" s="109" t="s">
        <v>346</v>
      </c>
      <c r="J35" s="109"/>
      <c r="K35" s="109"/>
      <c r="L35" s="109" t="s">
        <v>346</v>
      </c>
      <c r="M35" s="109"/>
      <c r="N35" s="109"/>
      <c r="O35" s="113"/>
    </row>
    <row r="36" spans="1:15" ht="70.05" customHeight="1" outlineLevel="1">
      <c r="A36" s="109" t="s">
        <v>1014</v>
      </c>
      <c r="B36" s="110" t="s">
        <v>1015</v>
      </c>
      <c r="C36" s="110" t="s">
        <v>1016</v>
      </c>
      <c r="D36" s="111" t="s">
        <v>1017</v>
      </c>
      <c r="E36" s="111" t="s">
        <v>934</v>
      </c>
      <c r="F36" s="109" t="s">
        <v>344</v>
      </c>
      <c r="G36" s="112">
        <v>46300</v>
      </c>
      <c r="H36" s="109" t="s">
        <v>4</v>
      </c>
      <c r="I36" s="109" t="s">
        <v>346</v>
      </c>
      <c r="J36" s="109"/>
      <c r="K36" s="109"/>
      <c r="L36" s="109" t="s">
        <v>346</v>
      </c>
      <c r="M36" s="109"/>
      <c r="N36" s="109"/>
      <c r="O36" s="113"/>
    </row>
    <row r="37" spans="1:15" ht="70.05" customHeight="1" outlineLevel="1">
      <c r="A37" s="109" t="s">
        <v>1018</v>
      </c>
      <c r="B37" s="110" t="s">
        <v>1019</v>
      </c>
      <c r="C37" s="110" t="s">
        <v>1020</v>
      </c>
      <c r="D37" s="111" t="s">
        <v>1021</v>
      </c>
      <c r="E37" s="111" t="s">
        <v>934</v>
      </c>
      <c r="F37" s="109" t="s">
        <v>344</v>
      </c>
      <c r="G37" s="112">
        <v>46300</v>
      </c>
      <c r="H37" s="109" t="s">
        <v>4</v>
      </c>
      <c r="I37" s="109" t="s">
        <v>346</v>
      </c>
      <c r="J37" s="109"/>
      <c r="K37" s="109"/>
      <c r="L37" s="109" t="s">
        <v>346</v>
      </c>
      <c r="M37" s="109"/>
      <c r="N37" s="109"/>
      <c r="O37" s="113"/>
    </row>
    <row r="38" spans="1:15" ht="70.05" customHeight="1" outlineLevel="1">
      <c r="A38" s="109" t="s">
        <v>1022</v>
      </c>
      <c r="B38" s="110" t="s">
        <v>1023</v>
      </c>
      <c r="C38" s="110" t="s">
        <v>1024</v>
      </c>
      <c r="D38" s="111" t="s">
        <v>1025</v>
      </c>
      <c r="E38" s="111" t="s">
        <v>934</v>
      </c>
      <c r="F38" s="109" t="s">
        <v>344</v>
      </c>
      <c r="G38" s="112">
        <v>46300</v>
      </c>
      <c r="H38" s="109" t="s">
        <v>4</v>
      </c>
      <c r="I38" s="109" t="s">
        <v>346</v>
      </c>
      <c r="J38" s="109"/>
      <c r="K38" s="109"/>
      <c r="L38" s="109" t="s">
        <v>346</v>
      </c>
      <c r="M38" s="109"/>
      <c r="N38" s="109"/>
      <c r="O38" s="113"/>
    </row>
    <row r="39" spans="1:15" ht="70.05" customHeight="1" outlineLevel="1">
      <c r="A39" s="109" t="s">
        <v>1026</v>
      </c>
      <c r="B39" s="110" t="s">
        <v>1027</v>
      </c>
      <c r="C39" s="110" t="s">
        <v>1028</v>
      </c>
      <c r="D39" s="111" t="s">
        <v>1029</v>
      </c>
      <c r="E39" s="111" t="s">
        <v>934</v>
      </c>
      <c r="F39" s="109" t="s">
        <v>344</v>
      </c>
      <c r="G39" s="112">
        <v>46300</v>
      </c>
      <c r="H39" s="109" t="s">
        <v>4</v>
      </c>
      <c r="I39" s="109" t="s">
        <v>346</v>
      </c>
      <c r="J39" s="109"/>
      <c r="K39" s="109"/>
      <c r="L39" s="109" t="s">
        <v>346</v>
      </c>
      <c r="M39" s="109"/>
      <c r="N39" s="109"/>
      <c r="O39" s="113"/>
    </row>
    <row r="40" spans="1:15" ht="70.05" customHeight="1" outlineLevel="1">
      <c r="A40" s="109" t="s">
        <v>1030</v>
      </c>
      <c r="B40" s="110" t="s">
        <v>1031</v>
      </c>
      <c r="C40" s="110" t="s">
        <v>1032</v>
      </c>
      <c r="D40" s="111" t="s">
        <v>1033</v>
      </c>
      <c r="E40" s="111" t="s">
        <v>934</v>
      </c>
      <c r="F40" s="109" t="s">
        <v>344</v>
      </c>
      <c r="G40" s="112">
        <v>46300</v>
      </c>
      <c r="H40" s="109" t="s">
        <v>4</v>
      </c>
      <c r="I40" s="109" t="s">
        <v>346</v>
      </c>
      <c r="J40" s="109"/>
      <c r="K40" s="109"/>
      <c r="L40" s="109" t="s">
        <v>346</v>
      </c>
      <c r="M40" s="109"/>
      <c r="N40" s="109"/>
      <c r="O40" s="113"/>
    </row>
    <row r="41" spans="1:15" ht="70.05" customHeight="1" outlineLevel="1">
      <c r="A41" s="109" t="s">
        <v>1034</v>
      </c>
      <c r="B41" s="110" t="s">
        <v>1035</v>
      </c>
      <c r="C41" s="110" t="s">
        <v>1036</v>
      </c>
      <c r="D41" s="111" t="s">
        <v>1037</v>
      </c>
      <c r="E41" s="111" t="s">
        <v>934</v>
      </c>
      <c r="F41" s="109" t="s">
        <v>344</v>
      </c>
      <c r="G41" s="112">
        <v>46300</v>
      </c>
      <c r="H41" s="109" t="s">
        <v>4</v>
      </c>
      <c r="I41" s="109" t="s">
        <v>346</v>
      </c>
      <c r="J41" s="109"/>
      <c r="K41" s="109"/>
      <c r="L41" s="109" t="s">
        <v>346</v>
      </c>
      <c r="M41" s="109"/>
      <c r="N41" s="109"/>
      <c r="O41" s="113"/>
    </row>
    <row r="42" spans="1:15" ht="70.05" customHeight="1" outlineLevel="1">
      <c r="A42" s="109" t="s">
        <v>1038</v>
      </c>
      <c r="B42" s="110" t="s">
        <v>1039</v>
      </c>
      <c r="C42" s="110" t="s">
        <v>1040</v>
      </c>
      <c r="D42" s="111" t="s">
        <v>1041</v>
      </c>
      <c r="E42" s="111" t="s">
        <v>934</v>
      </c>
      <c r="F42" s="109" t="s">
        <v>344</v>
      </c>
      <c r="G42" s="112">
        <v>46300</v>
      </c>
      <c r="H42" s="109" t="s">
        <v>4</v>
      </c>
      <c r="I42" s="109" t="s">
        <v>346</v>
      </c>
      <c r="J42" s="109"/>
      <c r="K42" s="109"/>
      <c r="L42" s="109" t="s">
        <v>346</v>
      </c>
      <c r="M42" s="109"/>
      <c r="N42" s="109"/>
      <c r="O42" s="113"/>
    </row>
    <row r="43" spans="1:15" ht="70.05" customHeight="1" outlineLevel="1">
      <c r="A43" s="109" t="s">
        <v>1042</v>
      </c>
      <c r="B43" s="110" t="s">
        <v>1043</v>
      </c>
      <c r="C43" s="110" t="s">
        <v>1044</v>
      </c>
      <c r="D43" s="111" t="s">
        <v>1045</v>
      </c>
      <c r="E43" s="111" t="s">
        <v>961</v>
      </c>
      <c r="F43" s="109" t="s">
        <v>344</v>
      </c>
      <c r="G43" s="112">
        <v>46300</v>
      </c>
      <c r="H43" s="109" t="s">
        <v>4</v>
      </c>
      <c r="I43" s="109" t="s">
        <v>346</v>
      </c>
      <c r="J43" s="109"/>
      <c r="K43" s="109"/>
      <c r="L43" s="109" t="s">
        <v>346</v>
      </c>
      <c r="M43" s="109"/>
      <c r="N43" s="109"/>
      <c r="O43" s="113"/>
    </row>
    <row r="44" spans="1:15" ht="70.05" customHeight="1" outlineLevel="1">
      <c r="A44" s="109" t="s">
        <v>1046</v>
      </c>
      <c r="B44" s="110" t="s">
        <v>1047</v>
      </c>
      <c r="C44" s="110" t="s">
        <v>1048</v>
      </c>
      <c r="D44" s="111" t="s">
        <v>1049</v>
      </c>
      <c r="E44" s="111" t="s">
        <v>934</v>
      </c>
      <c r="F44" s="109" t="s">
        <v>344</v>
      </c>
      <c r="G44" s="112">
        <v>46300</v>
      </c>
      <c r="H44" s="109" t="s">
        <v>4</v>
      </c>
      <c r="I44" s="109" t="s">
        <v>346</v>
      </c>
      <c r="J44" s="109"/>
      <c r="K44" s="109"/>
      <c r="L44" s="109" t="s">
        <v>346</v>
      </c>
      <c r="M44" s="109"/>
      <c r="N44" s="109"/>
      <c r="O44" s="113"/>
    </row>
    <row r="45" spans="1:15" ht="70.05" customHeight="1" outlineLevel="1">
      <c r="A45" s="109" t="s">
        <v>1050</v>
      </c>
      <c r="B45" s="110" t="s">
        <v>1051</v>
      </c>
      <c r="C45" s="110" t="s">
        <v>1052</v>
      </c>
      <c r="D45" s="111" t="s">
        <v>1049</v>
      </c>
      <c r="E45" s="111" t="s">
        <v>934</v>
      </c>
      <c r="F45" s="109" t="s">
        <v>344</v>
      </c>
      <c r="G45" s="112">
        <v>46300</v>
      </c>
      <c r="H45" s="109" t="s">
        <v>4</v>
      </c>
      <c r="I45" s="109" t="s">
        <v>346</v>
      </c>
      <c r="J45" s="109"/>
      <c r="K45" s="109"/>
      <c r="L45" s="109" t="s">
        <v>346</v>
      </c>
      <c r="M45" s="109"/>
      <c r="N45" s="109"/>
      <c r="O45" s="113"/>
    </row>
    <row r="46" spans="1:15" ht="70.05" customHeight="1" outlineLevel="1">
      <c r="A46" s="109" t="s">
        <v>1053</v>
      </c>
      <c r="B46" s="110" t="s">
        <v>1054</v>
      </c>
      <c r="C46" s="110" t="s">
        <v>1055</v>
      </c>
      <c r="D46" s="111" t="s">
        <v>1049</v>
      </c>
      <c r="E46" s="111" t="s">
        <v>934</v>
      </c>
      <c r="F46" s="109" t="s">
        <v>344</v>
      </c>
      <c r="G46" s="112">
        <v>46300</v>
      </c>
      <c r="H46" s="109" t="s">
        <v>4</v>
      </c>
      <c r="I46" s="109" t="s">
        <v>346</v>
      </c>
      <c r="J46" s="109"/>
      <c r="K46" s="109"/>
      <c r="L46" s="109" t="s">
        <v>346</v>
      </c>
      <c r="M46" s="109"/>
      <c r="N46" s="109"/>
      <c r="O46" s="113"/>
    </row>
    <row r="47" spans="1:15" ht="70.05" customHeight="1" outlineLevel="1">
      <c r="A47" s="109" t="s">
        <v>1056</v>
      </c>
      <c r="B47" s="110" t="s">
        <v>1057</v>
      </c>
      <c r="C47" s="110" t="s">
        <v>1028</v>
      </c>
      <c r="D47" s="111" t="s">
        <v>562</v>
      </c>
      <c r="E47" s="111" t="s">
        <v>921</v>
      </c>
      <c r="F47" s="109" t="s">
        <v>344</v>
      </c>
      <c r="G47" s="112">
        <v>46300</v>
      </c>
      <c r="H47" s="109" t="s">
        <v>4</v>
      </c>
      <c r="I47" s="109" t="s">
        <v>346</v>
      </c>
      <c r="J47" s="109"/>
      <c r="K47" s="109"/>
      <c r="L47" s="109" t="s">
        <v>346</v>
      </c>
      <c r="M47" s="109"/>
      <c r="N47" s="109"/>
      <c r="O47" s="113"/>
    </row>
    <row r="48" spans="1:15" ht="70.05" customHeight="1" outlineLevel="1">
      <c r="A48" s="109" t="s">
        <v>1058</v>
      </c>
      <c r="B48" s="110" t="s">
        <v>1059</v>
      </c>
      <c r="C48" s="110" t="s">
        <v>1044</v>
      </c>
      <c r="D48" s="111" t="s">
        <v>1060</v>
      </c>
      <c r="E48" s="111" t="s">
        <v>1061</v>
      </c>
      <c r="F48" s="109" t="s">
        <v>344</v>
      </c>
      <c r="G48" s="112">
        <v>46300</v>
      </c>
      <c r="H48" s="109" t="s">
        <v>4</v>
      </c>
      <c r="I48" s="109" t="s">
        <v>346</v>
      </c>
      <c r="J48" s="109"/>
      <c r="K48" s="109"/>
      <c r="L48" s="109" t="s">
        <v>346</v>
      </c>
      <c r="M48" s="109"/>
      <c r="N48" s="109"/>
      <c r="O48" s="113"/>
    </row>
    <row r="49" spans="1:15" ht="15.75" customHeight="1">
      <c r="A49" s="60" t="s">
        <v>63</v>
      </c>
      <c r="B49" s="60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2"/>
    </row>
    <row r="50" spans="1:15" ht="70.05" customHeight="1" outlineLevel="1">
      <c r="A50" s="109" t="s">
        <v>1062</v>
      </c>
      <c r="B50" s="110" t="s">
        <v>1063</v>
      </c>
      <c r="C50" s="110" t="s">
        <v>1064</v>
      </c>
      <c r="D50" s="111" t="s">
        <v>1065</v>
      </c>
      <c r="E50" s="111" t="s">
        <v>1066</v>
      </c>
      <c r="F50" s="109" t="s">
        <v>344</v>
      </c>
      <c r="G50" s="112">
        <v>46300</v>
      </c>
      <c r="H50" s="109" t="s">
        <v>4</v>
      </c>
      <c r="I50" s="109" t="s">
        <v>346</v>
      </c>
      <c r="J50" s="109"/>
      <c r="K50" s="109"/>
      <c r="L50" s="109" t="s">
        <v>346</v>
      </c>
      <c r="M50" s="109"/>
      <c r="N50" s="109"/>
      <c r="O50" s="113"/>
    </row>
    <row r="51" spans="1:15" ht="70.05" customHeight="1" outlineLevel="1">
      <c r="A51" s="109" t="s">
        <v>1067</v>
      </c>
      <c r="B51" s="110" t="s">
        <v>1063</v>
      </c>
      <c r="C51" s="110" t="s">
        <v>1064</v>
      </c>
      <c r="D51" s="111" t="s">
        <v>1068</v>
      </c>
      <c r="E51" s="111" t="s">
        <v>1069</v>
      </c>
      <c r="F51" s="109" t="s">
        <v>344</v>
      </c>
      <c r="G51" s="112">
        <v>46300</v>
      </c>
      <c r="H51" s="109" t="s">
        <v>4</v>
      </c>
      <c r="I51" s="109" t="s">
        <v>346</v>
      </c>
      <c r="J51" s="109"/>
      <c r="K51" s="109"/>
      <c r="L51" s="109" t="s">
        <v>346</v>
      </c>
      <c r="M51" s="109"/>
      <c r="N51" s="109"/>
      <c r="O51" s="113"/>
    </row>
    <row r="52" spans="1:15" ht="70.05" customHeight="1" outlineLevel="1">
      <c r="A52" s="109" t="s">
        <v>1070</v>
      </c>
      <c r="B52" s="110" t="s">
        <v>1063</v>
      </c>
      <c r="C52" s="110" t="s">
        <v>1064</v>
      </c>
      <c r="D52" s="111" t="s">
        <v>1071</v>
      </c>
      <c r="E52" s="111" t="s">
        <v>1072</v>
      </c>
      <c r="F52" s="109" t="s">
        <v>344</v>
      </c>
      <c r="G52" s="112">
        <v>46300</v>
      </c>
      <c r="H52" s="109" t="s">
        <v>4</v>
      </c>
      <c r="I52" s="109" t="s">
        <v>346</v>
      </c>
      <c r="J52" s="109"/>
      <c r="K52" s="109"/>
      <c r="L52" s="109" t="s">
        <v>346</v>
      </c>
      <c r="M52" s="109"/>
      <c r="N52" s="109"/>
      <c r="O52" s="113"/>
    </row>
    <row r="53" spans="1:15" ht="70.05" customHeight="1" outlineLevel="1">
      <c r="A53" s="109" t="s">
        <v>1073</v>
      </c>
      <c r="B53" s="110" t="s">
        <v>1063</v>
      </c>
      <c r="C53" s="110" t="s">
        <v>1064</v>
      </c>
      <c r="D53" s="111" t="s">
        <v>1074</v>
      </c>
      <c r="E53" s="111" t="s">
        <v>1075</v>
      </c>
      <c r="F53" s="109" t="s">
        <v>344</v>
      </c>
      <c r="G53" s="112">
        <v>46300</v>
      </c>
      <c r="H53" s="109" t="s">
        <v>4</v>
      </c>
      <c r="I53" s="109" t="s">
        <v>346</v>
      </c>
      <c r="J53" s="109"/>
      <c r="K53" s="109"/>
      <c r="L53" s="109" t="s">
        <v>346</v>
      </c>
      <c r="M53" s="109"/>
      <c r="N53" s="109"/>
      <c r="O53" s="113"/>
    </row>
    <row r="54" spans="1:15" ht="70.05" customHeight="1" outlineLevel="1">
      <c r="A54" s="109" t="s">
        <v>1076</v>
      </c>
      <c r="B54" s="110" t="s">
        <v>1063</v>
      </c>
      <c r="C54" s="110" t="s">
        <v>1064</v>
      </c>
      <c r="D54" s="111" t="s">
        <v>1077</v>
      </c>
      <c r="E54" s="111" t="s">
        <v>1078</v>
      </c>
      <c r="F54" s="109" t="s">
        <v>344</v>
      </c>
      <c r="G54" s="112">
        <v>46300</v>
      </c>
      <c r="H54" s="109" t="s">
        <v>4</v>
      </c>
      <c r="I54" s="109" t="s">
        <v>346</v>
      </c>
      <c r="J54" s="109"/>
      <c r="K54" s="109"/>
      <c r="L54" s="109" t="s">
        <v>346</v>
      </c>
      <c r="M54" s="109"/>
      <c r="N54" s="109"/>
      <c r="O54" s="113"/>
    </row>
    <row r="55" spans="1:15" ht="70.05" customHeight="1" outlineLevel="1">
      <c r="A55" s="109" t="s">
        <v>1079</v>
      </c>
      <c r="B55" s="110" t="s">
        <v>1063</v>
      </c>
      <c r="C55" s="110" t="s">
        <v>1064</v>
      </c>
      <c r="D55" s="111" t="s">
        <v>1080</v>
      </c>
      <c r="E55" s="111" t="s">
        <v>1081</v>
      </c>
      <c r="F55" s="109" t="s">
        <v>344</v>
      </c>
      <c r="G55" s="112">
        <v>46300</v>
      </c>
      <c r="H55" s="109" t="s">
        <v>4</v>
      </c>
      <c r="I55" s="109" t="s">
        <v>346</v>
      </c>
      <c r="J55" s="109"/>
      <c r="K55" s="109"/>
      <c r="L55" s="109" t="s">
        <v>346</v>
      </c>
      <c r="M55" s="109"/>
      <c r="N55" s="109"/>
      <c r="O55" s="113"/>
    </row>
    <row r="56" spans="1:15" ht="70.05" customHeight="1" outlineLevel="1">
      <c r="A56" s="109" t="s">
        <v>1082</v>
      </c>
      <c r="B56" s="110" t="s">
        <v>1083</v>
      </c>
      <c r="C56" s="110" t="s">
        <v>1084</v>
      </c>
      <c r="D56" s="111" t="s">
        <v>1085</v>
      </c>
      <c r="E56" s="111" t="s">
        <v>1086</v>
      </c>
      <c r="F56" s="109" t="s">
        <v>344</v>
      </c>
      <c r="G56" s="112">
        <v>46300</v>
      </c>
      <c r="H56" s="109" t="s">
        <v>4</v>
      </c>
      <c r="I56" s="109" t="s">
        <v>346</v>
      </c>
      <c r="J56" s="109"/>
      <c r="K56" s="109"/>
      <c r="L56" s="109" t="s">
        <v>346</v>
      </c>
      <c r="M56" s="109"/>
      <c r="N56" s="109"/>
      <c r="O56" s="113"/>
    </row>
    <row r="57" spans="1:15" ht="70.05" customHeight="1" outlineLevel="1">
      <c r="A57" s="109" t="s">
        <v>1087</v>
      </c>
      <c r="B57" s="110" t="s">
        <v>1063</v>
      </c>
      <c r="C57" s="110" t="s">
        <v>1064</v>
      </c>
      <c r="D57" s="111" t="s">
        <v>1088</v>
      </c>
      <c r="E57" s="111" t="s">
        <v>1089</v>
      </c>
      <c r="F57" s="109" t="s">
        <v>344</v>
      </c>
      <c r="G57" s="112">
        <v>46300</v>
      </c>
      <c r="H57" s="109" t="s">
        <v>4</v>
      </c>
      <c r="I57" s="109" t="s">
        <v>346</v>
      </c>
      <c r="J57" s="109"/>
      <c r="K57" s="109"/>
      <c r="L57" s="109" t="s">
        <v>346</v>
      </c>
      <c r="M57" s="109"/>
      <c r="N57" s="109"/>
      <c r="O57" s="113"/>
    </row>
    <row r="58" spans="1:15" ht="70.05" customHeight="1" outlineLevel="1">
      <c r="A58" s="109" t="s">
        <v>1090</v>
      </c>
      <c r="B58" s="110" t="s">
        <v>1091</v>
      </c>
      <c r="C58" s="110" t="s">
        <v>1064</v>
      </c>
      <c r="D58" s="111" t="s">
        <v>1092</v>
      </c>
      <c r="E58" s="111" t="s">
        <v>1093</v>
      </c>
      <c r="F58" s="109" t="s">
        <v>344</v>
      </c>
      <c r="G58" s="112">
        <v>46300</v>
      </c>
      <c r="H58" s="109" t="s">
        <v>4</v>
      </c>
      <c r="I58" s="109" t="s">
        <v>346</v>
      </c>
      <c r="J58" s="109"/>
      <c r="K58" s="109"/>
      <c r="L58" s="109" t="s">
        <v>346</v>
      </c>
      <c r="M58" s="109"/>
      <c r="N58" s="109"/>
      <c r="O58" s="113"/>
    </row>
    <row r="59" spans="1:15" ht="70.05" customHeight="1" outlineLevel="1">
      <c r="A59" s="109" t="s">
        <v>1094</v>
      </c>
      <c r="B59" s="110" t="s">
        <v>1091</v>
      </c>
      <c r="C59" s="110" t="s">
        <v>1064</v>
      </c>
      <c r="D59" s="111" t="s">
        <v>1095</v>
      </c>
      <c r="E59" s="111" t="s">
        <v>1096</v>
      </c>
      <c r="F59" s="109" t="s">
        <v>344</v>
      </c>
      <c r="G59" s="112">
        <v>46300</v>
      </c>
      <c r="H59" s="109" t="s">
        <v>4</v>
      </c>
      <c r="I59" s="109" t="s">
        <v>346</v>
      </c>
      <c r="J59" s="109"/>
      <c r="K59" s="109"/>
      <c r="L59" s="109" t="s">
        <v>346</v>
      </c>
      <c r="M59" s="109"/>
      <c r="N59" s="109"/>
      <c r="O59" s="113"/>
    </row>
    <row r="60" spans="1:15" ht="70.05" customHeight="1" outlineLevel="1">
      <c r="A60" s="109" t="s">
        <v>1097</v>
      </c>
      <c r="B60" s="110" t="s">
        <v>1091</v>
      </c>
      <c r="C60" s="110" t="s">
        <v>1064</v>
      </c>
      <c r="D60" s="111" t="s">
        <v>1098</v>
      </c>
      <c r="E60" s="111" t="s">
        <v>1099</v>
      </c>
      <c r="F60" s="109" t="s">
        <v>344</v>
      </c>
      <c r="G60" s="112">
        <v>46300</v>
      </c>
      <c r="H60" s="109" t="s">
        <v>4</v>
      </c>
      <c r="I60" s="109" t="s">
        <v>346</v>
      </c>
      <c r="J60" s="109"/>
      <c r="K60" s="109"/>
      <c r="L60" s="109" t="s">
        <v>346</v>
      </c>
      <c r="M60" s="109"/>
      <c r="N60" s="109"/>
      <c r="O60" s="113"/>
    </row>
    <row r="61" spans="1:15" ht="70.05" customHeight="1" outlineLevel="1">
      <c r="A61" s="109" t="s">
        <v>1100</v>
      </c>
      <c r="B61" s="110" t="s">
        <v>1091</v>
      </c>
      <c r="C61" s="110" t="s">
        <v>1064</v>
      </c>
      <c r="D61" s="111" t="s">
        <v>1101</v>
      </c>
      <c r="E61" s="111" t="s">
        <v>1102</v>
      </c>
      <c r="F61" s="109" t="s">
        <v>344</v>
      </c>
      <c r="G61" s="112">
        <v>46300</v>
      </c>
      <c r="H61" s="109" t="s">
        <v>4</v>
      </c>
      <c r="I61" s="109" t="s">
        <v>346</v>
      </c>
      <c r="J61" s="109"/>
      <c r="K61" s="109"/>
      <c r="L61" s="109" t="s">
        <v>346</v>
      </c>
      <c r="M61" s="109"/>
      <c r="N61" s="109"/>
      <c r="O61" s="113"/>
    </row>
    <row r="62" spans="1:15" ht="70.05" customHeight="1" outlineLevel="1">
      <c r="A62" s="109" t="s">
        <v>1103</v>
      </c>
      <c r="B62" s="110" t="s">
        <v>1091</v>
      </c>
      <c r="C62" s="110" t="s">
        <v>1064</v>
      </c>
      <c r="D62" s="111" t="s">
        <v>1104</v>
      </c>
      <c r="E62" s="111" t="s">
        <v>1105</v>
      </c>
      <c r="F62" s="109" t="s">
        <v>344</v>
      </c>
      <c r="G62" s="112">
        <v>46300</v>
      </c>
      <c r="H62" s="109" t="s">
        <v>4</v>
      </c>
      <c r="I62" s="109" t="s">
        <v>346</v>
      </c>
      <c r="J62" s="109"/>
      <c r="K62" s="109"/>
      <c r="L62" s="109" t="s">
        <v>346</v>
      </c>
      <c r="M62" s="109"/>
      <c r="N62" s="109"/>
      <c r="O62" s="113"/>
    </row>
    <row r="63" spans="1:15" ht="70.05" customHeight="1" outlineLevel="1">
      <c r="A63" s="109" t="s">
        <v>1106</v>
      </c>
      <c r="B63" s="110" t="s">
        <v>1107</v>
      </c>
      <c r="C63" s="110" t="s">
        <v>1108</v>
      </c>
      <c r="D63" s="111" t="s">
        <v>1109</v>
      </c>
      <c r="E63" s="111" t="s">
        <v>1110</v>
      </c>
      <c r="F63" s="109" t="s">
        <v>344</v>
      </c>
      <c r="G63" s="112">
        <v>46300</v>
      </c>
      <c r="H63" s="109" t="s">
        <v>4</v>
      </c>
      <c r="I63" s="109" t="s">
        <v>346</v>
      </c>
      <c r="J63" s="109"/>
      <c r="K63" s="109"/>
      <c r="L63" s="109" t="s">
        <v>346</v>
      </c>
      <c r="M63" s="109"/>
      <c r="N63" s="109"/>
      <c r="O63" s="113"/>
    </row>
    <row r="64" spans="1:15" ht="70.05" customHeight="1" outlineLevel="1">
      <c r="A64" s="109" t="s">
        <v>1111</v>
      </c>
      <c r="B64" s="110" t="s">
        <v>1112</v>
      </c>
      <c r="C64" s="110" t="s">
        <v>1113</v>
      </c>
      <c r="D64" s="111" t="s">
        <v>1114</v>
      </c>
      <c r="E64" s="111" t="s">
        <v>1115</v>
      </c>
      <c r="F64" s="109" t="s">
        <v>344</v>
      </c>
      <c r="G64" s="112">
        <v>46300</v>
      </c>
      <c r="H64" s="109" t="s">
        <v>4</v>
      </c>
      <c r="I64" s="109" t="s">
        <v>346</v>
      </c>
      <c r="J64" s="109"/>
      <c r="K64" s="109"/>
      <c r="L64" s="109" t="s">
        <v>346</v>
      </c>
      <c r="M64" s="109"/>
      <c r="N64" s="109"/>
      <c r="O64" s="113"/>
    </row>
    <row r="65" spans="1:15" ht="70.05" customHeight="1" outlineLevel="1">
      <c r="A65" s="109" t="s">
        <v>1116</v>
      </c>
      <c r="B65" s="110" t="s">
        <v>1117</v>
      </c>
      <c r="C65" s="110" t="s">
        <v>1118</v>
      </c>
      <c r="D65" s="111" t="s">
        <v>978</v>
      </c>
      <c r="E65" s="111" t="s">
        <v>417</v>
      </c>
      <c r="F65" s="109" t="s">
        <v>344</v>
      </c>
      <c r="G65" s="112">
        <v>46300</v>
      </c>
      <c r="H65" s="109" t="s">
        <v>4</v>
      </c>
      <c r="I65" s="109" t="s">
        <v>346</v>
      </c>
      <c r="J65" s="109"/>
      <c r="K65" s="109"/>
      <c r="L65" s="109" t="s">
        <v>346</v>
      </c>
      <c r="M65" s="109"/>
      <c r="N65" s="109"/>
      <c r="O65" s="113"/>
    </row>
    <row r="66" spans="1:15" ht="70.05" customHeight="1" outlineLevel="1">
      <c r="A66" s="109" t="s">
        <v>1119</v>
      </c>
      <c r="B66" s="110" t="s">
        <v>1120</v>
      </c>
      <c r="C66" s="110" t="s">
        <v>1121</v>
      </c>
      <c r="D66" s="111" t="s">
        <v>982</v>
      </c>
      <c r="E66" s="111" t="s">
        <v>983</v>
      </c>
      <c r="F66" s="109" t="s">
        <v>344</v>
      </c>
      <c r="G66" s="112">
        <v>46300</v>
      </c>
      <c r="H66" s="109" t="s">
        <v>4</v>
      </c>
      <c r="I66" s="109" t="s">
        <v>346</v>
      </c>
      <c r="J66" s="109"/>
      <c r="K66" s="109"/>
      <c r="L66" s="109" t="s">
        <v>346</v>
      </c>
      <c r="M66" s="109"/>
      <c r="N66" s="109"/>
      <c r="O66" s="113"/>
    </row>
    <row r="67" spans="1:15" ht="15.75" customHeight="1">
      <c r="A67" s="60" t="s">
        <v>66</v>
      </c>
      <c r="B67" s="60"/>
      <c r="C67" s="61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2"/>
    </row>
    <row r="68" spans="1:15" ht="70.05" customHeight="1" outlineLevel="1">
      <c r="A68" s="109" t="s">
        <v>1122</v>
      </c>
      <c r="B68" s="110" t="s">
        <v>1123</v>
      </c>
      <c r="C68" s="110" t="s">
        <v>1124</v>
      </c>
      <c r="D68" s="111" t="s">
        <v>1125</v>
      </c>
      <c r="E68" s="111" t="s">
        <v>1126</v>
      </c>
      <c r="F68" s="109" t="s">
        <v>344</v>
      </c>
      <c r="G68" s="112">
        <v>46300</v>
      </c>
      <c r="H68" s="109" t="s">
        <v>4</v>
      </c>
      <c r="I68" s="109" t="s">
        <v>346</v>
      </c>
      <c r="J68" s="109"/>
      <c r="K68" s="109"/>
      <c r="L68" s="109" t="s">
        <v>346</v>
      </c>
      <c r="M68" s="109"/>
      <c r="N68" s="109"/>
      <c r="O68" s="113"/>
    </row>
    <row r="69" spans="1:15" ht="70.05" customHeight="1" outlineLevel="1">
      <c r="A69" s="109" t="s">
        <v>1127</v>
      </c>
      <c r="B69" s="110" t="s">
        <v>1128</v>
      </c>
      <c r="C69" s="110" t="s">
        <v>1129</v>
      </c>
      <c r="D69" s="111" t="s">
        <v>1130</v>
      </c>
      <c r="E69" s="111" t="s">
        <v>1126</v>
      </c>
      <c r="F69" s="109" t="s">
        <v>344</v>
      </c>
      <c r="G69" s="112">
        <v>46300</v>
      </c>
      <c r="H69" s="109" t="s">
        <v>4</v>
      </c>
      <c r="I69" s="109" t="s">
        <v>346</v>
      </c>
      <c r="J69" s="109"/>
      <c r="K69" s="109"/>
      <c r="L69" s="109" t="s">
        <v>346</v>
      </c>
      <c r="M69" s="109"/>
      <c r="N69" s="109"/>
      <c r="O69" s="113"/>
    </row>
    <row r="70" spans="1:15" ht="70.05" customHeight="1" outlineLevel="1">
      <c r="A70" s="109" t="s">
        <v>1131</v>
      </c>
      <c r="B70" s="110" t="s">
        <v>1123</v>
      </c>
      <c r="C70" s="110" t="s">
        <v>1132</v>
      </c>
      <c r="D70" s="111" t="s">
        <v>1133</v>
      </c>
      <c r="E70" s="111" t="s">
        <v>1126</v>
      </c>
      <c r="F70" s="109" t="s">
        <v>344</v>
      </c>
      <c r="G70" s="112">
        <v>46300</v>
      </c>
      <c r="H70" s="109" t="s">
        <v>4</v>
      </c>
      <c r="I70" s="109" t="s">
        <v>346</v>
      </c>
      <c r="J70" s="109"/>
      <c r="K70" s="109"/>
      <c r="L70" s="109" t="s">
        <v>346</v>
      </c>
      <c r="M70" s="109"/>
      <c r="N70" s="109"/>
      <c r="O70" s="113"/>
    </row>
    <row r="71" spans="1:15" ht="70.05" customHeight="1" outlineLevel="1">
      <c r="A71" s="109" t="s">
        <v>1134</v>
      </c>
      <c r="B71" s="110" t="s">
        <v>1123</v>
      </c>
      <c r="C71" s="110" t="s">
        <v>1135</v>
      </c>
      <c r="D71" s="111" t="s">
        <v>1136</v>
      </c>
      <c r="E71" s="111" t="s">
        <v>1126</v>
      </c>
      <c r="F71" s="109" t="s">
        <v>344</v>
      </c>
      <c r="G71" s="112">
        <v>46300</v>
      </c>
      <c r="H71" s="109" t="s">
        <v>4</v>
      </c>
      <c r="I71" s="109" t="s">
        <v>346</v>
      </c>
      <c r="J71" s="109"/>
      <c r="K71" s="109"/>
      <c r="L71" s="109" t="s">
        <v>346</v>
      </c>
      <c r="M71" s="109"/>
      <c r="N71" s="109"/>
      <c r="O71" s="113"/>
    </row>
    <row r="72" spans="1:15" ht="70.05" customHeight="1" outlineLevel="1">
      <c r="A72" s="109" t="s">
        <v>1137</v>
      </c>
      <c r="B72" s="110" t="s">
        <v>1123</v>
      </c>
      <c r="C72" s="110" t="s">
        <v>1138</v>
      </c>
      <c r="D72" s="111" t="s">
        <v>1139</v>
      </c>
      <c r="E72" s="111" t="s">
        <v>1126</v>
      </c>
      <c r="F72" s="109" t="s">
        <v>344</v>
      </c>
      <c r="G72" s="112">
        <v>46300</v>
      </c>
      <c r="H72" s="109" t="s">
        <v>4</v>
      </c>
      <c r="I72" s="109" t="s">
        <v>346</v>
      </c>
      <c r="J72" s="109"/>
      <c r="K72" s="109"/>
      <c r="L72" s="109" t="s">
        <v>346</v>
      </c>
      <c r="M72" s="109"/>
      <c r="N72" s="109"/>
      <c r="O72" s="113"/>
    </row>
    <row r="73" spans="1:15" ht="70.05" customHeight="1" outlineLevel="1">
      <c r="A73" s="109" t="s">
        <v>1140</v>
      </c>
      <c r="B73" s="110" t="s">
        <v>1123</v>
      </c>
      <c r="C73" s="110" t="s">
        <v>1141</v>
      </c>
      <c r="D73" s="111" t="s">
        <v>1142</v>
      </c>
      <c r="E73" s="111" t="s">
        <v>1126</v>
      </c>
      <c r="F73" s="109" t="s">
        <v>344</v>
      </c>
      <c r="G73" s="112">
        <v>46300</v>
      </c>
      <c r="H73" s="109" t="s">
        <v>4</v>
      </c>
      <c r="I73" s="109" t="s">
        <v>346</v>
      </c>
      <c r="J73" s="109"/>
      <c r="K73" s="109"/>
      <c r="L73" s="109" t="s">
        <v>346</v>
      </c>
      <c r="M73" s="109"/>
      <c r="N73" s="109"/>
      <c r="O73" s="113"/>
    </row>
    <row r="74" spans="1:15" ht="70.05" customHeight="1" outlineLevel="1">
      <c r="A74" s="109" t="s">
        <v>1143</v>
      </c>
      <c r="B74" s="110" t="s">
        <v>1123</v>
      </c>
      <c r="C74" s="110" t="s">
        <v>1144</v>
      </c>
      <c r="D74" s="111" t="s">
        <v>1145</v>
      </c>
      <c r="E74" s="111" t="s">
        <v>1146</v>
      </c>
      <c r="F74" s="109" t="s">
        <v>344</v>
      </c>
      <c r="G74" s="112">
        <v>46300</v>
      </c>
      <c r="H74" s="109" t="s">
        <v>4</v>
      </c>
      <c r="I74" s="109" t="s">
        <v>346</v>
      </c>
      <c r="J74" s="109"/>
      <c r="K74" s="109"/>
      <c r="L74" s="109" t="s">
        <v>346</v>
      </c>
      <c r="M74" s="109"/>
      <c r="N74" s="109"/>
      <c r="O74" s="113"/>
    </row>
    <row r="75" spans="1:15" ht="70.05" customHeight="1" outlineLevel="1">
      <c r="A75" s="109" t="s">
        <v>1147</v>
      </c>
      <c r="B75" s="110" t="s">
        <v>1148</v>
      </c>
      <c r="C75" s="110" t="s">
        <v>1149</v>
      </c>
      <c r="D75" s="111" t="s">
        <v>1150</v>
      </c>
      <c r="E75" s="111" t="s">
        <v>1151</v>
      </c>
      <c r="F75" s="109" t="s">
        <v>344</v>
      </c>
      <c r="G75" s="112">
        <v>46300</v>
      </c>
      <c r="H75" s="109" t="s">
        <v>4</v>
      </c>
      <c r="I75" s="109" t="s">
        <v>346</v>
      </c>
      <c r="J75" s="109"/>
      <c r="K75" s="109"/>
      <c r="L75" s="109" t="s">
        <v>346</v>
      </c>
      <c r="M75" s="109"/>
      <c r="N75" s="109"/>
      <c r="O75" s="113"/>
    </row>
    <row r="76" spans="1:15" ht="70.05" customHeight="1" outlineLevel="1">
      <c r="A76" s="109" t="s">
        <v>1152</v>
      </c>
      <c r="B76" s="110" t="s">
        <v>1153</v>
      </c>
      <c r="C76" s="110" t="s">
        <v>1154</v>
      </c>
      <c r="D76" s="111" t="s">
        <v>1155</v>
      </c>
      <c r="E76" s="111" t="s">
        <v>1156</v>
      </c>
      <c r="F76" s="109" t="s">
        <v>344</v>
      </c>
      <c r="G76" s="112">
        <v>46300</v>
      </c>
      <c r="H76" s="109" t="s">
        <v>4</v>
      </c>
      <c r="I76" s="109" t="s">
        <v>346</v>
      </c>
      <c r="J76" s="109"/>
      <c r="K76" s="109"/>
      <c r="L76" s="109" t="s">
        <v>346</v>
      </c>
      <c r="M76" s="109"/>
      <c r="N76" s="109"/>
      <c r="O76" s="113"/>
    </row>
    <row r="77" spans="1:15" ht="70.05" customHeight="1" outlineLevel="1">
      <c r="A77" s="109" t="s">
        <v>1157</v>
      </c>
      <c r="B77" s="110" t="s">
        <v>1123</v>
      </c>
      <c r="C77" s="110" t="s">
        <v>1144</v>
      </c>
      <c r="D77" s="111" t="s">
        <v>1158</v>
      </c>
      <c r="E77" s="111" t="s">
        <v>1126</v>
      </c>
      <c r="F77" s="109" t="s">
        <v>344</v>
      </c>
      <c r="G77" s="112">
        <v>46300</v>
      </c>
      <c r="H77" s="109" t="s">
        <v>4</v>
      </c>
      <c r="I77" s="109" t="s">
        <v>346</v>
      </c>
      <c r="J77" s="109"/>
      <c r="K77" s="109"/>
      <c r="L77" s="109" t="s">
        <v>346</v>
      </c>
      <c r="M77" s="109"/>
      <c r="N77" s="109"/>
      <c r="O77" s="113"/>
    </row>
    <row r="78" spans="1:15" ht="70.05" customHeight="1" outlineLevel="1">
      <c r="A78" s="109" t="s">
        <v>1159</v>
      </c>
      <c r="B78" s="110" t="s">
        <v>1160</v>
      </c>
      <c r="C78" s="110" t="s">
        <v>1161</v>
      </c>
      <c r="D78" s="111" t="s">
        <v>1162</v>
      </c>
      <c r="E78" s="111" t="s">
        <v>1126</v>
      </c>
      <c r="F78" s="109" t="s">
        <v>344</v>
      </c>
      <c r="G78" s="112">
        <v>46300</v>
      </c>
      <c r="H78" s="109" t="s">
        <v>4</v>
      </c>
      <c r="I78" s="109" t="s">
        <v>346</v>
      </c>
      <c r="J78" s="109"/>
      <c r="K78" s="109"/>
      <c r="L78" s="109" t="s">
        <v>346</v>
      </c>
      <c r="M78" s="109"/>
      <c r="N78" s="109"/>
      <c r="O78" s="113"/>
    </row>
    <row r="79" spans="1:15" ht="70.05" customHeight="1" outlineLevel="1">
      <c r="A79" s="109" t="s">
        <v>1163</v>
      </c>
      <c r="B79" s="110" t="s">
        <v>1164</v>
      </c>
      <c r="C79" s="110" t="s">
        <v>1165</v>
      </c>
      <c r="D79" s="111" t="s">
        <v>1166</v>
      </c>
      <c r="E79" s="111" t="s">
        <v>1126</v>
      </c>
      <c r="F79" s="109" t="s">
        <v>344</v>
      </c>
      <c r="G79" s="112">
        <v>46300</v>
      </c>
      <c r="H79" s="109" t="s">
        <v>4</v>
      </c>
      <c r="I79" s="109" t="s">
        <v>346</v>
      </c>
      <c r="J79" s="109"/>
      <c r="K79" s="109"/>
      <c r="L79" s="109" t="s">
        <v>346</v>
      </c>
      <c r="M79" s="109"/>
      <c r="N79" s="109"/>
      <c r="O79" s="113"/>
    </row>
    <row r="80" spans="1:15" ht="70.05" customHeight="1" outlineLevel="1">
      <c r="A80" s="109" t="s">
        <v>1167</v>
      </c>
      <c r="B80" s="110" t="s">
        <v>1168</v>
      </c>
      <c r="C80" s="110" t="s">
        <v>1169</v>
      </c>
      <c r="D80" s="111" t="s">
        <v>1170</v>
      </c>
      <c r="E80" s="111" t="s">
        <v>1126</v>
      </c>
      <c r="F80" s="109" t="s">
        <v>344</v>
      </c>
      <c r="G80" s="112">
        <v>46300</v>
      </c>
      <c r="H80" s="109" t="s">
        <v>4</v>
      </c>
      <c r="I80" s="109" t="s">
        <v>346</v>
      </c>
      <c r="J80" s="109"/>
      <c r="K80" s="109"/>
      <c r="L80" s="109" t="s">
        <v>346</v>
      </c>
      <c r="M80" s="109"/>
      <c r="N80" s="109"/>
      <c r="O80" s="113"/>
    </row>
    <row r="81" spans="1:15" ht="70.05" customHeight="1" outlineLevel="1">
      <c r="A81" s="109" t="s">
        <v>1171</v>
      </c>
      <c r="B81" s="110" t="s">
        <v>1172</v>
      </c>
      <c r="C81" s="110" t="s">
        <v>1173</v>
      </c>
      <c r="D81" s="111" t="s">
        <v>1170</v>
      </c>
      <c r="E81" s="111" t="s">
        <v>1126</v>
      </c>
      <c r="F81" s="109" t="s">
        <v>344</v>
      </c>
      <c r="G81" s="112">
        <v>46300</v>
      </c>
      <c r="H81" s="109" t="s">
        <v>4</v>
      </c>
      <c r="I81" s="109" t="s">
        <v>346</v>
      </c>
      <c r="J81" s="109"/>
      <c r="K81" s="109"/>
      <c r="L81" s="109" t="s">
        <v>346</v>
      </c>
      <c r="M81" s="109"/>
      <c r="N81" s="109"/>
      <c r="O81" s="113"/>
    </row>
    <row r="82" spans="1:15" ht="70.05" customHeight="1" outlineLevel="1">
      <c r="A82" s="109" t="s">
        <v>1174</v>
      </c>
      <c r="B82" s="110" t="s">
        <v>1175</v>
      </c>
      <c r="C82" s="110" t="s">
        <v>1176</v>
      </c>
      <c r="D82" s="111" t="s">
        <v>1109</v>
      </c>
      <c r="E82" s="111" t="s">
        <v>1110</v>
      </c>
      <c r="F82" s="109" t="s">
        <v>344</v>
      </c>
      <c r="G82" s="112">
        <v>46300</v>
      </c>
      <c r="H82" s="109" t="s">
        <v>4</v>
      </c>
      <c r="I82" s="109" t="s">
        <v>346</v>
      </c>
      <c r="J82" s="109"/>
      <c r="K82" s="109"/>
      <c r="L82" s="109" t="s">
        <v>346</v>
      </c>
      <c r="M82" s="109"/>
      <c r="N82" s="109"/>
      <c r="O82" s="113"/>
    </row>
    <row r="83" spans="1:15" ht="70.05" customHeight="1" outlineLevel="1">
      <c r="A83" s="109" t="s">
        <v>1177</v>
      </c>
      <c r="B83" s="110" t="s">
        <v>1178</v>
      </c>
      <c r="C83" s="110" t="s">
        <v>1179</v>
      </c>
      <c r="D83" s="111" t="s">
        <v>1114</v>
      </c>
      <c r="E83" s="111" t="s">
        <v>1115</v>
      </c>
      <c r="F83" s="109" t="s">
        <v>344</v>
      </c>
      <c r="G83" s="112">
        <v>46300</v>
      </c>
      <c r="H83" s="109" t="s">
        <v>4</v>
      </c>
      <c r="I83" s="109" t="s">
        <v>346</v>
      </c>
      <c r="J83" s="109"/>
      <c r="K83" s="109"/>
      <c r="L83" s="109" t="s">
        <v>346</v>
      </c>
      <c r="M83" s="109"/>
      <c r="N83" s="109"/>
      <c r="O83" s="113"/>
    </row>
    <row r="84" spans="1:15" ht="70.05" customHeight="1" outlineLevel="1">
      <c r="A84" s="109" t="s">
        <v>1180</v>
      </c>
      <c r="B84" s="110" t="s">
        <v>1181</v>
      </c>
      <c r="C84" s="110" t="s">
        <v>1154</v>
      </c>
      <c r="D84" s="111" t="s">
        <v>1182</v>
      </c>
      <c r="E84" s="111" t="s">
        <v>1183</v>
      </c>
      <c r="F84" s="109" t="s">
        <v>344</v>
      </c>
      <c r="G84" s="112">
        <v>46300</v>
      </c>
      <c r="H84" s="109" t="s">
        <v>4</v>
      </c>
      <c r="I84" s="109" t="s">
        <v>346</v>
      </c>
      <c r="J84" s="109"/>
      <c r="K84" s="109"/>
      <c r="L84" s="109" t="s">
        <v>346</v>
      </c>
      <c r="M84" s="109"/>
      <c r="N84" s="109"/>
      <c r="O84" s="113"/>
    </row>
    <row r="85" spans="1:15" ht="70.05" customHeight="1" outlineLevel="1">
      <c r="A85" s="109" t="s">
        <v>1184</v>
      </c>
      <c r="B85" s="110" t="s">
        <v>1185</v>
      </c>
      <c r="C85" s="110" t="s">
        <v>1186</v>
      </c>
      <c r="D85" s="111" t="s">
        <v>1187</v>
      </c>
      <c r="E85" s="111" t="s">
        <v>1115</v>
      </c>
      <c r="F85" s="109" t="s">
        <v>344</v>
      </c>
      <c r="G85" s="112">
        <v>46300</v>
      </c>
      <c r="H85" s="109" t="s">
        <v>4</v>
      </c>
      <c r="I85" s="109" t="s">
        <v>346</v>
      </c>
      <c r="J85" s="109"/>
      <c r="K85" s="109"/>
      <c r="L85" s="109" t="s">
        <v>346</v>
      </c>
      <c r="M85" s="109"/>
      <c r="N85" s="109"/>
      <c r="O85" s="113"/>
    </row>
  </sheetData>
  <mergeCells count="3">
    <mergeCell ref="B3:E3"/>
    <mergeCell ref="B2:E2"/>
    <mergeCell ref="B4:E4"/>
  </mergeCells>
  <dataValidations count="1">
    <dataValidation type="list" allowBlank="1" sqref="F12:F85 I12:I85 L12:L85" xr:uid="{00000000-0002-0000-0400-000000000000}">
      <formula1>$R$2:$R$5</formula1>
    </dataValidation>
  </dataValidations>
  <pageMargins left="0.74791666666666667" right="0.25" top="0.75" bottom="0.98402777777777772" header="0.5" footer="0.5"/>
  <pageSetup paperSize="9" firstPageNumber="0" orientation="landscape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R425"/>
  <sheetViews>
    <sheetView workbookViewId="0"/>
  </sheetViews>
  <sheetFormatPr defaultColWidth="9" defaultRowHeight="13.2" outlineLevelRow="1" outlineLevelCol="1"/>
  <cols>
    <col min="1" max="1" width="17" style="1" customWidth="1"/>
    <col min="2" max="2" width="34.44140625" style="1" customWidth="1"/>
    <col min="3" max="3" width="34.109375" style="1" customWidth="1"/>
    <col min="4" max="4" width="34.6640625" style="1" customWidth="1"/>
    <col min="5" max="5" width="28.33203125" style="1" customWidth="1"/>
    <col min="6" max="6" width="9.33203125" style="1" customWidth="1"/>
    <col min="7" max="7" width="10.6640625" style="1" customWidth="1" outlineLevel="1"/>
    <col min="8" max="8" width="7" style="1" bestFit="1" customWidth="1" outlineLevel="1"/>
    <col min="9" max="9" width="9.33203125" style="1" customWidth="1"/>
    <col min="10" max="10" width="10.6640625" style="1" customWidth="1" outlineLevel="1"/>
    <col min="11" max="11" width="7" style="1" bestFit="1" customWidth="1" outlineLevel="1"/>
    <col min="12" max="12" width="9.33203125" style="1" customWidth="1"/>
    <col min="13" max="13" width="10.6640625" style="1" customWidth="1" outlineLevel="1"/>
    <col min="14" max="14" width="7" style="1" bestFit="1" customWidth="1" outlineLevel="1"/>
    <col min="15" max="15" width="28.6640625" style="1" customWidth="1"/>
    <col min="16" max="16" width="10.109375" style="1" customWidth="1"/>
    <col min="17" max="17" width="8.109375" style="23" customWidth="1"/>
    <col min="18" max="18" width="7.6640625" style="1" hidden="1" customWidth="1"/>
    <col min="19" max="20" width="9" style="1" customWidth="1"/>
    <col min="21" max="16384" width="9" style="1"/>
  </cols>
  <sheetData>
    <row r="1" spans="1:18" ht="13.95" customHeight="1" thickBot="1"/>
    <row r="2" spans="1:18" s="25" customFormat="1" ht="15" customHeight="1">
      <c r="A2" s="73" t="s">
        <v>353</v>
      </c>
      <c r="B2" s="130" t="s">
        <v>70</v>
      </c>
      <c r="C2" s="131"/>
      <c r="D2" s="131"/>
      <c r="E2" s="132"/>
      <c r="F2" s="63"/>
      <c r="G2" s="57"/>
      <c r="H2" s="9"/>
      <c r="I2" s="63"/>
      <c r="J2" s="57"/>
      <c r="K2" s="9"/>
      <c r="L2" s="63"/>
      <c r="M2" s="57"/>
      <c r="N2" s="9"/>
      <c r="O2" s="9"/>
      <c r="P2" s="9"/>
      <c r="Q2" s="24"/>
      <c r="R2" s="25" t="s">
        <v>344</v>
      </c>
    </row>
    <row r="3" spans="1:18" s="25" customFormat="1" ht="13.95" customHeight="1">
      <c r="A3" s="74" t="s">
        <v>354</v>
      </c>
      <c r="B3" s="127" t="s">
        <v>1188</v>
      </c>
      <c r="C3" s="128"/>
      <c r="D3" s="128"/>
      <c r="E3" s="129"/>
      <c r="F3" s="63"/>
      <c r="G3" s="57"/>
      <c r="H3" s="9"/>
      <c r="I3" s="63"/>
      <c r="J3" s="57"/>
      <c r="K3" s="9"/>
      <c r="L3" s="63"/>
      <c r="M3" s="57"/>
      <c r="N3" s="9"/>
      <c r="O3" s="9"/>
      <c r="P3" s="9"/>
      <c r="Q3" s="24"/>
      <c r="R3" s="25" t="s">
        <v>345</v>
      </c>
    </row>
    <row r="4" spans="1:18" s="25" customFormat="1" ht="18" customHeight="1">
      <c r="A4" s="74" t="s">
        <v>356</v>
      </c>
      <c r="B4" s="127">
        <f>COUNTA(F12:F1000)</f>
        <v>394</v>
      </c>
      <c r="C4" s="128"/>
      <c r="D4" s="128"/>
      <c r="E4" s="129"/>
      <c r="F4" s="63"/>
      <c r="G4" s="57"/>
      <c r="H4" s="9"/>
      <c r="I4" s="63"/>
      <c r="J4" s="57"/>
      <c r="K4" s="9"/>
      <c r="L4" s="63"/>
      <c r="M4" s="57"/>
      <c r="N4" s="9"/>
      <c r="O4" s="9"/>
      <c r="P4" s="9"/>
      <c r="Q4" s="24"/>
      <c r="R4" s="25" t="s">
        <v>346</v>
      </c>
    </row>
    <row r="5" spans="1:18" s="25" customFormat="1" ht="19.5" customHeight="1">
      <c r="A5" s="67" t="s">
        <v>357</v>
      </c>
      <c r="B5" s="65" t="s">
        <v>344</v>
      </c>
      <c r="C5" s="65" t="s">
        <v>345</v>
      </c>
      <c r="D5" s="65" t="s">
        <v>346</v>
      </c>
      <c r="E5" s="68" t="s">
        <v>347</v>
      </c>
      <c r="F5" s="58"/>
      <c r="G5" s="58"/>
      <c r="H5" s="26"/>
      <c r="I5" s="58"/>
      <c r="J5" s="58"/>
      <c r="K5" s="26"/>
      <c r="L5" s="58"/>
      <c r="M5" s="58"/>
      <c r="N5" s="26"/>
      <c r="O5" s="26"/>
      <c r="P5" s="26"/>
      <c r="Q5" s="27"/>
      <c r="R5" s="25" t="s">
        <v>347</v>
      </c>
    </row>
    <row r="6" spans="1:18" s="25" customFormat="1" ht="15" customHeight="1">
      <c r="A6" s="67" t="s">
        <v>358</v>
      </c>
      <c r="B6" s="66">
        <f>COUNTIF($F$10:$F$998,B$5)</f>
        <v>394</v>
      </c>
      <c r="C6" s="66">
        <f>COUNTIF($F$10:$F$998,C$5)</f>
        <v>0</v>
      </c>
      <c r="D6" s="66">
        <f>COUNTIF($F$10:$F$998,D$5)</f>
        <v>0</v>
      </c>
      <c r="E6" s="72">
        <f>COUNTIF($F$10:$F$998,E$5)</f>
        <v>0</v>
      </c>
      <c r="F6" s="59"/>
      <c r="G6" s="59"/>
      <c r="H6" s="26"/>
      <c r="I6" s="59"/>
      <c r="J6" s="59"/>
      <c r="K6" s="26"/>
      <c r="L6" s="59"/>
      <c r="M6" s="59"/>
      <c r="N6" s="26"/>
      <c r="O6" s="26"/>
      <c r="P6" s="26"/>
      <c r="Q6" s="27"/>
    </row>
    <row r="7" spans="1:18" s="25" customFormat="1" ht="15" customHeight="1">
      <c r="A7" s="67" t="s">
        <v>359</v>
      </c>
      <c r="B7" s="66">
        <f>COUNTIF($I$10:$I$998,B$5)</f>
        <v>0</v>
      </c>
      <c r="C7" s="66">
        <f>COUNTIF($I$10:$I$998,C$5)</f>
        <v>0</v>
      </c>
      <c r="D7" s="66">
        <f>COUNTIF($I$10:$I$998,D$5)</f>
        <v>394</v>
      </c>
      <c r="E7" s="72">
        <f>COUNTIF($I$10:$I$998,E$5)</f>
        <v>0</v>
      </c>
      <c r="F7" s="59"/>
      <c r="G7" s="59"/>
      <c r="H7" s="26"/>
      <c r="I7" s="59"/>
      <c r="J7" s="59"/>
      <c r="K7" s="26"/>
      <c r="L7" s="59"/>
      <c r="M7" s="59"/>
      <c r="N7" s="26"/>
      <c r="O7" s="26"/>
      <c r="P7" s="26"/>
      <c r="Q7" s="27"/>
    </row>
    <row r="8" spans="1:18" s="25" customFormat="1" ht="15" customHeight="1" thickBot="1">
      <c r="A8" s="69" t="s">
        <v>360</v>
      </c>
      <c r="B8" s="70">
        <f>COUNTIF($L$10:$L$998,B$5)</f>
        <v>0</v>
      </c>
      <c r="C8" s="70">
        <f>COUNTIF($L$10:$L$998,C$5)</f>
        <v>0</v>
      </c>
      <c r="D8" s="70">
        <f>COUNTIF($L$10:$L$998,D$5)</f>
        <v>394</v>
      </c>
      <c r="E8" s="71">
        <f>COUNTIF($L$10:$L$998,E$5)</f>
        <v>0</v>
      </c>
      <c r="F8" s="59"/>
      <c r="G8" s="59"/>
      <c r="H8" s="26"/>
      <c r="I8" s="59"/>
      <c r="J8" s="59"/>
      <c r="K8" s="26"/>
      <c r="L8" s="59"/>
      <c r="M8" s="59"/>
      <c r="N8" s="26"/>
      <c r="O8" s="26"/>
      <c r="P8" s="26"/>
      <c r="Q8" s="27"/>
    </row>
    <row r="9" spans="1:18" s="25" customFormat="1" ht="15" customHeight="1">
      <c r="A9" s="26"/>
      <c r="B9" s="26"/>
      <c r="C9" s="26"/>
      <c r="D9" s="26"/>
      <c r="E9" s="26"/>
      <c r="F9" s="28"/>
      <c r="G9" s="26"/>
      <c r="H9" s="26"/>
      <c r="I9" s="28"/>
      <c r="J9" s="26"/>
      <c r="K9" s="26"/>
      <c r="L9" s="28"/>
      <c r="M9" s="26"/>
      <c r="N9" s="26"/>
      <c r="O9" s="26"/>
      <c r="P9" s="26"/>
      <c r="Q9" s="27"/>
    </row>
    <row r="10" spans="1:18" s="25" customFormat="1" ht="25.5" customHeight="1">
      <c r="A10" s="64" t="s">
        <v>361</v>
      </c>
      <c r="B10" s="64" t="s">
        <v>362</v>
      </c>
      <c r="C10" s="64" t="s">
        <v>363</v>
      </c>
      <c r="D10" s="64" t="s">
        <v>364</v>
      </c>
      <c r="E10" s="64" t="s">
        <v>365</v>
      </c>
      <c r="F10" s="64" t="s">
        <v>358</v>
      </c>
      <c r="G10" s="64" t="s">
        <v>366</v>
      </c>
      <c r="H10" s="64" t="s">
        <v>367</v>
      </c>
      <c r="I10" s="64" t="s">
        <v>359</v>
      </c>
      <c r="J10" s="64" t="s">
        <v>366</v>
      </c>
      <c r="K10" s="64" t="s">
        <v>367</v>
      </c>
      <c r="L10" s="64" t="s">
        <v>360</v>
      </c>
      <c r="M10" s="64" t="s">
        <v>366</v>
      </c>
      <c r="N10" s="64" t="s">
        <v>367</v>
      </c>
      <c r="O10" s="64" t="s">
        <v>368</v>
      </c>
      <c r="Q10" s="29"/>
    </row>
    <row r="11" spans="1:18" s="25" customFormat="1" ht="15.75" customHeight="1">
      <c r="A11" s="60" t="s">
        <v>69</v>
      </c>
      <c r="B11" s="60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2"/>
      <c r="Q11" s="30"/>
    </row>
    <row r="12" spans="1:18" s="32" customFormat="1" ht="70.05" customHeight="1" outlineLevel="1">
      <c r="A12" s="109" t="s">
        <v>1189</v>
      </c>
      <c r="B12" s="110" t="s">
        <v>1190</v>
      </c>
      <c r="C12" s="110" t="s">
        <v>1191</v>
      </c>
      <c r="D12" s="111" t="s">
        <v>1192</v>
      </c>
      <c r="E12" s="111" t="s">
        <v>1193</v>
      </c>
      <c r="F12" s="109" t="s">
        <v>344</v>
      </c>
      <c r="G12" s="112">
        <v>46300</v>
      </c>
      <c r="H12" s="109" t="s">
        <v>4</v>
      </c>
      <c r="I12" s="109" t="s">
        <v>346</v>
      </c>
      <c r="J12" s="109"/>
      <c r="K12" s="109"/>
      <c r="L12" s="109" t="s">
        <v>346</v>
      </c>
      <c r="M12" s="109"/>
      <c r="N12" s="109"/>
      <c r="O12" s="113"/>
      <c r="Q12" s="31"/>
    </row>
    <row r="13" spans="1:18" ht="70.05" customHeight="1" outlineLevel="1">
      <c r="A13" s="109" t="s">
        <v>1194</v>
      </c>
      <c r="B13" s="110" t="s">
        <v>1195</v>
      </c>
      <c r="C13" s="110" t="s">
        <v>1196</v>
      </c>
      <c r="D13" s="111" t="s">
        <v>1197</v>
      </c>
      <c r="E13" s="111" t="s">
        <v>1198</v>
      </c>
      <c r="F13" s="109" t="s">
        <v>344</v>
      </c>
      <c r="G13" s="112">
        <v>46300</v>
      </c>
      <c r="H13" s="109" t="s">
        <v>4</v>
      </c>
      <c r="I13" s="109" t="s">
        <v>346</v>
      </c>
      <c r="J13" s="109"/>
      <c r="K13" s="109"/>
      <c r="L13" s="109" t="s">
        <v>346</v>
      </c>
      <c r="M13" s="109"/>
      <c r="N13" s="109"/>
      <c r="O13" s="113"/>
      <c r="Q13" s="31"/>
    </row>
    <row r="14" spans="1:18" ht="70.05" customHeight="1" outlineLevel="1">
      <c r="A14" s="109" t="s">
        <v>1199</v>
      </c>
      <c r="B14" s="110" t="s">
        <v>1200</v>
      </c>
      <c r="C14" s="110" t="s">
        <v>1201</v>
      </c>
      <c r="D14" s="111" t="s">
        <v>1202</v>
      </c>
      <c r="E14" s="111" t="s">
        <v>1203</v>
      </c>
      <c r="F14" s="109" t="s">
        <v>344</v>
      </c>
      <c r="G14" s="112">
        <v>46300</v>
      </c>
      <c r="H14" s="109" t="s">
        <v>4</v>
      </c>
      <c r="I14" s="109" t="s">
        <v>346</v>
      </c>
      <c r="J14" s="109"/>
      <c r="K14" s="109"/>
      <c r="L14" s="109" t="s">
        <v>346</v>
      </c>
      <c r="M14" s="109"/>
      <c r="N14" s="109"/>
      <c r="O14" s="113"/>
      <c r="Q14" s="31"/>
    </row>
    <row r="15" spans="1:18" s="25" customFormat="1" ht="70.05" customHeight="1" outlineLevel="1">
      <c r="A15" s="109" t="s">
        <v>1204</v>
      </c>
      <c r="B15" s="110" t="s">
        <v>1190</v>
      </c>
      <c r="C15" s="110" t="s">
        <v>1191</v>
      </c>
      <c r="D15" s="111" t="s">
        <v>1205</v>
      </c>
      <c r="E15" s="111" t="s">
        <v>1206</v>
      </c>
      <c r="F15" s="109" t="s">
        <v>344</v>
      </c>
      <c r="G15" s="112">
        <v>46300</v>
      </c>
      <c r="H15" s="109" t="s">
        <v>4</v>
      </c>
      <c r="I15" s="109" t="s">
        <v>346</v>
      </c>
      <c r="J15" s="109"/>
      <c r="K15" s="109"/>
      <c r="L15" s="109" t="s">
        <v>346</v>
      </c>
      <c r="M15" s="109"/>
      <c r="N15" s="109"/>
      <c r="O15" s="113"/>
      <c r="Q15" s="30"/>
    </row>
    <row r="16" spans="1:18" ht="70.05" customHeight="1" outlineLevel="1">
      <c r="A16" s="109" t="s">
        <v>1207</v>
      </c>
      <c r="B16" s="110" t="s">
        <v>1208</v>
      </c>
      <c r="C16" s="110" t="s">
        <v>1209</v>
      </c>
      <c r="D16" s="111" t="s">
        <v>1210</v>
      </c>
      <c r="E16" s="111" t="s">
        <v>1211</v>
      </c>
      <c r="F16" s="109" t="s">
        <v>344</v>
      </c>
      <c r="G16" s="112">
        <v>46300</v>
      </c>
      <c r="H16" s="109" t="s">
        <v>4</v>
      </c>
      <c r="I16" s="109" t="s">
        <v>346</v>
      </c>
      <c r="J16" s="109"/>
      <c r="K16" s="109"/>
      <c r="L16" s="109" t="s">
        <v>346</v>
      </c>
      <c r="M16" s="109"/>
      <c r="N16" s="109"/>
      <c r="O16" s="113"/>
      <c r="Q16" s="31"/>
    </row>
    <row r="17" spans="1:17" ht="70.05" customHeight="1" outlineLevel="1">
      <c r="A17" s="109" t="s">
        <v>1212</v>
      </c>
      <c r="B17" s="110" t="s">
        <v>1213</v>
      </c>
      <c r="C17" s="110" t="s">
        <v>1214</v>
      </c>
      <c r="D17" s="111" t="s">
        <v>1215</v>
      </c>
      <c r="E17" s="111" t="s">
        <v>1216</v>
      </c>
      <c r="F17" s="109" t="s">
        <v>344</v>
      </c>
      <c r="G17" s="112">
        <v>46300</v>
      </c>
      <c r="H17" s="109" t="s">
        <v>4</v>
      </c>
      <c r="I17" s="109" t="s">
        <v>346</v>
      </c>
      <c r="J17" s="109"/>
      <c r="K17" s="109"/>
      <c r="L17" s="109" t="s">
        <v>346</v>
      </c>
      <c r="M17" s="109"/>
      <c r="N17" s="109"/>
      <c r="O17" s="113"/>
    </row>
    <row r="18" spans="1:17" s="25" customFormat="1" ht="70.05" customHeight="1" outlineLevel="1">
      <c r="A18" s="109" t="s">
        <v>1217</v>
      </c>
      <c r="B18" s="110" t="s">
        <v>1190</v>
      </c>
      <c r="C18" s="110" t="s">
        <v>1191</v>
      </c>
      <c r="D18" s="111" t="s">
        <v>1218</v>
      </c>
      <c r="E18" s="111" t="s">
        <v>1219</v>
      </c>
      <c r="F18" s="109" t="s">
        <v>344</v>
      </c>
      <c r="G18" s="112">
        <v>46300</v>
      </c>
      <c r="H18" s="109" t="s">
        <v>4</v>
      </c>
      <c r="I18" s="109" t="s">
        <v>346</v>
      </c>
      <c r="J18" s="109"/>
      <c r="K18" s="109"/>
      <c r="L18" s="109" t="s">
        <v>346</v>
      </c>
      <c r="M18" s="109"/>
      <c r="N18" s="109"/>
      <c r="O18" s="113"/>
      <c r="Q18" s="30"/>
    </row>
    <row r="19" spans="1:17" ht="70.05" customHeight="1" outlineLevel="1">
      <c r="A19" s="109" t="s">
        <v>1220</v>
      </c>
      <c r="B19" s="110" t="s">
        <v>1221</v>
      </c>
      <c r="C19" s="110" t="s">
        <v>1222</v>
      </c>
      <c r="D19" s="111" t="s">
        <v>1223</v>
      </c>
      <c r="E19" s="111" t="s">
        <v>1224</v>
      </c>
      <c r="F19" s="109" t="s">
        <v>344</v>
      </c>
      <c r="G19" s="112">
        <v>46300</v>
      </c>
      <c r="H19" s="109" t="s">
        <v>4</v>
      </c>
      <c r="I19" s="109" t="s">
        <v>346</v>
      </c>
      <c r="J19" s="109"/>
      <c r="K19" s="109"/>
      <c r="L19" s="109" t="s">
        <v>346</v>
      </c>
      <c r="M19" s="109"/>
      <c r="N19" s="109"/>
      <c r="O19" s="113"/>
      <c r="Q19" s="31"/>
    </row>
    <row r="20" spans="1:17" ht="70.05" customHeight="1" outlineLevel="1">
      <c r="A20" s="109" t="s">
        <v>1225</v>
      </c>
      <c r="B20" s="110" t="s">
        <v>1226</v>
      </c>
      <c r="C20" s="110" t="s">
        <v>1191</v>
      </c>
      <c r="D20" s="111" t="s">
        <v>1227</v>
      </c>
      <c r="E20" s="111" t="s">
        <v>1228</v>
      </c>
      <c r="F20" s="109" t="s">
        <v>344</v>
      </c>
      <c r="G20" s="112">
        <v>46300</v>
      </c>
      <c r="H20" s="109" t="s">
        <v>4</v>
      </c>
      <c r="I20" s="109" t="s">
        <v>346</v>
      </c>
      <c r="J20" s="109"/>
      <c r="K20" s="109"/>
      <c r="L20" s="109" t="s">
        <v>346</v>
      </c>
      <c r="M20" s="109"/>
      <c r="N20" s="109"/>
      <c r="O20" s="113"/>
    </row>
    <row r="21" spans="1:17" ht="70.05" customHeight="1" outlineLevel="1">
      <c r="A21" s="109" t="s">
        <v>1229</v>
      </c>
      <c r="B21" s="110" t="s">
        <v>1226</v>
      </c>
      <c r="C21" s="110" t="s">
        <v>1191</v>
      </c>
      <c r="D21" s="111" t="s">
        <v>1230</v>
      </c>
      <c r="E21" s="111" t="s">
        <v>1231</v>
      </c>
      <c r="F21" s="109" t="s">
        <v>344</v>
      </c>
      <c r="G21" s="112">
        <v>46300</v>
      </c>
      <c r="H21" s="109" t="s">
        <v>4</v>
      </c>
      <c r="I21" s="109" t="s">
        <v>346</v>
      </c>
      <c r="J21" s="109"/>
      <c r="K21" s="109"/>
      <c r="L21" s="109" t="s">
        <v>346</v>
      </c>
      <c r="M21" s="109"/>
      <c r="N21" s="109"/>
      <c r="O21" s="113"/>
    </row>
    <row r="22" spans="1:17" ht="70.05" customHeight="1" outlineLevel="1">
      <c r="A22" s="109" t="s">
        <v>1232</v>
      </c>
      <c r="B22" s="110" t="s">
        <v>1233</v>
      </c>
      <c r="C22" s="110" t="s">
        <v>1196</v>
      </c>
      <c r="D22" s="111" t="s">
        <v>1227</v>
      </c>
      <c r="E22" s="111" t="s">
        <v>1234</v>
      </c>
      <c r="F22" s="109" t="s">
        <v>344</v>
      </c>
      <c r="G22" s="112">
        <v>46300</v>
      </c>
      <c r="H22" s="109" t="s">
        <v>4</v>
      </c>
      <c r="I22" s="109" t="s">
        <v>346</v>
      </c>
      <c r="J22" s="109"/>
      <c r="K22" s="109"/>
      <c r="L22" s="109" t="s">
        <v>346</v>
      </c>
      <c r="M22" s="109"/>
      <c r="N22" s="109"/>
      <c r="O22" s="113"/>
    </row>
    <row r="23" spans="1:17" ht="70.05" customHeight="1" outlineLevel="1">
      <c r="A23" s="109" t="s">
        <v>1235</v>
      </c>
      <c r="B23" s="110" t="s">
        <v>1236</v>
      </c>
      <c r="C23" s="110" t="s">
        <v>1191</v>
      </c>
      <c r="D23" s="111" t="s">
        <v>1237</v>
      </c>
      <c r="E23" s="111" t="s">
        <v>1238</v>
      </c>
      <c r="F23" s="109" t="s">
        <v>344</v>
      </c>
      <c r="G23" s="112">
        <v>46300</v>
      </c>
      <c r="H23" s="109" t="s">
        <v>4</v>
      </c>
      <c r="I23" s="109" t="s">
        <v>346</v>
      </c>
      <c r="J23" s="109"/>
      <c r="K23" s="109"/>
      <c r="L23" s="109" t="s">
        <v>346</v>
      </c>
      <c r="M23" s="109"/>
      <c r="N23" s="109"/>
      <c r="O23" s="113"/>
    </row>
    <row r="24" spans="1:17" ht="70.05" customHeight="1" outlineLevel="1">
      <c r="A24" s="109" t="s">
        <v>1239</v>
      </c>
      <c r="B24" s="110" t="s">
        <v>1240</v>
      </c>
      <c r="C24" s="110" t="s">
        <v>1196</v>
      </c>
      <c r="D24" s="111" t="s">
        <v>1241</v>
      </c>
      <c r="E24" s="111" t="s">
        <v>1242</v>
      </c>
      <c r="F24" s="109" t="s">
        <v>344</v>
      </c>
      <c r="G24" s="112">
        <v>46300</v>
      </c>
      <c r="H24" s="109" t="s">
        <v>4</v>
      </c>
      <c r="I24" s="109" t="s">
        <v>346</v>
      </c>
      <c r="J24" s="109"/>
      <c r="K24" s="109"/>
      <c r="L24" s="109" t="s">
        <v>346</v>
      </c>
      <c r="M24" s="109"/>
      <c r="N24" s="109"/>
      <c r="O24" s="113"/>
    </row>
    <row r="25" spans="1:17" ht="70.05" customHeight="1" outlineLevel="1">
      <c r="A25" s="109" t="s">
        <v>1243</v>
      </c>
      <c r="B25" s="110" t="s">
        <v>1236</v>
      </c>
      <c r="C25" s="110" t="s">
        <v>1191</v>
      </c>
      <c r="D25" s="111" t="s">
        <v>1244</v>
      </c>
      <c r="E25" s="111" t="s">
        <v>1245</v>
      </c>
      <c r="F25" s="109" t="s">
        <v>344</v>
      </c>
      <c r="G25" s="112">
        <v>46300</v>
      </c>
      <c r="H25" s="109" t="s">
        <v>4</v>
      </c>
      <c r="I25" s="109" t="s">
        <v>346</v>
      </c>
      <c r="J25" s="109"/>
      <c r="K25" s="109"/>
      <c r="L25" s="109" t="s">
        <v>346</v>
      </c>
      <c r="M25" s="109"/>
      <c r="N25" s="109"/>
      <c r="O25" s="113"/>
    </row>
    <row r="26" spans="1:17" ht="70.05" customHeight="1" outlineLevel="1">
      <c r="A26" s="109" t="s">
        <v>1246</v>
      </c>
      <c r="B26" s="110" t="s">
        <v>1247</v>
      </c>
      <c r="C26" s="110" t="s">
        <v>1248</v>
      </c>
      <c r="D26" s="111" t="s">
        <v>1249</v>
      </c>
      <c r="E26" s="111" t="s">
        <v>1250</v>
      </c>
      <c r="F26" s="109" t="s">
        <v>344</v>
      </c>
      <c r="G26" s="112">
        <v>46300</v>
      </c>
      <c r="H26" s="109" t="s">
        <v>4</v>
      </c>
      <c r="I26" s="109" t="s">
        <v>346</v>
      </c>
      <c r="J26" s="109"/>
      <c r="K26" s="109"/>
      <c r="L26" s="109" t="s">
        <v>346</v>
      </c>
      <c r="M26" s="109"/>
      <c r="N26" s="109"/>
      <c r="O26" s="113"/>
    </row>
    <row r="27" spans="1:17" ht="70.05" customHeight="1" outlineLevel="1">
      <c r="A27" s="109" t="s">
        <v>1251</v>
      </c>
      <c r="B27" s="110" t="s">
        <v>1252</v>
      </c>
      <c r="C27" s="110" t="s">
        <v>1253</v>
      </c>
      <c r="D27" s="111" t="s">
        <v>1254</v>
      </c>
      <c r="E27" s="111" t="s">
        <v>1255</v>
      </c>
      <c r="F27" s="109" t="s">
        <v>344</v>
      </c>
      <c r="G27" s="112">
        <v>46300</v>
      </c>
      <c r="H27" s="109" t="s">
        <v>4</v>
      </c>
      <c r="I27" s="109" t="s">
        <v>346</v>
      </c>
      <c r="J27" s="109"/>
      <c r="K27" s="109"/>
      <c r="L27" s="109" t="s">
        <v>346</v>
      </c>
      <c r="M27" s="109"/>
      <c r="N27" s="109"/>
      <c r="O27" s="113"/>
    </row>
    <row r="28" spans="1:17" ht="15.75" customHeight="1">
      <c r="A28" s="60" t="s">
        <v>73</v>
      </c>
      <c r="B28" s="60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2"/>
    </row>
    <row r="29" spans="1:17" ht="70.05" customHeight="1" outlineLevel="1">
      <c r="A29" s="109" t="s">
        <v>1256</v>
      </c>
      <c r="B29" s="110" t="s">
        <v>1257</v>
      </c>
      <c r="C29" s="110" t="s">
        <v>1258</v>
      </c>
      <c r="D29" s="111" t="s">
        <v>1259</v>
      </c>
      <c r="E29" s="111" t="s">
        <v>1260</v>
      </c>
      <c r="F29" s="109" t="s">
        <v>344</v>
      </c>
      <c r="G29" s="112">
        <v>46300</v>
      </c>
      <c r="H29" s="109" t="s">
        <v>4</v>
      </c>
      <c r="I29" s="109" t="s">
        <v>346</v>
      </c>
      <c r="J29" s="109"/>
      <c r="K29" s="109"/>
      <c r="L29" s="109" t="s">
        <v>346</v>
      </c>
      <c r="M29" s="109"/>
      <c r="N29" s="109"/>
      <c r="O29" s="113"/>
    </row>
    <row r="30" spans="1:17" ht="70.05" customHeight="1" outlineLevel="1">
      <c r="A30" s="109" t="s">
        <v>1261</v>
      </c>
      <c r="B30" s="110" t="s">
        <v>1257</v>
      </c>
      <c r="C30" s="110" t="s">
        <v>1258</v>
      </c>
      <c r="D30" s="111" t="s">
        <v>1262</v>
      </c>
      <c r="E30" s="111" t="s">
        <v>1263</v>
      </c>
      <c r="F30" s="109" t="s">
        <v>344</v>
      </c>
      <c r="G30" s="112">
        <v>46300</v>
      </c>
      <c r="H30" s="109" t="s">
        <v>4</v>
      </c>
      <c r="I30" s="109" t="s">
        <v>346</v>
      </c>
      <c r="J30" s="109"/>
      <c r="K30" s="109"/>
      <c r="L30" s="109" t="s">
        <v>346</v>
      </c>
      <c r="M30" s="109"/>
      <c r="N30" s="109"/>
      <c r="O30" s="113"/>
    </row>
    <row r="31" spans="1:17" ht="70.05" customHeight="1" outlineLevel="1">
      <c r="A31" s="109" t="s">
        <v>1264</v>
      </c>
      <c r="B31" s="110" t="s">
        <v>1265</v>
      </c>
      <c r="C31" s="110" t="s">
        <v>1266</v>
      </c>
      <c r="D31" s="111" t="s">
        <v>1267</v>
      </c>
      <c r="E31" s="111" t="s">
        <v>1268</v>
      </c>
      <c r="F31" s="109" t="s">
        <v>344</v>
      </c>
      <c r="G31" s="112">
        <v>46300</v>
      </c>
      <c r="H31" s="109" t="s">
        <v>4</v>
      </c>
      <c r="I31" s="109" t="s">
        <v>346</v>
      </c>
      <c r="J31" s="109"/>
      <c r="K31" s="109"/>
      <c r="L31" s="109" t="s">
        <v>346</v>
      </c>
      <c r="M31" s="109"/>
      <c r="N31" s="109"/>
      <c r="O31" s="113"/>
    </row>
    <row r="32" spans="1:17" ht="70.05" customHeight="1" outlineLevel="1">
      <c r="A32" s="109" t="s">
        <v>1269</v>
      </c>
      <c r="B32" s="110" t="s">
        <v>1257</v>
      </c>
      <c r="C32" s="110" t="s">
        <v>1258</v>
      </c>
      <c r="D32" s="111" t="s">
        <v>1270</v>
      </c>
      <c r="E32" s="111" t="s">
        <v>1271</v>
      </c>
      <c r="F32" s="109" t="s">
        <v>344</v>
      </c>
      <c r="G32" s="112">
        <v>46300</v>
      </c>
      <c r="H32" s="109" t="s">
        <v>4</v>
      </c>
      <c r="I32" s="109" t="s">
        <v>346</v>
      </c>
      <c r="J32" s="109"/>
      <c r="K32" s="109"/>
      <c r="L32" s="109" t="s">
        <v>346</v>
      </c>
      <c r="M32" s="109"/>
      <c r="N32" s="109"/>
      <c r="O32" s="113"/>
    </row>
    <row r="33" spans="1:15" ht="70.05" customHeight="1" outlineLevel="1">
      <c r="A33" s="109" t="s">
        <v>1272</v>
      </c>
      <c r="B33" s="110" t="s">
        <v>1257</v>
      </c>
      <c r="C33" s="110" t="s">
        <v>1258</v>
      </c>
      <c r="D33" s="111" t="s">
        <v>1273</v>
      </c>
      <c r="E33" s="111" t="s">
        <v>1274</v>
      </c>
      <c r="F33" s="109" t="s">
        <v>344</v>
      </c>
      <c r="G33" s="112">
        <v>46300</v>
      </c>
      <c r="H33" s="109" t="s">
        <v>4</v>
      </c>
      <c r="I33" s="109" t="s">
        <v>346</v>
      </c>
      <c r="J33" s="109"/>
      <c r="K33" s="109"/>
      <c r="L33" s="109" t="s">
        <v>346</v>
      </c>
      <c r="M33" s="109"/>
      <c r="N33" s="109"/>
      <c r="O33" s="113"/>
    </row>
    <row r="34" spans="1:15" ht="70.05" customHeight="1" outlineLevel="1">
      <c r="A34" s="109" t="s">
        <v>1275</v>
      </c>
      <c r="B34" s="110" t="s">
        <v>1257</v>
      </c>
      <c r="C34" s="110" t="s">
        <v>1258</v>
      </c>
      <c r="D34" s="111" t="s">
        <v>1276</v>
      </c>
      <c r="E34" s="111" t="s">
        <v>1277</v>
      </c>
      <c r="F34" s="109" t="s">
        <v>344</v>
      </c>
      <c r="G34" s="112">
        <v>46300</v>
      </c>
      <c r="H34" s="109" t="s">
        <v>4</v>
      </c>
      <c r="I34" s="109" t="s">
        <v>346</v>
      </c>
      <c r="J34" s="109"/>
      <c r="K34" s="109"/>
      <c r="L34" s="109" t="s">
        <v>346</v>
      </c>
      <c r="M34" s="109"/>
      <c r="N34" s="109"/>
      <c r="O34" s="113"/>
    </row>
    <row r="35" spans="1:15" ht="70.05" customHeight="1" outlineLevel="1">
      <c r="A35" s="109" t="s">
        <v>1278</v>
      </c>
      <c r="B35" s="110" t="s">
        <v>1279</v>
      </c>
      <c r="C35" s="110" t="s">
        <v>1258</v>
      </c>
      <c r="D35" s="111" t="s">
        <v>1280</v>
      </c>
      <c r="E35" s="111" t="s">
        <v>1281</v>
      </c>
      <c r="F35" s="109" t="s">
        <v>344</v>
      </c>
      <c r="G35" s="112">
        <v>46300</v>
      </c>
      <c r="H35" s="109" t="s">
        <v>4</v>
      </c>
      <c r="I35" s="109" t="s">
        <v>346</v>
      </c>
      <c r="J35" s="109"/>
      <c r="K35" s="109"/>
      <c r="L35" s="109" t="s">
        <v>346</v>
      </c>
      <c r="M35" s="109"/>
      <c r="N35" s="109"/>
      <c r="O35" s="113"/>
    </row>
    <row r="36" spans="1:15" ht="70.05" customHeight="1" outlineLevel="1">
      <c r="A36" s="109" t="s">
        <v>1282</v>
      </c>
      <c r="B36" s="110" t="s">
        <v>1279</v>
      </c>
      <c r="C36" s="110" t="s">
        <v>1258</v>
      </c>
      <c r="D36" s="111" t="s">
        <v>1283</v>
      </c>
      <c r="E36" s="111" t="s">
        <v>1284</v>
      </c>
      <c r="F36" s="109" t="s">
        <v>344</v>
      </c>
      <c r="G36" s="112">
        <v>46300</v>
      </c>
      <c r="H36" s="109" t="s">
        <v>4</v>
      </c>
      <c r="I36" s="109" t="s">
        <v>346</v>
      </c>
      <c r="J36" s="109"/>
      <c r="K36" s="109"/>
      <c r="L36" s="109" t="s">
        <v>346</v>
      </c>
      <c r="M36" s="109"/>
      <c r="N36" s="109"/>
      <c r="O36" s="113"/>
    </row>
    <row r="37" spans="1:15" ht="70.05" customHeight="1" outlineLevel="1">
      <c r="A37" s="109" t="s">
        <v>1285</v>
      </c>
      <c r="B37" s="110" t="s">
        <v>1286</v>
      </c>
      <c r="C37" s="110" t="s">
        <v>1287</v>
      </c>
      <c r="D37" s="111" t="s">
        <v>1288</v>
      </c>
      <c r="E37" s="111" t="s">
        <v>1289</v>
      </c>
      <c r="F37" s="109" t="s">
        <v>344</v>
      </c>
      <c r="G37" s="112">
        <v>46300</v>
      </c>
      <c r="H37" s="109" t="s">
        <v>4</v>
      </c>
      <c r="I37" s="109" t="s">
        <v>346</v>
      </c>
      <c r="J37" s="109"/>
      <c r="K37" s="109"/>
      <c r="L37" s="109" t="s">
        <v>346</v>
      </c>
      <c r="M37" s="109"/>
      <c r="N37" s="109"/>
      <c r="O37" s="113"/>
    </row>
    <row r="38" spans="1:15" ht="70.05" customHeight="1" outlineLevel="1">
      <c r="A38" s="109" t="s">
        <v>1290</v>
      </c>
      <c r="B38" s="110" t="s">
        <v>1291</v>
      </c>
      <c r="C38" s="110" t="s">
        <v>1292</v>
      </c>
      <c r="D38" s="111" t="s">
        <v>1288</v>
      </c>
      <c r="E38" s="111" t="s">
        <v>1293</v>
      </c>
      <c r="F38" s="109" t="s">
        <v>344</v>
      </c>
      <c r="G38" s="112">
        <v>46300</v>
      </c>
      <c r="H38" s="109" t="s">
        <v>4</v>
      </c>
      <c r="I38" s="109" t="s">
        <v>346</v>
      </c>
      <c r="J38" s="109"/>
      <c r="K38" s="109"/>
      <c r="L38" s="109" t="s">
        <v>346</v>
      </c>
      <c r="M38" s="109"/>
      <c r="N38" s="109"/>
      <c r="O38" s="113"/>
    </row>
    <row r="39" spans="1:15" ht="70.05" customHeight="1" outlineLevel="1">
      <c r="A39" s="109" t="s">
        <v>1294</v>
      </c>
      <c r="B39" s="110" t="s">
        <v>1295</v>
      </c>
      <c r="C39" s="110" t="s">
        <v>1296</v>
      </c>
      <c r="D39" s="111" t="s">
        <v>1297</v>
      </c>
      <c r="E39" s="111" t="s">
        <v>1268</v>
      </c>
      <c r="F39" s="109" t="s">
        <v>344</v>
      </c>
      <c r="G39" s="112">
        <v>46300</v>
      </c>
      <c r="H39" s="109" t="s">
        <v>4</v>
      </c>
      <c r="I39" s="109" t="s">
        <v>346</v>
      </c>
      <c r="J39" s="109"/>
      <c r="K39" s="109"/>
      <c r="L39" s="109" t="s">
        <v>346</v>
      </c>
      <c r="M39" s="109"/>
      <c r="N39" s="109"/>
      <c r="O39" s="113"/>
    </row>
    <row r="40" spans="1:15" ht="70.05" customHeight="1" outlineLevel="1">
      <c r="A40" s="109" t="s">
        <v>1298</v>
      </c>
      <c r="B40" s="110" t="s">
        <v>1299</v>
      </c>
      <c r="C40" s="110" t="s">
        <v>1300</v>
      </c>
      <c r="D40" s="111" t="s">
        <v>1301</v>
      </c>
      <c r="E40" s="111" t="s">
        <v>1268</v>
      </c>
      <c r="F40" s="109" t="s">
        <v>344</v>
      </c>
      <c r="G40" s="112">
        <v>46300</v>
      </c>
      <c r="H40" s="109" t="s">
        <v>4</v>
      </c>
      <c r="I40" s="109" t="s">
        <v>346</v>
      </c>
      <c r="J40" s="109"/>
      <c r="K40" s="109"/>
      <c r="L40" s="109" t="s">
        <v>346</v>
      </c>
      <c r="M40" s="109"/>
      <c r="N40" s="109"/>
      <c r="O40" s="113"/>
    </row>
    <row r="41" spans="1:15" ht="70.05" customHeight="1" outlineLevel="1">
      <c r="A41" s="109" t="s">
        <v>1302</v>
      </c>
      <c r="B41" s="110" t="s">
        <v>1303</v>
      </c>
      <c r="C41" s="110" t="s">
        <v>1304</v>
      </c>
      <c r="D41" s="111" t="s">
        <v>1305</v>
      </c>
      <c r="E41" s="111" t="s">
        <v>1306</v>
      </c>
      <c r="F41" s="109" t="s">
        <v>344</v>
      </c>
      <c r="G41" s="112">
        <v>46300</v>
      </c>
      <c r="H41" s="109" t="s">
        <v>4</v>
      </c>
      <c r="I41" s="109" t="s">
        <v>346</v>
      </c>
      <c r="J41" s="109"/>
      <c r="K41" s="109"/>
      <c r="L41" s="109" t="s">
        <v>346</v>
      </c>
      <c r="M41" s="109"/>
      <c r="N41" s="109"/>
      <c r="O41" s="113"/>
    </row>
    <row r="42" spans="1:15" ht="70.05" customHeight="1" outlineLevel="1">
      <c r="A42" s="109" t="s">
        <v>1307</v>
      </c>
      <c r="B42" s="110" t="s">
        <v>1308</v>
      </c>
      <c r="C42" s="110" t="s">
        <v>1258</v>
      </c>
      <c r="D42" s="111" t="s">
        <v>1309</v>
      </c>
      <c r="E42" s="111" t="s">
        <v>1310</v>
      </c>
      <c r="F42" s="109" t="s">
        <v>344</v>
      </c>
      <c r="G42" s="112">
        <v>46300</v>
      </c>
      <c r="H42" s="109" t="s">
        <v>4</v>
      </c>
      <c r="I42" s="109" t="s">
        <v>346</v>
      </c>
      <c r="J42" s="109"/>
      <c r="K42" s="109"/>
      <c r="L42" s="109" t="s">
        <v>346</v>
      </c>
      <c r="M42" s="109"/>
      <c r="N42" s="109"/>
      <c r="O42" s="113"/>
    </row>
    <row r="43" spans="1:15" ht="70.05" customHeight="1" outlineLevel="1">
      <c r="A43" s="109" t="s">
        <v>1311</v>
      </c>
      <c r="B43" s="110" t="s">
        <v>1308</v>
      </c>
      <c r="C43" s="110" t="s">
        <v>1258</v>
      </c>
      <c r="D43" s="111" t="s">
        <v>1309</v>
      </c>
      <c r="E43" s="111" t="s">
        <v>1312</v>
      </c>
      <c r="F43" s="109" t="s">
        <v>344</v>
      </c>
      <c r="G43" s="112">
        <v>46300</v>
      </c>
      <c r="H43" s="109" t="s">
        <v>4</v>
      </c>
      <c r="I43" s="109" t="s">
        <v>346</v>
      </c>
      <c r="J43" s="109"/>
      <c r="K43" s="109"/>
      <c r="L43" s="109" t="s">
        <v>346</v>
      </c>
      <c r="M43" s="109"/>
      <c r="N43" s="109"/>
      <c r="O43" s="113"/>
    </row>
    <row r="44" spans="1:15" ht="70.05" customHeight="1" outlineLevel="1">
      <c r="A44" s="109" t="s">
        <v>1313</v>
      </c>
      <c r="B44" s="110" t="s">
        <v>1314</v>
      </c>
      <c r="C44" s="110" t="s">
        <v>1315</v>
      </c>
      <c r="D44" s="111" t="s">
        <v>1316</v>
      </c>
      <c r="E44" s="111" t="s">
        <v>1317</v>
      </c>
      <c r="F44" s="109" t="s">
        <v>344</v>
      </c>
      <c r="G44" s="112">
        <v>46300</v>
      </c>
      <c r="H44" s="109" t="s">
        <v>4</v>
      </c>
      <c r="I44" s="109" t="s">
        <v>346</v>
      </c>
      <c r="J44" s="109"/>
      <c r="K44" s="109"/>
      <c r="L44" s="109" t="s">
        <v>346</v>
      </c>
      <c r="M44" s="109"/>
      <c r="N44" s="109"/>
      <c r="O44" s="113"/>
    </row>
    <row r="45" spans="1:15" ht="15.75" customHeight="1">
      <c r="A45" s="60" t="s">
        <v>76</v>
      </c>
      <c r="B45" s="60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2"/>
    </row>
    <row r="46" spans="1:15" ht="70.05" customHeight="1" outlineLevel="1">
      <c r="A46" s="109" t="s">
        <v>1318</v>
      </c>
      <c r="B46" s="110" t="s">
        <v>1319</v>
      </c>
      <c r="C46" s="110" t="s">
        <v>1320</v>
      </c>
      <c r="D46" s="111" t="s">
        <v>1321</v>
      </c>
      <c r="E46" s="111" t="s">
        <v>1322</v>
      </c>
      <c r="F46" s="109" t="s">
        <v>344</v>
      </c>
      <c r="G46" s="112">
        <v>46300</v>
      </c>
      <c r="H46" s="109" t="s">
        <v>4</v>
      </c>
      <c r="I46" s="109" t="s">
        <v>346</v>
      </c>
      <c r="J46" s="109"/>
      <c r="K46" s="109"/>
      <c r="L46" s="109" t="s">
        <v>346</v>
      </c>
      <c r="M46" s="109"/>
      <c r="N46" s="109"/>
      <c r="O46" s="113"/>
    </row>
    <row r="47" spans="1:15" ht="70.05" customHeight="1" outlineLevel="1">
      <c r="A47" s="109" t="s">
        <v>1323</v>
      </c>
      <c r="B47" s="110" t="s">
        <v>1324</v>
      </c>
      <c r="C47" s="110" t="s">
        <v>1325</v>
      </c>
      <c r="D47" s="111" t="s">
        <v>1326</v>
      </c>
      <c r="E47" s="111" t="s">
        <v>1322</v>
      </c>
      <c r="F47" s="109" t="s">
        <v>344</v>
      </c>
      <c r="G47" s="112">
        <v>46300</v>
      </c>
      <c r="H47" s="109" t="s">
        <v>4</v>
      </c>
      <c r="I47" s="109" t="s">
        <v>346</v>
      </c>
      <c r="J47" s="109"/>
      <c r="K47" s="109"/>
      <c r="L47" s="109" t="s">
        <v>346</v>
      </c>
      <c r="M47" s="109"/>
      <c r="N47" s="109"/>
      <c r="O47" s="113"/>
    </row>
    <row r="48" spans="1:15" ht="70.05" customHeight="1" outlineLevel="1">
      <c r="A48" s="109" t="s">
        <v>1327</v>
      </c>
      <c r="B48" s="110" t="s">
        <v>1328</v>
      </c>
      <c r="C48" s="110" t="s">
        <v>1329</v>
      </c>
      <c r="D48" s="111" t="s">
        <v>1330</v>
      </c>
      <c r="E48" s="111" t="s">
        <v>1322</v>
      </c>
      <c r="F48" s="109" t="s">
        <v>344</v>
      </c>
      <c r="G48" s="112">
        <v>46300</v>
      </c>
      <c r="H48" s="109" t="s">
        <v>4</v>
      </c>
      <c r="I48" s="109" t="s">
        <v>346</v>
      </c>
      <c r="J48" s="109"/>
      <c r="K48" s="109"/>
      <c r="L48" s="109" t="s">
        <v>346</v>
      </c>
      <c r="M48" s="109"/>
      <c r="N48" s="109"/>
      <c r="O48" s="113"/>
    </row>
    <row r="49" spans="1:15" ht="70.05" customHeight="1" outlineLevel="1">
      <c r="A49" s="109" t="s">
        <v>1331</v>
      </c>
      <c r="B49" s="110" t="s">
        <v>1332</v>
      </c>
      <c r="C49" s="110" t="s">
        <v>1333</v>
      </c>
      <c r="D49" s="111" t="s">
        <v>1334</v>
      </c>
      <c r="E49" s="111" t="s">
        <v>1322</v>
      </c>
      <c r="F49" s="109" t="s">
        <v>344</v>
      </c>
      <c r="G49" s="112">
        <v>46300</v>
      </c>
      <c r="H49" s="109" t="s">
        <v>4</v>
      </c>
      <c r="I49" s="109" t="s">
        <v>346</v>
      </c>
      <c r="J49" s="109"/>
      <c r="K49" s="109"/>
      <c r="L49" s="109" t="s">
        <v>346</v>
      </c>
      <c r="M49" s="109"/>
      <c r="N49" s="109"/>
      <c r="O49" s="113"/>
    </row>
    <row r="50" spans="1:15" ht="70.05" customHeight="1" outlineLevel="1">
      <c r="A50" s="109" t="s">
        <v>1335</v>
      </c>
      <c r="B50" s="110" t="s">
        <v>1336</v>
      </c>
      <c r="C50" s="110" t="s">
        <v>1337</v>
      </c>
      <c r="D50" s="111" t="s">
        <v>1338</v>
      </c>
      <c r="E50" s="111" t="s">
        <v>1322</v>
      </c>
      <c r="F50" s="109" t="s">
        <v>344</v>
      </c>
      <c r="G50" s="112">
        <v>46300</v>
      </c>
      <c r="H50" s="109" t="s">
        <v>4</v>
      </c>
      <c r="I50" s="109" t="s">
        <v>346</v>
      </c>
      <c r="J50" s="109"/>
      <c r="K50" s="109"/>
      <c r="L50" s="109" t="s">
        <v>346</v>
      </c>
      <c r="M50" s="109"/>
      <c r="N50" s="109"/>
      <c r="O50" s="113"/>
    </row>
    <row r="51" spans="1:15" ht="70.05" customHeight="1" outlineLevel="1">
      <c r="A51" s="109" t="s">
        <v>1339</v>
      </c>
      <c r="B51" s="110" t="s">
        <v>1340</v>
      </c>
      <c r="C51" s="110" t="s">
        <v>1341</v>
      </c>
      <c r="D51" s="111" t="s">
        <v>1342</v>
      </c>
      <c r="E51" s="111" t="s">
        <v>1322</v>
      </c>
      <c r="F51" s="109" t="s">
        <v>344</v>
      </c>
      <c r="G51" s="112">
        <v>46300</v>
      </c>
      <c r="H51" s="109" t="s">
        <v>4</v>
      </c>
      <c r="I51" s="109" t="s">
        <v>346</v>
      </c>
      <c r="J51" s="109"/>
      <c r="K51" s="109"/>
      <c r="L51" s="109" t="s">
        <v>346</v>
      </c>
      <c r="M51" s="109"/>
      <c r="N51" s="109"/>
      <c r="O51" s="113"/>
    </row>
    <row r="52" spans="1:15" ht="70.05" customHeight="1" outlineLevel="1">
      <c r="A52" s="109" t="s">
        <v>1343</v>
      </c>
      <c r="B52" s="110" t="s">
        <v>1344</v>
      </c>
      <c r="C52" s="110" t="s">
        <v>1345</v>
      </c>
      <c r="D52" s="111" t="s">
        <v>1346</v>
      </c>
      <c r="E52" s="111" t="s">
        <v>1322</v>
      </c>
      <c r="F52" s="109" t="s">
        <v>344</v>
      </c>
      <c r="G52" s="112">
        <v>46300</v>
      </c>
      <c r="H52" s="109" t="s">
        <v>4</v>
      </c>
      <c r="I52" s="109" t="s">
        <v>346</v>
      </c>
      <c r="J52" s="109"/>
      <c r="K52" s="109"/>
      <c r="L52" s="109" t="s">
        <v>346</v>
      </c>
      <c r="M52" s="109"/>
      <c r="N52" s="109"/>
      <c r="O52" s="113"/>
    </row>
    <row r="53" spans="1:15" ht="70.05" customHeight="1" outlineLevel="1">
      <c r="A53" s="109" t="s">
        <v>1347</v>
      </c>
      <c r="B53" s="110" t="s">
        <v>1348</v>
      </c>
      <c r="C53" s="110" t="s">
        <v>1349</v>
      </c>
      <c r="D53" s="111" t="s">
        <v>1350</v>
      </c>
      <c r="E53" s="111" t="s">
        <v>1351</v>
      </c>
      <c r="F53" s="109" t="s">
        <v>344</v>
      </c>
      <c r="G53" s="112">
        <v>46300</v>
      </c>
      <c r="H53" s="109" t="s">
        <v>4</v>
      </c>
      <c r="I53" s="109" t="s">
        <v>346</v>
      </c>
      <c r="J53" s="109"/>
      <c r="K53" s="109"/>
      <c r="L53" s="109" t="s">
        <v>346</v>
      </c>
      <c r="M53" s="109"/>
      <c r="N53" s="109"/>
      <c r="O53" s="113"/>
    </row>
    <row r="54" spans="1:15" ht="70.05" customHeight="1" outlineLevel="1">
      <c r="A54" s="109" t="s">
        <v>1352</v>
      </c>
      <c r="B54" s="110" t="s">
        <v>1353</v>
      </c>
      <c r="C54" s="110" t="s">
        <v>1354</v>
      </c>
      <c r="D54" s="111" t="s">
        <v>1355</v>
      </c>
      <c r="E54" s="111" t="s">
        <v>1322</v>
      </c>
      <c r="F54" s="109" t="s">
        <v>344</v>
      </c>
      <c r="G54" s="112">
        <v>46300</v>
      </c>
      <c r="H54" s="109" t="s">
        <v>4</v>
      </c>
      <c r="I54" s="109" t="s">
        <v>346</v>
      </c>
      <c r="J54" s="109"/>
      <c r="K54" s="109"/>
      <c r="L54" s="109" t="s">
        <v>346</v>
      </c>
      <c r="M54" s="109"/>
      <c r="N54" s="109"/>
      <c r="O54" s="113"/>
    </row>
    <row r="55" spans="1:15" ht="70.05" customHeight="1" outlineLevel="1">
      <c r="A55" s="109" t="s">
        <v>1356</v>
      </c>
      <c r="B55" s="110" t="s">
        <v>1357</v>
      </c>
      <c r="C55" s="110" t="s">
        <v>1358</v>
      </c>
      <c r="D55" s="111" t="s">
        <v>1359</v>
      </c>
      <c r="E55" s="111" t="s">
        <v>1322</v>
      </c>
      <c r="F55" s="109" t="s">
        <v>344</v>
      </c>
      <c r="G55" s="112">
        <v>46300</v>
      </c>
      <c r="H55" s="109" t="s">
        <v>4</v>
      </c>
      <c r="I55" s="109" t="s">
        <v>346</v>
      </c>
      <c r="J55" s="109"/>
      <c r="K55" s="109"/>
      <c r="L55" s="109" t="s">
        <v>346</v>
      </c>
      <c r="M55" s="109"/>
      <c r="N55" s="109"/>
      <c r="O55" s="113"/>
    </row>
    <row r="56" spans="1:15" ht="70.05" customHeight="1" outlineLevel="1">
      <c r="A56" s="109" t="s">
        <v>1360</v>
      </c>
      <c r="B56" s="110" t="s">
        <v>1361</v>
      </c>
      <c r="C56" s="110" t="s">
        <v>1362</v>
      </c>
      <c r="D56" s="111" t="s">
        <v>1355</v>
      </c>
      <c r="E56" s="111" t="s">
        <v>1322</v>
      </c>
      <c r="F56" s="109" t="s">
        <v>344</v>
      </c>
      <c r="G56" s="112">
        <v>46300</v>
      </c>
      <c r="H56" s="109" t="s">
        <v>4</v>
      </c>
      <c r="I56" s="109" t="s">
        <v>346</v>
      </c>
      <c r="J56" s="109"/>
      <c r="K56" s="109"/>
      <c r="L56" s="109" t="s">
        <v>346</v>
      </c>
      <c r="M56" s="109"/>
      <c r="N56" s="109"/>
      <c r="O56" s="113"/>
    </row>
    <row r="57" spans="1:15" ht="70.05" customHeight="1" outlineLevel="1">
      <c r="A57" s="109" t="s">
        <v>1363</v>
      </c>
      <c r="B57" s="110" t="s">
        <v>1364</v>
      </c>
      <c r="C57" s="110" t="s">
        <v>1365</v>
      </c>
      <c r="D57" s="111" t="s">
        <v>1355</v>
      </c>
      <c r="E57" s="111" t="s">
        <v>1322</v>
      </c>
      <c r="F57" s="109" t="s">
        <v>344</v>
      </c>
      <c r="G57" s="112">
        <v>46300</v>
      </c>
      <c r="H57" s="109" t="s">
        <v>4</v>
      </c>
      <c r="I57" s="109" t="s">
        <v>346</v>
      </c>
      <c r="J57" s="109"/>
      <c r="K57" s="109"/>
      <c r="L57" s="109" t="s">
        <v>346</v>
      </c>
      <c r="M57" s="109"/>
      <c r="N57" s="109"/>
      <c r="O57" s="113"/>
    </row>
    <row r="58" spans="1:15" ht="70.05" customHeight="1" outlineLevel="1">
      <c r="A58" s="109" t="s">
        <v>1366</v>
      </c>
      <c r="B58" s="110" t="s">
        <v>1367</v>
      </c>
      <c r="C58" s="110" t="s">
        <v>1368</v>
      </c>
      <c r="D58" s="111" t="s">
        <v>1369</v>
      </c>
      <c r="E58" s="111" t="s">
        <v>1322</v>
      </c>
      <c r="F58" s="109" t="s">
        <v>344</v>
      </c>
      <c r="G58" s="112">
        <v>46300</v>
      </c>
      <c r="H58" s="109" t="s">
        <v>4</v>
      </c>
      <c r="I58" s="109" t="s">
        <v>346</v>
      </c>
      <c r="J58" s="109"/>
      <c r="K58" s="109"/>
      <c r="L58" s="109" t="s">
        <v>346</v>
      </c>
      <c r="M58" s="109"/>
      <c r="N58" s="109"/>
      <c r="O58" s="113"/>
    </row>
    <row r="59" spans="1:15" ht="70.05" customHeight="1" outlineLevel="1">
      <c r="A59" s="109" t="s">
        <v>1370</v>
      </c>
      <c r="B59" s="110" t="s">
        <v>1371</v>
      </c>
      <c r="C59" s="110" t="s">
        <v>1372</v>
      </c>
      <c r="D59" s="111" t="s">
        <v>1369</v>
      </c>
      <c r="E59" s="111" t="s">
        <v>1322</v>
      </c>
      <c r="F59" s="109" t="s">
        <v>344</v>
      </c>
      <c r="G59" s="112">
        <v>46300</v>
      </c>
      <c r="H59" s="109" t="s">
        <v>4</v>
      </c>
      <c r="I59" s="109" t="s">
        <v>346</v>
      </c>
      <c r="J59" s="109"/>
      <c r="K59" s="109"/>
      <c r="L59" s="109" t="s">
        <v>346</v>
      </c>
      <c r="M59" s="109"/>
      <c r="N59" s="109"/>
      <c r="O59" s="113"/>
    </row>
    <row r="60" spans="1:15" ht="70.05" customHeight="1" outlineLevel="1">
      <c r="A60" s="109" t="s">
        <v>1373</v>
      </c>
      <c r="B60" s="110" t="s">
        <v>1374</v>
      </c>
      <c r="C60" s="110" t="s">
        <v>1375</v>
      </c>
      <c r="D60" s="111" t="s">
        <v>1369</v>
      </c>
      <c r="E60" s="111" t="s">
        <v>1322</v>
      </c>
      <c r="F60" s="109" t="s">
        <v>344</v>
      </c>
      <c r="G60" s="112">
        <v>46300</v>
      </c>
      <c r="H60" s="109" t="s">
        <v>4</v>
      </c>
      <c r="I60" s="109" t="s">
        <v>346</v>
      </c>
      <c r="J60" s="109"/>
      <c r="K60" s="109"/>
      <c r="L60" s="109" t="s">
        <v>346</v>
      </c>
      <c r="M60" s="109"/>
      <c r="N60" s="109"/>
      <c r="O60" s="113"/>
    </row>
    <row r="61" spans="1:15" ht="70.05" customHeight="1" outlineLevel="1">
      <c r="A61" s="109" t="s">
        <v>1376</v>
      </c>
      <c r="B61" s="110" t="s">
        <v>1377</v>
      </c>
      <c r="C61" s="110" t="s">
        <v>1378</v>
      </c>
      <c r="D61" s="111" t="s">
        <v>1254</v>
      </c>
      <c r="E61" s="111" t="s">
        <v>1255</v>
      </c>
      <c r="F61" s="109" t="s">
        <v>344</v>
      </c>
      <c r="G61" s="112">
        <v>46300</v>
      </c>
      <c r="H61" s="109" t="s">
        <v>4</v>
      </c>
      <c r="I61" s="109" t="s">
        <v>346</v>
      </c>
      <c r="J61" s="109"/>
      <c r="K61" s="109"/>
      <c r="L61" s="109" t="s">
        <v>346</v>
      </c>
      <c r="M61" s="109"/>
      <c r="N61" s="109"/>
      <c r="O61" s="113"/>
    </row>
    <row r="62" spans="1:15" ht="70.05" customHeight="1" outlineLevel="1">
      <c r="A62" s="109" t="s">
        <v>1379</v>
      </c>
      <c r="B62" s="110" t="s">
        <v>1380</v>
      </c>
      <c r="C62" s="110" t="s">
        <v>1381</v>
      </c>
      <c r="D62" s="111" t="s">
        <v>1382</v>
      </c>
      <c r="E62" s="111" t="s">
        <v>1322</v>
      </c>
      <c r="F62" s="109" t="s">
        <v>344</v>
      </c>
      <c r="G62" s="112">
        <v>46300</v>
      </c>
      <c r="H62" s="109" t="s">
        <v>4</v>
      </c>
      <c r="I62" s="109" t="s">
        <v>346</v>
      </c>
      <c r="J62" s="109"/>
      <c r="K62" s="109"/>
      <c r="L62" s="109" t="s">
        <v>346</v>
      </c>
      <c r="M62" s="109"/>
      <c r="N62" s="109"/>
      <c r="O62" s="113"/>
    </row>
    <row r="63" spans="1:15" ht="15.75" customHeight="1">
      <c r="A63" s="60" t="s">
        <v>79</v>
      </c>
      <c r="B63" s="60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2"/>
    </row>
    <row r="64" spans="1:15" ht="70.05" customHeight="1" outlineLevel="1">
      <c r="A64" s="109" t="s">
        <v>1383</v>
      </c>
      <c r="B64" s="110" t="s">
        <v>1384</v>
      </c>
      <c r="C64" s="110" t="s">
        <v>1385</v>
      </c>
      <c r="D64" s="111" t="s">
        <v>1386</v>
      </c>
      <c r="E64" s="111" t="s">
        <v>1387</v>
      </c>
      <c r="F64" s="109" t="s">
        <v>344</v>
      </c>
      <c r="G64" s="112">
        <v>46300</v>
      </c>
      <c r="H64" s="109" t="s">
        <v>4</v>
      </c>
      <c r="I64" s="109" t="s">
        <v>346</v>
      </c>
      <c r="J64" s="109"/>
      <c r="K64" s="109"/>
      <c r="L64" s="109" t="s">
        <v>346</v>
      </c>
      <c r="M64" s="109"/>
      <c r="N64" s="109"/>
      <c r="O64" s="113"/>
    </row>
    <row r="65" spans="1:15" ht="70.05" customHeight="1" outlineLevel="1">
      <c r="A65" s="109" t="s">
        <v>1388</v>
      </c>
      <c r="B65" s="110" t="s">
        <v>1384</v>
      </c>
      <c r="C65" s="110" t="s">
        <v>1385</v>
      </c>
      <c r="D65" s="111" t="s">
        <v>1389</v>
      </c>
      <c r="E65" s="111" t="s">
        <v>1390</v>
      </c>
      <c r="F65" s="109" t="s">
        <v>344</v>
      </c>
      <c r="G65" s="112">
        <v>46300</v>
      </c>
      <c r="H65" s="109" t="s">
        <v>4</v>
      </c>
      <c r="I65" s="109" t="s">
        <v>346</v>
      </c>
      <c r="J65" s="109"/>
      <c r="K65" s="109"/>
      <c r="L65" s="109" t="s">
        <v>346</v>
      </c>
      <c r="M65" s="109"/>
      <c r="N65" s="109"/>
      <c r="O65" s="113"/>
    </row>
    <row r="66" spans="1:15" ht="70.05" customHeight="1" outlineLevel="1">
      <c r="A66" s="109" t="s">
        <v>1391</v>
      </c>
      <c r="B66" s="110" t="s">
        <v>1384</v>
      </c>
      <c r="C66" s="110" t="s">
        <v>1385</v>
      </c>
      <c r="D66" s="111" t="s">
        <v>1392</v>
      </c>
      <c r="E66" s="111" t="s">
        <v>1393</v>
      </c>
      <c r="F66" s="109" t="s">
        <v>344</v>
      </c>
      <c r="G66" s="112">
        <v>46300</v>
      </c>
      <c r="H66" s="109" t="s">
        <v>4</v>
      </c>
      <c r="I66" s="109" t="s">
        <v>346</v>
      </c>
      <c r="J66" s="109"/>
      <c r="K66" s="109"/>
      <c r="L66" s="109" t="s">
        <v>346</v>
      </c>
      <c r="M66" s="109"/>
      <c r="N66" s="109"/>
      <c r="O66" s="113"/>
    </row>
    <row r="67" spans="1:15" ht="70.05" customHeight="1" outlineLevel="1">
      <c r="A67" s="109" t="s">
        <v>1394</v>
      </c>
      <c r="B67" s="110" t="s">
        <v>1384</v>
      </c>
      <c r="C67" s="110" t="s">
        <v>1385</v>
      </c>
      <c r="D67" s="111" t="s">
        <v>1395</v>
      </c>
      <c r="E67" s="111" t="s">
        <v>1396</v>
      </c>
      <c r="F67" s="109" t="s">
        <v>344</v>
      </c>
      <c r="G67" s="112">
        <v>46300</v>
      </c>
      <c r="H67" s="109" t="s">
        <v>4</v>
      </c>
      <c r="I67" s="109" t="s">
        <v>346</v>
      </c>
      <c r="J67" s="109"/>
      <c r="K67" s="109"/>
      <c r="L67" s="109" t="s">
        <v>346</v>
      </c>
      <c r="M67" s="109"/>
      <c r="N67" s="109"/>
      <c r="O67" s="113"/>
    </row>
    <row r="68" spans="1:15" ht="70.05" customHeight="1" outlineLevel="1">
      <c r="A68" s="109" t="s">
        <v>1397</v>
      </c>
      <c r="B68" s="110" t="s">
        <v>1384</v>
      </c>
      <c r="C68" s="110" t="s">
        <v>1385</v>
      </c>
      <c r="D68" s="111" t="s">
        <v>1398</v>
      </c>
      <c r="E68" s="111" t="s">
        <v>1399</v>
      </c>
      <c r="F68" s="109" t="s">
        <v>344</v>
      </c>
      <c r="G68" s="112">
        <v>46300</v>
      </c>
      <c r="H68" s="109" t="s">
        <v>4</v>
      </c>
      <c r="I68" s="109" t="s">
        <v>346</v>
      </c>
      <c r="J68" s="109"/>
      <c r="K68" s="109"/>
      <c r="L68" s="109" t="s">
        <v>346</v>
      </c>
      <c r="M68" s="109"/>
      <c r="N68" s="109"/>
      <c r="O68" s="113"/>
    </row>
    <row r="69" spans="1:15" ht="70.05" customHeight="1" outlineLevel="1">
      <c r="A69" s="109" t="s">
        <v>1400</v>
      </c>
      <c r="B69" s="110" t="s">
        <v>1384</v>
      </c>
      <c r="C69" s="110" t="s">
        <v>1385</v>
      </c>
      <c r="D69" s="111" t="s">
        <v>1401</v>
      </c>
      <c r="E69" s="111" t="s">
        <v>1402</v>
      </c>
      <c r="F69" s="109" t="s">
        <v>344</v>
      </c>
      <c r="G69" s="112">
        <v>46300</v>
      </c>
      <c r="H69" s="109" t="s">
        <v>4</v>
      </c>
      <c r="I69" s="109" t="s">
        <v>346</v>
      </c>
      <c r="J69" s="109"/>
      <c r="K69" s="109"/>
      <c r="L69" s="109" t="s">
        <v>346</v>
      </c>
      <c r="M69" s="109"/>
      <c r="N69" s="109"/>
      <c r="O69" s="113"/>
    </row>
    <row r="70" spans="1:15" ht="70.05" customHeight="1" outlineLevel="1">
      <c r="A70" s="109" t="s">
        <v>1403</v>
      </c>
      <c r="B70" s="110" t="s">
        <v>1384</v>
      </c>
      <c r="C70" s="110" t="s">
        <v>1385</v>
      </c>
      <c r="D70" s="111" t="s">
        <v>1395</v>
      </c>
      <c r="E70" s="111" t="s">
        <v>1404</v>
      </c>
      <c r="F70" s="109" t="s">
        <v>344</v>
      </c>
      <c r="G70" s="112">
        <v>46300</v>
      </c>
      <c r="H70" s="109" t="s">
        <v>4</v>
      </c>
      <c r="I70" s="109" t="s">
        <v>346</v>
      </c>
      <c r="J70" s="109"/>
      <c r="K70" s="109"/>
      <c r="L70" s="109" t="s">
        <v>346</v>
      </c>
      <c r="M70" s="109"/>
      <c r="N70" s="109"/>
      <c r="O70" s="113"/>
    </row>
    <row r="71" spans="1:15" ht="70.05" customHeight="1" outlineLevel="1">
      <c r="A71" s="109" t="s">
        <v>1405</v>
      </c>
      <c r="B71" s="110" t="s">
        <v>1406</v>
      </c>
      <c r="C71" s="110" t="s">
        <v>1385</v>
      </c>
      <c r="D71" s="111" t="s">
        <v>1407</v>
      </c>
      <c r="E71" s="111" t="s">
        <v>1408</v>
      </c>
      <c r="F71" s="109" t="s">
        <v>344</v>
      </c>
      <c r="G71" s="112">
        <v>46300</v>
      </c>
      <c r="H71" s="109" t="s">
        <v>4</v>
      </c>
      <c r="I71" s="109" t="s">
        <v>346</v>
      </c>
      <c r="J71" s="109"/>
      <c r="K71" s="109"/>
      <c r="L71" s="109" t="s">
        <v>346</v>
      </c>
      <c r="M71" s="109"/>
      <c r="N71" s="109"/>
      <c r="O71" s="113"/>
    </row>
    <row r="72" spans="1:15" ht="70.05" customHeight="1" outlineLevel="1">
      <c r="A72" s="109" t="s">
        <v>1409</v>
      </c>
      <c r="B72" s="110" t="s">
        <v>1406</v>
      </c>
      <c r="C72" s="110" t="s">
        <v>1385</v>
      </c>
      <c r="D72" s="111" t="s">
        <v>1410</v>
      </c>
      <c r="E72" s="111" t="s">
        <v>1411</v>
      </c>
      <c r="F72" s="109" t="s">
        <v>344</v>
      </c>
      <c r="G72" s="112">
        <v>46300</v>
      </c>
      <c r="H72" s="109" t="s">
        <v>4</v>
      </c>
      <c r="I72" s="109" t="s">
        <v>346</v>
      </c>
      <c r="J72" s="109"/>
      <c r="K72" s="109"/>
      <c r="L72" s="109" t="s">
        <v>346</v>
      </c>
      <c r="M72" s="109"/>
      <c r="N72" s="109"/>
      <c r="O72" s="113"/>
    </row>
    <row r="73" spans="1:15" ht="70.05" customHeight="1" outlineLevel="1">
      <c r="A73" s="109" t="s">
        <v>1412</v>
      </c>
      <c r="B73" s="110" t="s">
        <v>1406</v>
      </c>
      <c r="C73" s="110" t="s">
        <v>1385</v>
      </c>
      <c r="D73" s="111" t="s">
        <v>1309</v>
      </c>
      <c r="E73" s="111" t="s">
        <v>1413</v>
      </c>
      <c r="F73" s="109" t="s">
        <v>344</v>
      </c>
      <c r="G73" s="112">
        <v>46300</v>
      </c>
      <c r="H73" s="109" t="s">
        <v>4</v>
      </c>
      <c r="I73" s="109" t="s">
        <v>346</v>
      </c>
      <c r="J73" s="109"/>
      <c r="K73" s="109"/>
      <c r="L73" s="109" t="s">
        <v>346</v>
      </c>
      <c r="M73" s="109"/>
      <c r="N73" s="109"/>
      <c r="O73" s="113"/>
    </row>
    <row r="74" spans="1:15" ht="70.05" customHeight="1" outlineLevel="1">
      <c r="A74" s="109" t="s">
        <v>1414</v>
      </c>
      <c r="B74" s="110" t="s">
        <v>1415</v>
      </c>
      <c r="C74" s="110" t="s">
        <v>1416</v>
      </c>
      <c r="D74" s="111" t="s">
        <v>1305</v>
      </c>
      <c r="E74" s="111" t="s">
        <v>1306</v>
      </c>
      <c r="F74" s="109" t="s">
        <v>344</v>
      </c>
      <c r="G74" s="112">
        <v>46300</v>
      </c>
      <c r="H74" s="109" t="s">
        <v>4</v>
      </c>
      <c r="I74" s="109" t="s">
        <v>346</v>
      </c>
      <c r="J74" s="109"/>
      <c r="K74" s="109"/>
      <c r="L74" s="109" t="s">
        <v>346</v>
      </c>
      <c r="M74" s="109"/>
      <c r="N74" s="109"/>
      <c r="O74" s="113"/>
    </row>
    <row r="75" spans="1:15" ht="70.05" customHeight="1" outlineLevel="1">
      <c r="A75" s="109" t="s">
        <v>1417</v>
      </c>
      <c r="B75" s="110" t="s">
        <v>1418</v>
      </c>
      <c r="C75" s="110" t="s">
        <v>1385</v>
      </c>
      <c r="D75" s="111" t="s">
        <v>1309</v>
      </c>
      <c r="E75" s="111" t="s">
        <v>1310</v>
      </c>
      <c r="F75" s="109" t="s">
        <v>344</v>
      </c>
      <c r="G75" s="112">
        <v>46300</v>
      </c>
      <c r="H75" s="109" t="s">
        <v>4</v>
      </c>
      <c r="I75" s="109" t="s">
        <v>346</v>
      </c>
      <c r="J75" s="109"/>
      <c r="K75" s="109"/>
      <c r="L75" s="109" t="s">
        <v>346</v>
      </c>
      <c r="M75" s="109"/>
      <c r="N75" s="109"/>
      <c r="O75" s="113"/>
    </row>
    <row r="76" spans="1:15" ht="70.05" customHeight="1" outlineLevel="1">
      <c r="A76" s="109" t="s">
        <v>1419</v>
      </c>
      <c r="B76" s="110" t="s">
        <v>1418</v>
      </c>
      <c r="C76" s="110" t="s">
        <v>1385</v>
      </c>
      <c r="D76" s="111" t="s">
        <v>1309</v>
      </c>
      <c r="E76" s="111" t="s">
        <v>1420</v>
      </c>
      <c r="F76" s="109" t="s">
        <v>344</v>
      </c>
      <c r="G76" s="112">
        <v>46300</v>
      </c>
      <c r="H76" s="109" t="s">
        <v>4</v>
      </c>
      <c r="I76" s="109" t="s">
        <v>346</v>
      </c>
      <c r="J76" s="109"/>
      <c r="K76" s="109"/>
      <c r="L76" s="109" t="s">
        <v>346</v>
      </c>
      <c r="M76" s="109"/>
      <c r="N76" s="109"/>
      <c r="O76" s="113"/>
    </row>
    <row r="77" spans="1:15" ht="70.05" customHeight="1" outlineLevel="1">
      <c r="A77" s="109" t="s">
        <v>1421</v>
      </c>
      <c r="B77" s="110" t="s">
        <v>1418</v>
      </c>
      <c r="C77" s="110" t="s">
        <v>1385</v>
      </c>
      <c r="D77" s="111" t="s">
        <v>1309</v>
      </c>
      <c r="E77" s="111" t="s">
        <v>1422</v>
      </c>
      <c r="F77" s="109" t="s">
        <v>344</v>
      </c>
      <c r="G77" s="112">
        <v>46300</v>
      </c>
      <c r="H77" s="109" t="s">
        <v>4</v>
      </c>
      <c r="I77" s="109" t="s">
        <v>346</v>
      </c>
      <c r="J77" s="109"/>
      <c r="K77" s="109"/>
      <c r="L77" s="109" t="s">
        <v>346</v>
      </c>
      <c r="M77" s="109"/>
      <c r="N77" s="109"/>
      <c r="O77" s="113"/>
    </row>
    <row r="78" spans="1:15" ht="70.05" customHeight="1" outlineLevel="1">
      <c r="A78" s="109" t="s">
        <v>1423</v>
      </c>
      <c r="B78" s="110" t="s">
        <v>1418</v>
      </c>
      <c r="C78" s="110" t="s">
        <v>1385</v>
      </c>
      <c r="D78" s="111" t="s">
        <v>1309</v>
      </c>
      <c r="E78" s="111" t="s">
        <v>1424</v>
      </c>
      <c r="F78" s="109" t="s">
        <v>344</v>
      </c>
      <c r="G78" s="112">
        <v>46300</v>
      </c>
      <c r="H78" s="109" t="s">
        <v>4</v>
      </c>
      <c r="I78" s="109" t="s">
        <v>346</v>
      </c>
      <c r="J78" s="109"/>
      <c r="K78" s="109"/>
      <c r="L78" s="109" t="s">
        <v>346</v>
      </c>
      <c r="M78" s="109"/>
      <c r="N78" s="109"/>
      <c r="O78" s="113"/>
    </row>
    <row r="79" spans="1:15" ht="70.05" customHeight="1" outlineLevel="1">
      <c r="A79" s="109" t="s">
        <v>1425</v>
      </c>
      <c r="B79" s="110" t="s">
        <v>1426</v>
      </c>
      <c r="C79" s="110" t="s">
        <v>1427</v>
      </c>
      <c r="D79" s="111" t="s">
        <v>1254</v>
      </c>
      <c r="E79" s="111" t="s">
        <v>1255</v>
      </c>
      <c r="F79" s="109" t="s">
        <v>344</v>
      </c>
      <c r="G79" s="112">
        <v>46300</v>
      </c>
      <c r="H79" s="109" t="s">
        <v>4</v>
      </c>
      <c r="I79" s="109" t="s">
        <v>346</v>
      </c>
      <c r="J79" s="109"/>
      <c r="K79" s="109"/>
      <c r="L79" s="109" t="s">
        <v>346</v>
      </c>
      <c r="M79" s="109"/>
      <c r="N79" s="109"/>
      <c r="O79" s="113"/>
    </row>
    <row r="80" spans="1:15" ht="15.75" customHeight="1">
      <c r="A80" s="60" t="s">
        <v>81</v>
      </c>
      <c r="B80" s="60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2"/>
    </row>
    <row r="81" spans="1:15" ht="70.05" customHeight="1" outlineLevel="1">
      <c r="A81" s="109" t="s">
        <v>1428</v>
      </c>
      <c r="B81" s="110" t="s">
        <v>1429</v>
      </c>
      <c r="C81" s="110" t="s">
        <v>1430</v>
      </c>
      <c r="D81" s="111" t="s">
        <v>1431</v>
      </c>
      <c r="E81" s="111" t="s">
        <v>1387</v>
      </c>
      <c r="F81" s="109" t="s">
        <v>344</v>
      </c>
      <c r="G81" s="112">
        <v>46300</v>
      </c>
      <c r="H81" s="109" t="s">
        <v>4</v>
      </c>
      <c r="I81" s="109" t="s">
        <v>346</v>
      </c>
      <c r="J81" s="109"/>
      <c r="K81" s="109"/>
      <c r="L81" s="109" t="s">
        <v>346</v>
      </c>
      <c r="M81" s="109"/>
      <c r="N81" s="109"/>
      <c r="O81" s="113"/>
    </row>
    <row r="82" spans="1:15" ht="70.05" customHeight="1" outlineLevel="1">
      <c r="A82" s="109" t="s">
        <v>1432</v>
      </c>
      <c r="B82" s="110" t="s">
        <v>1433</v>
      </c>
      <c r="C82" s="110" t="s">
        <v>1434</v>
      </c>
      <c r="D82" s="111" t="s">
        <v>1435</v>
      </c>
      <c r="E82" s="111" t="s">
        <v>1387</v>
      </c>
      <c r="F82" s="109" t="s">
        <v>344</v>
      </c>
      <c r="G82" s="112">
        <v>46300</v>
      </c>
      <c r="H82" s="109" t="s">
        <v>4</v>
      </c>
      <c r="I82" s="109" t="s">
        <v>346</v>
      </c>
      <c r="J82" s="109"/>
      <c r="K82" s="109"/>
      <c r="L82" s="109" t="s">
        <v>346</v>
      </c>
      <c r="M82" s="109"/>
      <c r="N82" s="109"/>
      <c r="O82" s="113"/>
    </row>
    <row r="83" spans="1:15" ht="70.05" customHeight="1" outlineLevel="1">
      <c r="A83" s="109" t="s">
        <v>1436</v>
      </c>
      <c r="B83" s="110" t="s">
        <v>1437</v>
      </c>
      <c r="C83" s="110" t="s">
        <v>1438</v>
      </c>
      <c r="D83" s="111" t="s">
        <v>1439</v>
      </c>
      <c r="E83" s="111" t="s">
        <v>1387</v>
      </c>
      <c r="F83" s="109" t="s">
        <v>344</v>
      </c>
      <c r="G83" s="112">
        <v>46300</v>
      </c>
      <c r="H83" s="109" t="s">
        <v>4</v>
      </c>
      <c r="I83" s="109" t="s">
        <v>346</v>
      </c>
      <c r="J83" s="109"/>
      <c r="K83" s="109"/>
      <c r="L83" s="109" t="s">
        <v>346</v>
      </c>
      <c r="M83" s="109"/>
      <c r="N83" s="109"/>
      <c r="O83" s="113"/>
    </row>
    <row r="84" spans="1:15" ht="70.05" customHeight="1" outlineLevel="1">
      <c r="A84" s="109" t="s">
        <v>1440</v>
      </c>
      <c r="B84" s="110" t="s">
        <v>1441</v>
      </c>
      <c r="C84" s="110" t="s">
        <v>1442</v>
      </c>
      <c r="D84" s="111" t="s">
        <v>1443</v>
      </c>
      <c r="E84" s="111" t="s">
        <v>1387</v>
      </c>
      <c r="F84" s="109" t="s">
        <v>344</v>
      </c>
      <c r="G84" s="112">
        <v>46300</v>
      </c>
      <c r="H84" s="109" t="s">
        <v>4</v>
      </c>
      <c r="I84" s="109" t="s">
        <v>346</v>
      </c>
      <c r="J84" s="109"/>
      <c r="K84" s="109"/>
      <c r="L84" s="109" t="s">
        <v>346</v>
      </c>
      <c r="M84" s="109"/>
      <c r="N84" s="109"/>
      <c r="O84" s="113"/>
    </row>
    <row r="85" spans="1:15" ht="70.05" customHeight="1" outlineLevel="1">
      <c r="A85" s="109" t="s">
        <v>1444</v>
      </c>
      <c r="B85" s="110" t="s">
        <v>1445</v>
      </c>
      <c r="C85" s="110" t="s">
        <v>1446</v>
      </c>
      <c r="D85" s="111" t="s">
        <v>1447</v>
      </c>
      <c r="E85" s="111" t="s">
        <v>1387</v>
      </c>
      <c r="F85" s="109" t="s">
        <v>344</v>
      </c>
      <c r="G85" s="112">
        <v>46300</v>
      </c>
      <c r="H85" s="109" t="s">
        <v>4</v>
      </c>
      <c r="I85" s="109" t="s">
        <v>346</v>
      </c>
      <c r="J85" s="109"/>
      <c r="K85" s="109"/>
      <c r="L85" s="109" t="s">
        <v>346</v>
      </c>
      <c r="M85" s="109"/>
      <c r="N85" s="109"/>
      <c r="O85" s="113"/>
    </row>
    <row r="86" spans="1:15" ht="70.05" customHeight="1" outlineLevel="1">
      <c r="A86" s="109" t="s">
        <v>1448</v>
      </c>
      <c r="B86" s="110" t="s">
        <v>1449</v>
      </c>
      <c r="C86" s="110" t="s">
        <v>1450</v>
      </c>
      <c r="D86" s="111" t="s">
        <v>1451</v>
      </c>
      <c r="E86" s="111" t="s">
        <v>1387</v>
      </c>
      <c r="F86" s="109" t="s">
        <v>344</v>
      </c>
      <c r="G86" s="112">
        <v>46300</v>
      </c>
      <c r="H86" s="109" t="s">
        <v>4</v>
      </c>
      <c r="I86" s="109" t="s">
        <v>346</v>
      </c>
      <c r="J86" s="109"/>
      <c r="K86" s="109"/>
      <c r="L86" s="109" t="s">
        <v>346</v>
      </c>
      <c r="M86" s="109"/>
      <c r="N86" s="109"/>
      <c r="O86" s="113"/>
    </row>
    <row r="87" spans="1:15" ht="70.05" customHeight="1" outlineLevel="1">
      <c r="A87" s="109" t="s">
        <v>1452</v>
      </c>
      <c r="B87" s="110" t="s">
        <v>1453</v>
      </c>
      <c r="C87" s="110" t="s">
        <v>1454</v>
      </c>
      <c r="D87" s="111" t="s">
        <v>1455</v>
      </c>
      <c r="E87" s="111" t="s">
        <v>1387</v>
      </c>
      <c r="F87" s="109" t="s">
        <v>344</v>
      </c>
      <c r="G87" s="112">
        <v>46300</v>
      </c>
      <c r="H87" s="109" t="s">
        <v>4</v>
      </c>
      <c r="I87" s="109" t="s">
        <v>346</v>
      </c>
      <c r="J87" s="109"/>
      <c r="K87" s="109"/>
      <c r="L87" s="109" t="s">
        <v>346</v>
      </c>
      <c r="M87" s="109"/>
      <c r="N87" s="109"/>
      <c r="O87" s="113"/>
    </row>
    <row r="88" spans="1:15" ht="70.05" customHeight="1" outlineLevel="1">
      <c r="A88" s="109" t="s">
        <v>1456</v>
      </c>
      <c r="B88" s="110" t="s">
        <v>1457</v>
      </c>
      <c r="C88" s="110" t="s">
        <v>1458</v>
      </c>
      <c r="D88" s="111" t="s">
        <v>1459</v>
      </c>
      <c r="E88" s="111" t="s">
        <v>1387</v>
      </c>
      <c r="F88" s="109" t="s">
        <v>344</v>
      </c>
      <c r="G88" s="112">
        <v>46300</v>
      </c>
      <c r="H88" s="109" t="s">
        <v>4</v>
      </c>
      <c r="I88" s="109" t="s">
        <v>346</v>
      </c>
      <c r="J88" s="109"/>
      <c r="K88" s="109"/>
      <c r="L88" s="109" t="s">
        <v>346</v>
      </c>
      <c r="M88" s="109"/>
      <c r="N88" s="109"/>
      <c r="O88" s="113"/>
    </row>
    <row r="89" spans="1:15" ht="70.05" customHeight="1" outlineLevel="1">
      <c r="A89" s="109" t="s">
        <v>1460</v>
      </c>
      <c r="B89" s="110" t="s">
        <v>1461</v>
      </c>
      <c r="C89" s="110" t="s">
        <v>1462</v>
      </c>
      <c r="D89" s="111" t="s">
        <v>1463</v>
      </c>
      <c r="E89" s="111" t="s">
        <v>1387</v>
      </c>
      <c r="F89" s="109" t="s">
        <v>344</v>
      </c>
      <c r="G89" s="112">
        <v>46300</v>
      </c>
      <c r="H89" s="109" t="s">
        <v>4</v>
      </c>
      <c r="I89" s="109" t="s">
        <v>346</v>
      </c>
      <c r="J89" s="109"/>
      <c r="K89" s="109"/>
      <c r="L89" s="109" t="s">
        <v>346</v>
      </c>
      <c r="M89" s="109"/>
      <c r="N89" s="109"/>
      <c r="O89" s="113"/>
    </row>
    <row r="90" spans="1:15" ht="70.05" customHeight="1" outlineLevel="1">
      <c r="A90" s="109" t="s">
        <v>1464</v>
      </c>
      <c r="B90" s="110" t="s">
        <v>1465</v>
      </c>
      <c r="C90" s="110" t="s">
        <v>1466</v>
      </c>
      <c r="D90" s="111" t="s">
        <v>1467</v>
      </c>
      <c r="E90" s="111" t="s">
        <v>1387</v>
      </c>
      <c r="F90" s="109" t="s">
        <v>344</v>
      </c>
      <c r="G90" s="112">
        <v>46300</v>
      </c>
      <c r="H90" s="109" t="s">
        <v>4</v>
      </c>
      <c r="I90" s="109" t="s">
        <v>346</v>
      </c>
      <c r="J90" s="109"/>
      <c r="K90" s="109"/>
      <c r="L90" s="109" t="s">
        <v>346</v>
      </c>
      <c r="M90" s="109"/>
      <c r="N90" s="109"/>
      <c r="O90" s="113"/>
    </row>
    <row r="91" spans="1:15" ht="70.05" customHeight="1" outlineLevel="1">
      <c r="A91" s="109" t="s">
        <v>1468</v>
      </c>
      <c r="B91" s="110" t="s">
        <v>1469</v>
      </c>
      <c r="C91" s="110" t="s">
        <v>1470</v>
      </c>
      <c r="D91" s="111" t="s">
        <v>1471</v>
      </c>
      <c r="E91" s="111" t="s">
        <v>1387</v>
      </c>
      <c r="F91" s="109" t="s">
        <v>344</v>
      </c>
      <c r="G91" s="112">
        <v>46300</v>
      </c>
      <c r="H91" s="109" t="s">
        <v>4</v>
      </c>
      <c r="I91" s="109" t="s">
        <v>346</v>
      </c>
      <c r="J91" s="109"/>
      <c r="K91" s="109"/>
      <c r="L91" s="109" t="s">
        <v>346</v>
      </c>
      <c r="M91" s="109"/>
      <c r="N91" s="109"/>
      <c r="O91" s="113"/>
    </row>
    <row r="92" spans="1:15" ht="70.05" customHeight="1" outlineLevel="1">
      <c r="A92" s="109" t="s">
        <v>1472</v>
      </c>
      <c r="B92" s="110" t="s">
        <v>1473</v>
      </c>
      <c r="C92" s="110" t="s">
        <v>1474</v>
      </c>
      <c r="D92" s="111" t="s">
        <v>1475</v>
      </c>
      <c r="E92" s="111" t="s">
        <v>1387</v>
      </c>
      <c r="F92" s="109" t="s">
        <v>344</v>
      </c>
      <c r="G92" s="112">
        <v>46300</v>
      </c>
      <c r="H92" s="109" t="s">
        <v>4</v>
      </c>
      <c r="I92" s="109" t="s">
        <v>346</v>
      </c>
      <c r="J92" s="109"/>
      <c r="K92" s="109"/>
      <c r="L92" s="109" t="s">
        <v>346</v>
      </c>
      <c r="M92" s="109"/>
      <c r="N92" s="109"/>
      <c r="O92" s="113"/>
    </row>
    <row r="93" spans="1:15" ht="70.05" customHeight="1" outlineLevel="1">
      <c r="A93" s="109" t="s">
        <v>1476</v>
      </c>
      <c r="B93" s="110" t="s">
        <v>1477</v>
      </c>
      <c r="C93" s="110" t="s">
        <v>1478</v>
      </c>
      <c r="D93" s="111" t="s">
        <v>1369</v>
      </c>
      <c r="E93" s="111" t="s">
        <v>1387</v>
      </c>
      <c r="F93" s="109" t="s">
        <v>344</v>
      </c>
      <c r="G93" s="112">
        <v>46300</v>
      </c>
      <c r="H93" s="109" t="s">
        <v>4</v>
      </c>
      <c r="I93" s="109" t="s">
        <v>346</v>
      </c>
      <c r="J93" s="109"/>
      <c r="K93" s="109"/>
      <c r="L93" s="109" t="s">
        <v>346</v>
      </c>
      <c r="M93" s="109"/>
      <c r="N93" s="109"/>
      <c r="O93" s="113"/>
    </row>
    <row r="94" spans="1:15" ht="70.05" customHeight="1" outlineLevel="1">
      <c r="A94" s="109" t="s">
        <v>1479</v>
      </c>
      <c r="B94" s="110" t="s">
        <v>1480</v>
      </c>
      <c r="C94" s="110" t="s">
        <v>1481</v>
      </c>
      <c r="D94" s="111" t="s">
        <v>1369</v>
      </c>
      <c r="E94" s="111" t="s">
        <v>1387</v>
      </c>
      <c r="F94" s="109" t="s">
        <v>344</v>
      </c>
      <c r="G94" s="112">
        <v>46300</v>
      </c>
      <c r="H94" s="109" t="s">
        <v>4</v>
      </c>
      <c r="I94" s="109" t="s">
        <v>346</v>
      </c>
      <c r="J94" s="109"/>
      <c r="K94" s="109"/>
      <c r="L94" s="109" t="s">
        <v>346</v>
      </c>
      <c r="M94" s="109"/>
      <c r="N94" s="109"/>
      <c r="O94" s="113"/>
    </row>
    <row r="95" spans="1:15" ht="70.05" customHeight="1" outlineLevel="1">
      <c r="A95" s="109" t="s">
        <v>1482</v>
      </c>
      <c r="B95" s="110" t="s">
        <v>1483</v>
      </c>
      <c r="C95" s="110" t="s">
        <v>1484</v>
      </c>
      <c r="D95" s="111" t="s">
        <v>1305</v>
      </c>
      <c r="E95" s="111" t="s">
        <v>1306</v>
      </c>
      <c r="F95" s="109" t="s">
        <v>344</v>
      </c>
      <c r="G95" s="112">
        <v>46300</v>
      </c>
      <c r="H95" s="109" t="s">
        <v>4</v>
      </c>
      <c r="I95" s="109" t="s">
        <v>346</v>
      </c>
      <c r="J95" s="109"/>
      <c r="K95" s="109"/>
      <c r="L95" s="109" t="s">
        <v>346</v>
      </c>
      <c r="M95" s="109"/>
      <c r="N95" s="109"/>
      <c r="O95" s="113"/>
    </row>
    <row r="96" spans="1:15" ht="70.05" customHeight="1" outlineLevel="1">
      <c r="A96" s="109" t="s">
        <v>1485</v>
      </c>
      <c r="B96" s="110" t="s">
        <v>1486</v>
      </c>
      <c r="C96" s="110" t="s">
        <v>1487</v>
      </c>
      <c r="D96" s="111" t="s">
        <v>1488</v>
      </c>
      <c r="E96" s="111" t="s">
        <v>1489</v>
      </c>
      <c r="F96" s="109" t="s">
        <v>344</v>
      </c>
      <c r="G96" s="112">
        <v>46300</v>
      </c>
      <c r="H96" s="109" t="s">
        <v>4</v>
      </c>
      <c r="I96" s="109" t="s">
        <v>346</v>
      </c>
      <c r="J96" s="109"/>
      <c r="K96" s="109"/>
      <c r="L96" s="109" t="s">
        <v>346</v>
      </c>
      <c r="M96" s="109"/>
      <c r="N96" s="109"/>
      <c r="O96" s="113"/>
    </row>
    <row r="97" spans="1:15" ht="70.05" customHeight="1" outlineLevel="1">
      <c r="A97" s="109" t="s">
        <v>1490</v>
      </c>
      <c r="B97" s="110" t="s">
        <v>1486</v>
      </c>
      <c r="C97" s="110" t="s">
        <v>1487</v>
      </c>
      <c r="D97" s="111" t="s">
        <v>1488</v>
      </c>
      <c r="E97" s="111" t="s">
        <v>1310</v>
      </c>
      <c r="F97" s="109" t="s">
        <v>344</v>
      </c>
      <c r="G97" s="112">
        <v>46300</v>
      </c>
      <c r="H97" s="109" t="s">
        <v>4</v>
      </c>
      <c r="I97" s="109" t="s">
        <v>346</v>
      </c>
      <c r="J97" s="109"/>
      <c r="K97" s="109"/>
      <c r="L97" s="109" t="s">
        <v>346</v>
      </c>
      <c r="M97" s="109"/>
      <c r="N97" s="109"/>
      <c r="O97" s="113"/>
    </row>
    <row r="98" spans="1:15" ht="15.75" customHeight="1">
      <c r="A98" s="60" t="s">
        <v>83</v>
      </c>
      <c r="B98" s="60"/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2"/>
    </row>
    <row r="99" spans="1:15" ht="70.05" customHeight="1" outlineLevel="1">
      <c r="A99" s="109" t="s">
        <v>1491</v>
      </c>
      <c r="B99" s="110" t="s">
        <v>1492</v>
      </c>
      <c r="C99" s="110" t="s">
        <v>1493</v>
      </c>
      <c r="D99" s="111" t="s">
        <v>1494</v>
      </c>
      <c r="E99" s="111" t="s">
        <v>1495</v>
      </c>
      <c r="F99" s="109" t="s">
        <v>344</v>
      </c>
      <c r="G99" s="112">
        <v>46300</v>
      </c>
      <c r="H99" s="109" t="s">
        <v>4</v>
      </c>
      <c r="I99" s="109" t="s">
        <v>346</v>
      </c>
      <c r="J99" s="109"/>
      <c r="K99" s="109"/>
      <c r="L99" s="109" t="s">
        <v>346</v>
      </c>
      <c r="M99" s="109"/>
      <c r="N99" s="109"/>
      <c r="O99" s="113"/>
    </row>
    <row r="100" spans="1:15" ht="70.05" customHeight="1" outlineLevel="1">
      <c r="A100" s="109" t="s">
        <v>1496</v>
      </c>
      <c r="B100" s="110" t="s">
        <v>1492</v>
      </c>
      <c r="C100" s="110" t="s">
        <v>1493</v>
      </c>
      <c r="D100" s="111" t="s">
        <v>1497</v>
      </c>
      <c r="E100" s="111" t="s">
        <v>1498</v>
      </c>
      <c r="F100" s="109" t="s">
        <v>344</v>
      </c>
      <c r="G100" s="112">
        <v>46300</v>
      </c>
      <c r="H100" s="109" t="s">
        <v>4</v>
      </c>
      <c r="I100" s="109" t="s">
        <v>346</v>
      </c>
      <c r="J100" s="109"/>
      <c r="K100" s="109"/>
      <c r="L100" s="109" t="s">
        <v>346</v>
      </c>
      <c r="M100" s="109"/>
      <c r="N100" s="109"/>
      <c r="O100" s="113"/>
    </row>
    <row r="101" spans="1:15" ht="70.05" customHeight="1" outlineLevel="1">
      <c r="A101" s="109" t="s">
        <v>1499</v>
      </c>
      <c r="B101" s="110" t="s">
        <v>1492</v>
      </c>
      <c r="C101" s="110" t="s">
        <v>1493</v>
      </c>
      <c r="D101" s="111" t="s">
        <v>1500</v>
      </c>
      <c r="E101" s="111" t="s">
        <v>1501</v>
      </c>
      <c r="F101" s="109" t="s">
        <v>344</v>
      </c>
      <c r="G101" s="112">
        <v>46300</v>
      </c>
      <c r="H101" s="109" t="s">
        <v>4</v>
      </c>
      <c r="I101" s="109" t="s">
        <v>346</v>
      </c>
      <c r="J101" s="109"/>
      <c r="K101" s="109"/>
      <c r="L101" s="109" t="s">
        <v>346</v>
      </c>
      <c r="M101" s="109"/>
      <c r="N101" s="109"/>
      <c r="O101" s="113"/>
    </row>
    <row r="102" spans="1:15" ht="70.05" customHeight="1" outlineLevel="1">
      <c r="A102" s="109" t="s">
        <v>1502</v>
      </c>
      <c r="B102" s="110" t="s">
        <v>1492</v>
      </c>
      <c r="C102" s="110" t="s">
        <v>1493</v>
      </c>
      <c r="D102" s="111" t="s">
        <v>1503</v>
      </c>
      <c r="E102" s="111" t="s">
        <v>1504</v>
      </c>
      <c r="F102" s="109" t="s">
        <v>344</v>
      </c>
      <c r="G102" s="112">
        <v>46300</v>
      </c>
      <c r="H102" s="109" t="s">
        <v>4</v>
      </c>
      <c r="I102" s="109" t="s">
        <v>346</v>
      </c>
      <c r="J102" s="109"/>
      <c r="K102" s="109"/>
      <c r="L102" s="109" t="s">
        <v>346</v>
      </c>
      <c r="M102" s="109"/>
      <c r="N102" s="109"/>
      <c r="O102" s="113"/>
    </row>
    <row r="103" spans="1:15" ht="70.05" customHeight="1" outlineLevel="1">
      <c r="A103" s="109" t="s">
        <v>1505</v>
      </c>
      <c r="B103" s="110" t="s">
        <v>1492</v>
      </c>
      <c r="C103" s="110" t="s">
        <v>1493</v>
      </c>
      <c r="D103" s="111" t="s">
        <v>1506</v>
      </c>
      <c r="E103" s="111" t="s">
        <v>1495</v>
      </c>
      <c r="F103" s="109" t="s">
        <v>344</v>
      </c>
      <c r="G103" s="112">
        <v>46300</v>
      </c>
      <c r="H103" s="109" t="s">
        <v>4</v>
      </c>
      <c r="I103" s="109" t="s">
        <v>346</v>
      </c>
      <c r="J103" s="109"/>
      <c r="K103" s="109"/>
      <c r="L103" s="109" t="s">
        <v>346</v>
      </c>
      <c r="M103" s="109"/>
      <c r="N103" s="109"/>
      <c r="O103" s="113"/>
    </row>
    <row r="104" spans="1:15" ht="70.05" customHeight="1" outlineLevel="1">
      <c r="A104" s="109" t="s">
        <v>1507</v>
      </c>
      <c r="B104" s="110" t="s">
        <v>1492</v>
      </c>
      <c r="C104" s="110" t="s">
        <v>1493</v>
      </c>
      <c r="D104" s="111" t="s">
        <v>1508</v>
      </c>
      <c r="E104" s="111" t="s">
        <v>1509</v>
      </c>
      <c r="F104" s="109" t="s">
        <v>344</v>
      </c>
      <c r="G104" s="112">
        <v>46300</v>
      </c>
      <c r="H104" s="109" t="s">
        <v>4</v>
      </c>
      <c r="I104" s="109" t="s">
        <v>346</v>
      </c>
      <c r="J104" s="109"/>
      <c r="K104" s="109"/>
      <c r="L104" s="109" t="s">
        <v>346</v>
      </c>
      <c r="M104" s="109"/>
      <c r="N104" s="109"/>
      <c r="O104" s="113"/>
    </row>
    <row r="105" spans="1:15" ht="70.05" customHeight="1" outlineLevel="1">
      <c r="A105" s="109" t="s">
        <v>1510</v>
      </c>
      <c r="B105" s="110" t="s">
        <v>1511</v>
      </c>
      <c r="C105" s="110" t="s">
        <v>1493</v>
      </c>
      <c r="D105" s="111" t="s">
        <v>1512</v>
      </c>
      <c r="E105" s="111" t="s">
        <v>1513</v>
      </c>
      <c r="F105" s="109" t="s">
        <v>344</v>
      </c>
      <c r="G105" s="112">
        <v>46300</v>
      </c>
      <c r="H105" s="109" t="s">
        <v>4</v>
      </c>
      <c r="I105" s="109" t="s">
        <v>346</v>
      </c>
      <c r="J105" s="109"/>
      <c r="K105" s="109"/>
      <c r="L105" s="109" t="s">
        <v>346</v>
      </c>
      <c r="M105" s="109"/>
      <c r="N105" s="109"/>
      <c r="O105" s="113"/>
    </row>
    <row r="106" spans="1:15" ht="70.05" customHeight="1" outlineLevel="1">
      <c r="A106" s="109" t="s">
        <v>1514</v>
      </c>
      <c r="B106" s="110" t="s">
        <v>1511</v>
      </c>
      <c r="C106" s="110" t="s">
        <v>1493</v>
      </c>
      <c r="D106" s="111" t="s">
        <v>1503</v>
      </c>
      <c r="E106" s="111" t="s">
        <v>1515</v>
      </c>
      <c r="F106" s="109" t="s">
        <v>344</v>
      </c>
      <c r="G106" s="112">
        <v>46300</v>
      </c>
      <c r="H106" s="109" t="s">
        <v>4</v>
      </c>
      <c r="I106" s="109" t="s">
        <v>346</v>
      </c>
      <c r="J106" s="109"/>
      <c r="K106" s="109"/>
      <c r="L106" s="109" t="s">
        <v>346</v>
      </c>
      <c r="M106" s="109"/>
      <c r="N106" s="109"/>
      <c r="O106" s="113"/>
    </row>
    <row r="107" spans="1:15" ht="70.05" customHeight="1" outlineLevel="1">
      <c r="A107" s="109" t="s">
        <v>1516</v>
      </c>
      <c r="B107" s="110" t="s">
        <v>1511</v>
      </c>
      <c r="C107" s="110" t="s">
        <v>1493</v>
      </c>
      <c r="D107" s="111" t="s">
        <v>1517</v>
      </c>
      <c r="E107" s="111" t="s">
        <v>1518</v>
      </c>
      <c r="F107" s="109" t="s">
        <v>344</v>
      </c>
      <c r="G107" s="112">
        <v>46300</v>
      </c>
      <c r="H107" s="109" t="s">
        <v>4</v>
      </c>
      <c r="I107" s="109" t="s">
        <v>346</v>
      </c>
      <c r="J107" s="109"/>
      <c r="K107" s="109"/>
      <c r="L107" s="109" t="s">
        <v>346</v>
      </c>
      <c r="M107" s="109"/>
      <c r="N107" s="109"/>
      <c r="O107" s="113"/>
    </row>
    <row r="108" spans="1:15" ht="70.05" customHeight="1" outlineLevel="1">
      <c r="A108" s="109" t="s">
        <v>1519</v>
      </c>
      <c r="B108" s="110" t="s">
        <v>1511</v>
      </c>
      <c r="C108" s="110" t="s">
        <v>1493</v>
      </c>
      <c r="D108" s="111" t="s">
        <v>1520</v>
      </c>
      <c r="E108" s="111" t="s">
        <v>1521</v>
      </c>
      <c r="F108" s="109" t="s">
        <v>344</v>
      </c>
      <c r="G108" s="112">
        <v>46300</v>
      </c>
      <c r="H108" s="109" t="s">
        <v>4</v>
      </c>
      <c r="I108" s="109" t="s">
        <v>346</v>
      </c>
      <c r="J108" s="109"/>
      <c r="K108" s="109"/>
      <c r="L108" s="109" t="s">
        <v>346</v>
      </c>
      <c r="M108" s="109"/>
      <c r="N108" s="109"/>
      <c r="O108" s="113"/>
    </row>
    <row r="109" spans="1:15" ht="70.05" customHeight="1" outlineLevel="1">
      <c r="A109" s="109" t="s">
        <v>1522</v>
      </c>
      <c r="B109" s="110" t="s">
        <v>1523</v>
      </c>
      <c r="C109" s="110" t="s">
        <v>1524</v>
      </c>
      <c r="D109" s="111" t="s">
        <v>1305</v>
      </c>
      <c r="E109" s="111" t="s">
        <v>1306</v>
      </c>
      <c r="F109" s="109" t="s">
        <v>344</v>
      </c>
      <c r="G109" s="112">
        <v>46300</v>
      </c>
      <c r="H109" s="109" t="s">
        <v>4</v>
      </c>
      <c r="I109" s="109" t="s">
        <v>346</v>
      </c>
      <c r="J109" s="109"/>
      <c r="K109" s="109"/>
      <c r="L109" s="109" t="s">
        <v>346</v>
      </c>
      <c r="M109" s="109"/>
      <c r="N109" s="109"/>
      <c r="O109" s="113"/>
    </row>
    <row r="110" spans="1:15" ht="70.05" customHeight="1" outlineLevel="1">
      <c r="A110" s="109" t="s">
        <v>1525</v>
      </c>
      <c r="B110" s="110" t="s">
        <v>1526</v>
      </c>
      <c r="C110" s="110" t="s">
        <v>1493</v>
      </c>
      <c r="D110" s="111" t="s">
        <v>1488</v>
      </c>
      <c r="E110" s="111" t="s">
        <v>1390</v>
      </c>
      <c r="F110" s="109" t="s">
        <v>344</v>
      </c>
      <c r="G110" s="112">
        <v>46300</v>
      </c>
      <c r="H110" s="109" t="s">
        <v>4</v>
      </c>
      <c r="I110" s="109" t="s">
        <v>346</v>
      </c>
      <c r="J110" s="109"/>
      <c r="K110" s="109"/>
      <c r="L110" s="109" t="s">
        <v>346</v>
      </c>
      <c r="M110" s="109"/>
      <c r="N110" s="109"/>
      <c r="O110" s="113"/>
    </row>
    <row r="111" spans="1:15" ht="70.05" customHeight="1" outlineLevel="1">
      <c r="A111" s="109" t="s">
        <v>1527</v>
      </c>
      <c r="B111" s="110" t="s">
        <v>1526</v>
      </c>
      <c r="C111" s="110" t="s">
        <v>1493</v>
      </c>
      <c r="D111" s="111" t="s">
        <v>1488</v>
      </c>
      <c r="E111" s="111" t="s">
        <v>1393</v>
      </c>
      <c r="F111" s="109" t="s">
        <v>344</v>
      </c>
      <c r="G111" s="112">
        <v>46300</v>
      </c>
      <c r="H111" s="109" t="s">
        <v>4</v>
      </c>
      <c r="I111" s="109" t="s">
        <v>346</v>
      </c>
      <c r="J111" s="109"/>
      <c r="K111" s="109"/>
      <c r="L111" s="109" t="s">
        <v>346</v>
      </c>
      <c r="M111" s="109"/>
      <c r="N111" s="109"/>
      <c r="O111" s="113"/>
    </row>
    <row r="112" spans="1:15" ht="70.05" customHeight="1" outlineLevel="1">
      <c r="A112" s="109" t="s">
        <v>1528</v>
      </c>
      <c r="B112" s="110" t="s">
        <v>1526</v>
      </c>
      <c r="C112" s="110" t="s">
        <v>1493</v>
      </c>
      <c r="D112" s="111" t="s">
        <v>1488</v>
      </c>
      <c r="E112" s="111" t="s">
        <v>1310</v>
      </c>
      <c r="F112" s="109" t="s">
        <v>344</v>
      </c>
      <c r="G112" s="112">
        <v>46300</v>
      </c>
      <c r="H112" s="109" t="s">
        <v>4</v>
      </c>
      <c r="I112" s="109" t="s">
        <v>346</v>
      </c>
      <c r="J112" s="109"/>
      <c r="K112" s="109"/>
      <c r="L112" s="109" t="s">
        <v>346</v>
      </c>
      <c r="M112" s="109"/>
      <c r="N112" s="109"/>
      <c r="O112" s="113"/>
    </row>
    <row r="113" spans="1:15" ht="70.05" customHeight="1" outlineLevel="1">
      <c r="A113" s="109" t="s">
        <v>1529</v>
      </c>
      <c r="B113" s="110" t="s">
        <v>1526</v>
      </c>
      <c r="C113" s="110" t="s">
        <v>1493</v>
      </c>
      <c r="D113" s="111" t="s">
        <v>1488</v>
      </c>
      <c r="E113" s="111" t="s">
        <v>1530</v>
      </c>
      <c r="F113" s="109" t="s">
        <v>344</v>
      </c>
      <c r="G113" s="112">
        <v>46300</v>
      </c>
      <c r="H113" s="109" t="s">
        <v>4</v>
      </c>
      <c r="I113" s="109" t="s">
        <v>346</v>
      </c>
      <c r="J113" s="109"/>
      <c r="K113" s="109"/>
      <c r="L113" s="109" t="s">
        <v>346</v>
      </c>
      <c r="M113" s="109"/>
      <c r="N113" s="109"/>
      <c r="O113" s="113"/>
    </row>
    <row r="114" spans="1:15" ht="70.05" customHeight="1" outlineLevel="1">
      <c r="A114" s="109" t="s">
        <v>1531</v>
      </c>
      <c r="B114" s="110" t="s">
        <v>1532</v>
      </c>
      <c r="C114" s="110" t="s">
        <v>1533</v>
      </c>
      <c r="D114" s="111" t="s">
        <v>1254</v>
      </c>
      <c r="E114" s="111" t="s">
        <v>1255</v>
      </c>
      <c r="F114" s="109" t="s">
        <v>344</v>
      </c>
      <c r="G114" s="112">
        <v>46300</v>
      </c>
      <c r="H114" s="109" t="s">
        <v>4</v>
      </c>
      <c r="I114" s="109" t="s">
        <v>346</v>
      </c>
      <c r="J114" s="109"/>
      <c r="K114" s="109"/>
      <c r="L114" s="109" t="s">
        <v>346</v>
      </c>
      <c r="M114" s="109"/>
      <c r="N114" s="109"/>
      <c r="O114" s="113"/>
    </row>
    <row r="115" spans="1:15" ht="15.75" customHeight="1">
      <c r="A115" s="60" t="s">
        <v>85</v>
      </c>
      <c r="B115" s="60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2"/>
    </row>
    <row r="116" spans="1:15" ht="70.05" customHeight="1" outlineLevel="1">
      <c r="A116" s="109" t="s">
        <v>1534</v>
      </c>
      <c r="B116" s="110" t="s">
        <v>1535</v>
      </c>
      <c r="C116" s="110" t="s">
        <v>1536</v>
      </c>
      <c r="D116" s="111" t="s">
        <v>1537</v>
      </c>
      <c r="E116" s="111" t="s">
        <v>1387</v>
      </c>
      <c r="F116" s="109" t="s">
        <v>344</v>
      </c>
      <c r="G116" s="112">
        <v>46300</v>
      </c>
      <c r="H116" s="109" t="s">
        <v>4</v>
      </c>
      <c r="I116" s="109" t="s">
        <v>346</v>
      </c>
      <c r="J116" s="109"/>
      <c r="K116" s="109"/>
      <c r="L116" s="109" t="s">
        <v>346</v>
      </c>
      <c r="M116" s="109"/>
      <c r="N116" s="109"/>
      <c r="O116" s="113"/>
    </row>
    <row r="117" spans="1:15" ht="70.05" customHeight="1" outlineLevel="1">
      <c r="A117" s="109" t="s">
        <v>1538</v>
      </c>
      <c r="B117" s="110" t="s">
        <v>1539</v>
      </c>
      <c r="C117" s="110" t="s">
        <v>1540</v>
      </c>
      <c r="D117" s="111" t="s">
        <v>1541</v>
      </c>
      <c r="E117" s="111" t="s">
        <v>1387</v>
      </c>
      <c r="F117" s="109" t="s">
        <v>344</v>
      </c>
      <c r="G117" s="112">
        <v>46300</v>
      </c>
      <c r="H117" s="109" t="s">
        <v>4</v>
      </c>
      <c r="I117" s="109" t="s">
        <v>346</v>
      </c>
      <c r="J117" s="109"/>
      <c r="K117" s="109"/>
      <c r="L117" s="109" t="s">
        <v>346</v>
      </c>
      <c r="M117" s="109"/>
      <c r="N117" s="109"/>
      <c r="O117" s="113"/>
    </row>
    <row r="118" spans="1:15" ht="70.05" customHeight="1" outlineLevel="1">
      <c r="A118" s="109" t="s">
        <v>1542</v>
      </c>
      <c r="B118" s="110" t="s">
        <v>1543</v>
      </c>
      <c r="C118" s="110" t="s">
        <v>1544</v>
      </c>
      <c r="D118" s="111" t="s">
        <v>1545</v>
      </c>
      <c r="E118" s="111" t="s">
        <v>1387</v>
      </c>
      <c r="F118" s="109" t="s">
        <v>344</v>
      </c>
      <c r="G118" s="112">
        <v>46300</v>
      </c>
      <c r="H118" s="109" t="s">
        <v>4</v>
      </c>
      <c r="I118" s="109" t="s">
        <v>346</v>
      </c>
      <c r="J118" s="109"/>
      <c r="K118" s="109"/>
      <c r="L118" s="109" t="s">
        <v>346</v>
      </c>
      <c r="M118" s="109"/>
      <c r="N118" s="109"/>
      <c r="O118" s="113"/>
    </row>
    <row r="119" spans="1:15" ht="70.05" customHeight="1" outlineLevel="1">
      <c r="A119" s="109" t="s">
        <v>1546</v>
      </c>
      <c r="B119" s="110" t="s">
        <v>1547</v>
      </c>
      <c r="C119" s="110" t="s">
        <v>1548</v>
      </c>
      <c r="D119" s="111" t="s">
        <v>1549</v>
      </c>
      <c r="E119" s="111" t="s">
        <v>1387</v>
      </c>
      <c r="F119" s="109" t="s">
        <v>344</v>
      </c>
      <c r="G119" s="112">
        <v>46300</v>
      </c>
      <c r="H119" s="109" t="s">
        <v>4</v>
      </c>
      <c r="I119" s="109" t="s">
        <v>346</v>
      </c>
      <c r="J119" s="109"/>
      <c r="K119" s="109"/>
      <c r="L119" s="109" t="s">
        <v>346</v>
      </c>
      <c r="M119" s="109"/>
      <c r="N119" s="109"/>
      <c r="O119" s="113"/>
    </row>
    <row r="120" spans="1:15" ht="70.05" customHeight="1" outlineLevel="1">
      <c r="A120" s="109" t="s">
        <v>1550</v>
      </c>
      <c r="B120" s="110" t="s">
        <v>1551</v>
      </c>
      <c r="C120" s="110" t="s">
        <v>1552</v>
      </c>
      <c r="D120" s="111" t="s">
        <v>1553</v>
      </c>
      <c r="E120" s="111" t="s">
        <v>1554</v>
      </c>
      <c r="F120" s="109" t="s">
        <v>344</v>
      </c>
      <c r="G120" s="112">
        <v>46300</v>
      </c>
      <c r="H120" s="109" t="s">
        <v>4</v>
      </c>
      <c r="I120" s="109" t="s">
        <v>346</v>
      </c>
      <c r="J120" s="109"/>
      <c r="K120" s="109"/>
      <c r="L120" s="109" t="s">
        <v>346</v>
      </c>
      <c r="M120" s="109"/>
      <c r="N120" s="109"/>
      <c r="O120" s="113"/>
    </row>
    <row r="121" spans="1:15" ht="70.05" customHeight="1" outlineLevel="1">
      <c r="A121" s="109" t="s">
        <v>1555</v>
      </c>
      <c r="B121" s="110" t="s">
        <v>1551</v>
      </c>
      <c r="C121" s="110" t="s">
        <v>1556</v>
      </c>
      <c r="D121" s="111" t="s">
        <v>1557</v>
      </c>
      <c r="E121" s="111" t="s">
        <v>1558</v>
      </c>
      <c r="F121" s="109" t="s">
        <v>344</v>
      </c>
      <c r="G121" s="112">
        <v>46300</v>
      </c>
      <c r="H121" s="109" t="s">
        <v>4</v>
      </c>
      <c r="I121" s="109" t="s">
        <v>346</v>
      </c>
      <c r="J121" s="109"/>
      <c r="K121" s="109"/>
      <c r="L121" s="109" t="s">
        <v>346</v>
      </c>
      <c r="M121" s="109"/>
      <c r="N121" s="109"/>
      <c r="O121" s="113"/>
    </row>
    <row r="122" spans="1:15" ht="70.05" customHeight="1" outlineLevel="1">
      <c r="A122" s="109" t="s">
        <v>1559</v>
      </c>
      <c r="B122" s="110" t="s">
        <v>1560</v>
      </c>
      <c r="C122" s="110" t="s">
        <v>1561</v>
      </c>
      <c r="D122" s="111" t="s">
        <v>1562</v>
      </c>
      <c r="E122" s="111" t="s">
        <v>1554</v>
      </c>
      <c r="F122" s="109" t="s">
        <v>344</v>
      </c>
      <c r="G122" s="112">
        <v>46300</v>
      </c>
      <c r="H122" s="109" t="s">
        <v>4</v>
      </c>
      <c r="I122" s="109" t="s">
        <v>346</v>
      </c>
      <c r="J122" s="109"/>
      <c r="K122" s="109"/>
      <c r="L122" s="109" t="s">
        <v>346</v>
      </c>
      <c r="M122" s="109"/>
      <c r="N122" s="109"/>
      <c r="O122" s="113"/>
    </row>
    <row r="123" spans="1:15" ht="70.05" customHeight="1" outlineLevel="1">
      <c r="A123" s="109" t="s">
        <v>1563</v>
      </c>
      <c r="B123" s="110" t="s">
        <v>1535</v>
      </c>
      <c r="C123" s="110" t="s">
        <v>1536</v>
      </c>
      <c r="D123" s="111" t="s">
        <v>1564</v>
      </c>
      <c r="E123" s="111" t="s">
        <v>1565</v>
      </c>
      <c r="F123" s="109" t="s">
        <v>344</v>
      </c>
      <c r="G123" s="112">
        <v>46300</v>
      </c>
      <c r="H123" s="109" t="s">
        <v>4</v>
      </c>
      <c r="I123" s="109" t="s">
        <v>346</v>
      </c>
      <c r="J123" s="109"/>
      <c r="K123" s="109"/>
      <c r="L123" s="109" t="s">
        <v>346</v>
      </c>
      <c r="M123" s="109"/>
      <c r="N123" s="109"/>
      <c r="O123" s="113"/>
    </row>
    <row r="124" spans="1:15" ht="70.05" customHeight="1" outlineLevel="1">
      <c r="A124" s="109" t="s">
        <v>1566</v>
      </c>
      <c r="B124" s="110" t="s">
        <v>1567</v>
      </c>
      <c r="C124" s="110" t="s">
        <v>1568</v>
      </c>
      <c r="D124" s="111" t="s">
        <v>1569</v>
      </c>
      <c r="E124" s="111" t="s">
        <v>1387</v>
      </c>
      <c r="F124" s="109" t="s">
        <v>344</v>
      </c>
      <c r="G124" s="112">
        <v>46300</v>
      </c>
      <c r="H124" s="109" t="s">
        <v>4</v>
      </c>
      <c r="I124" s="109" t="s">
        <v>346</v>
      </c>
      <c r="J124" s="109"/>
      <c r="K124" s="109"/>
      <c r="L124" s="109" t="s">
        <v>346</v>
      </c>
      <c r="M124" s="109"/>
      <c r="N124" s="109"/>
      <c r="O124" s="113"/>
    </row>
    <row r="125" spans="1:15" ht="70.05" customHeight="1" outlineLevel="1">
      <c r="A125" s="109" t="s">
        <v>1570</v>
      </c>
      <c r="B125" s="110" t="s">
        <v>1571</v>
      </c>
      <c r="C125" s="110" t="s">
        <v>1572</v>
      </c>
      <c r="D125" s="111" t="s">
        <v>1573</v>
      </c>
      <c r="E125" s="111" t="s">
        <v>1387</v>
      </c>
      <c r="F125" s="109" t="s">
        <v>344</v>
      </c>
      <c r="G125" s="112">
        <v>46300</v>
      </c>
      <c r="H125" s="109" t="s">
        <v>4</v>
      </c>
      <c r="I125" s="109" t="s">
        <v>346</v>
      </c>
      <c r="J125" s="109"/>
      <c r="K125" s="109"/>
      <c r="L125" s="109" t="s">
        <v>346</v>
      </c>
      <c r="M125" s="109"/>
      <c r="N125" s="109"/>
      <c r="O125" s="113"/>
    </row>
    <row r="126" spans="1:15" ht="70.05" customHeight="1" outlineLevel="1">
      <c r="A126" s="109" t="s">
        <v>1574</v>
      </c>
      <c r="B126" s="110" t="s">
        <v>1575</v>
      </c>
      <c r="C126" s="110" t="s">
        <v>1576</v>
      </c>
      <c r="D126" s="111" t="s">
        <v>1577</v>
      </c>
      <c r="E126" s="111" t="s">
        <v>1387</v>
      </c>
      <c r="F126" s="109" t="s">
        <v>344</v>
      </c>
      <c r="G126" s="112">
        <v>46300</v>
      </c>
      <c r="H126" s="109" t="s">
        <v>4</v>
      </c>
      <c r="I126" s="109" t="s">
        <v>346</v>
      </c>
      <c r="J126" s="109"/>
      <c r="K126" s="109"/>
      <c r="L126" s="109" t="s">
        <v>346</v>
      </c>
      <c r="M126" s="109"/>
      <c r="N126" s="109"/>
      <c r="O126" s="113"/>
    </row>
    <row r="127" spans="1:15" ht="70.05" customHeight="1" outlineLevel="1">
      <c r="A127" s="109" t="s">
        <v>1578</v>
      </c>
      <c r="B127" s="110" t="s">
        <v>1579</v>
      </c>
      <c r="C127" s="110" t="s">
        <v>1580</v>
      </c>
      <c r="D127" s="111" t="s">
        <v>1581</v>
      </c>
      <c r="E127" s="111" t="s">
        <v>1387</v>
      </c>
      <c r="F127" s="109" t="s">
        <v>344</v>
      </c>
      <c r="G127" s="112">
        <v>46300</v>
      </c>
      <c r="H127" s="109" t="s">
        <v>4</v>
      </c>
      <c r="I127" s="109" t="s">
        <v>346</v>
      </c>
      <c r="J127" s="109"/>
      <c r="K127" s="109"/>
      <c r="L127" s="109" t="s">
        <v>346</v>
      </c>
      <c r="M127" s="109"/>
      <c r="N127" s="109"/>
      <c r="O127" s="113"/>
    </row>
    <row r="128" spans="1:15" ht="70.05" customHeight="1" outlineLevel="1">
      <c r="A128" s="109" t="s">
        <v>1582</v>
      </c>
      <c r="B128" s="110" t="s">
        <v>1583</v>
      </c>
      <c r="C128" s="110" t="s">
        <v>1536</v>
      </c>
      <c r="D128" s="111" t="s">
        <v>1584</v>
      </c>
      <c r="E128" s="111" t="s">
        <v>1585</v>
      </c>
      <c r="F128" s="109" t="s">
        <v>344</v>
      </c>
      <c r="G128" s="112">
        <v>46300</v>
      </c>
      <c r="H128" s="109" t="s">
        <v>4</v>
      </c>
      <c r="I128" s="109" t="s">
        <v>346</v>
      </c>
      <c r="J128" s="109"/>
      <c r="K128" s="109"/>
      <c r="L128" s="109" t="s">
        <v>346</v>
      </c>
      <c r="M128" s="109"/>
      <c r="N128" s="109"/>
      <c r="O128" s="113"/>
    </row>
    <row r="129" spans="1:15" ht="70.05" customHeight="1" outlineLevel="1">
      <c r="A129" s="109" t="s">
        <v>1586</v>
      </c>
      <c r="B129" s="110" t="s">
        <v>1587</v>
      </c>
      <c r="C129" s="110" t="s">
        <v>1588</v>
      </c>
      <c r="D129" s="111" t="s">
        <v>1589</v>
      </c>
      <c r="E129" s="111" t="s">
        <v>1387</v>
      </c>
      <c r="F129" s="109" t="s">
        <v>344</v>
      </c>
      <c r="G129" s="112">
        <v>46300</v>
      </c>
      <c r="H129" s="109" t="s">
        <v>4</v>
      </c>
      <c r="I129" s="109" t="s">
        <v>346</v>
      </c>
      <c r="J129" s="109"/>
      <c r="K129" s="109"/>
      <c r="L129" s="109" t="s">
        <v>346</v>
      </c>
      <c r="M129" s="109"/>
      <c r="N129" s="109"/>
      <c r="O129" s="113"/>
    </row>
    <row r="130" spans="1:15" ht="70.05" customHeight="1" outlineLevel="1">
      <c r="A130" s="109" t="s">
        <v>1590</v>
      </c>
      <c r="B130" s="110" t="s">
        <v>1591</v>
      </c>
      <c r="C130" s="110" t="s">
        <v>1536</v>
      </c>
      <c r="D130" s="111" t="s">
        <v>1592</v>
      </c>
      <c r="E130" s="111" t="s">
        <v>1593</v>
      </c>
      <c r="F130" s="109" t="s">
        <v>344</v>
      </c>
      <c r="G130" s="112">
        <v>46300</v>
      </c>
      <c r="H130" s="109" t="s">
        <v>4</v>
      </c>
      <c r="I130" s="109" t="s">
        <v>346</v>
      </c>
      <c r="J130" s="109"/>
      <c r="K130" s="109"/>
      <c r="L130" s="109" t="s">
        <v>346</v>
      </c>
      <c r="M130" s="109"/>
      <c r="N130" s="109"/>
      <c r="O130" s="113"/>
    </row>
    <row r="131" spans="1:15" ht="70.05" customHeight="1" outlineLevel="1">
      <c r="A131" s="109" t="s">
        <v>1594</v>
      </c>
      <c r="B131" s="110" t="s">
        <v>1595</v>
      </c>
      <c r="C131" s="110" t="s">
        <v>1596</v>
      </c>
      <c r="D131" s="111" t="s">
        <v>1305</v>
      </c>
      <c r="E131" s="111" t="s">
        <v>1306</v>
      </c>
      <c r="F131" s="109" t="s">
        <v>344</v>
      </c>
      <c r="G131" s="112">
        <v>46300</v>
      </c>
      <c r="H131" s="109" t="s">
        <v>4</v>
      </c>
      <c r="I131" s="109" t="s">
        <v>346</v>
      </c>
      <c r="J131" s="109"/>
      <c r="K131" s="109"/>
      <c r="L131" s="109" t="s">
        <v>346</v>
      </c>
      <c r="M131" s="109"/>
      <c r="N131" s="109"/>
      <c r="O131" s="113"/>
    </row>
    <row r="132" spans="1:15" ht="70.05" customHeight="1" outlineLevel="1">
      <c r="A132" s="109" t="s">
        <v>1597</v>
      </c>
      <c r="B132" s="110" t="s">
        <v>1591</v>
      </c>
      <c r="C132" s="110" t="s">
        <v>1536</v>
      </c>
      <c r="D132" s="111" t="s">
        <v>1488</v>
      </c>
      <c r="E132" s="111" t="s">
        <v>1489</v>
      </c>
      <c r="F132" s="109" t="s">
        <v>344</v>
      </c>
      <c r="G132" s="112">
        <v>46300</v>
      </c>
      <c r="H132" s="109" t="s">
        <v>4</v>
      </c>
      <c r="I132" s="109" t="s">
        <v>346</v>
      </c>
      <c r="J132" s="109"/>
      <c r="K132" s="109"/>
      <c r="L132" s="109" t="s">
        <v>346</v>
      </c>
      <c r="M132" s="109"/>
      <c r="N132" s="109"/>
      <c r="O132" s="113"/>
    </row>
    <row r="133" spans="1:15" ht="70.05" customHeight="1" outlineLevel="1">
      <c r="A133" s="109" t="s">
        <v>1598</v>
      </c>
      <c r="B133" s="110" t="s">
        <v>1599</v>
      </c>
      <c r="C133" s="110" t="s">
        <v>1600</v>
      </c>
      <c r="D133" s="111" t="s">
        <v>1601</v>
      </c>
      <c r="E133" s="111" t="s">
        <v>1602</v>
      </c>
      <c r="F133" s="109" t="s">
        <v>344</v>
      </c>
      <c r="G133" s="112">
        <v>46300</v>
      </c>
      <c r="H133" s="109" t="s">
        <v>4</v>
      </c>
      <c r="I133" s="109" t="s">
        <v>346</v>
      </c>
      <c r="J133" s="109"/>
      <c r="K133" s="109"/>
      <c r="L133" s="109" t="s">
        <v>346</v>
      </c>
      <c r="M133" s="109"/>
      <c r="N133" s="109"/>
      <c r="O133" s="113"/>
    </row>
    <row r="134" spans="1:15" ht="70.05" customHeight="1" outlineLevel="1">
      <c r="A134" s="109" t="s">
        <v>1603</v>
      </c>
      <c r="B134" s="110" t="s">
        <v>1604</v>
      </c>
      <c r="C134" s="110" t="s">
        <v>1605</v>
      </c>
      <c r="D134" s="111" t="s">
        <v>1606</v>
      </c>
      <c r="E134" s="111" t="s">
        <v>1607</v>
      </c>
      <c r="F134" s="109" t="s">
        <v>344</v>
      </c>
      <c r="G134" s="112">
        <v>46300</v>
      </c>
      <c r="H134" s="109" t="s">
        <v>4</v>
      </c>
      <c r="I134" s="109" t="s">
        <v>346</v>
      </c>
      <c r="J134" s="109"/>
      <c r="K134" s="109"/>
      <c r="L134" s="109" t="s">
        <v>346</v>
      </c>
      <c r="M134" s="109"/>
      <c r="N134" s="109"/>
      <c r="O134" s="113"/>
    </row>
    <row r="135" spans="1:15" ht="70.05" customHeight="1" outlineLevel="1">
      <c r="A135" s="109" t="s">
        <v>1608</v>
      </c>
      <c r="B135" s="110" t="s">
        <v>1609</v>
      </c>
      <c r="C135" s="110" t="s">
        <v>1610</v>
      </c>
      <c r="D135" s="111" t="s">
        <v>1611</v>
      </c>
      <c r="E135" s="111" t="s">
        <v>1387</v>
      </c>
      <c r="F135" s="109" t="s">
        <v>344</v>
      </c>
      <c r="G135" s="112">
        <v>46300</v>
      </c>
      <c r="H135" s="109" t="s">
        <v>4</v>
      </c>
      <c r="I135" s="109" t="s">
        <v>346</v>
      </c>
      <c r="J135" s="109"/>
      <c r="K135" s="109"/>
      <c r="L135" s="109" t="s">
        <v>346</v>
      </c>
      <c r="M135" s="109"/>
      <c r="N135" s="109"/>
      <c r="O135" s="113"/>
    </row>
    <row r="136" spans="1:15" ht="70.05" customHeight="1" outlineLevel="1">
      <c r="A136" s="109" t="s">
        <v>1612</v>
      </c>
      <c r="B136" s="110" t="s">
        <v>1613</v>
      </c>
      <c r="C136" s="110" t="s">
        <v>1614</v>
      </c>
      <c r="D136" s="111" t="s">
        <v>1615</v>
      </c>
      <c r="E136" s="111" t="s">
        <v>1616</v>
      </c>
      <c r="F136" s="109" t="s">
        <v>344</v>
      </c>
      <c r="G136" s="112">
        <v>46300</v>
      </c>
      <c r="H136" s="109" t="s">
        <v>4</v>
      </c>
      <c r="I136" s="109" t="s">
        <v>346</v>
      </c>
      <c r="J136" s="109"/>
      <c r="K136" s="109"/>
      <c r="L136" s="109" t="s">
        <v>346</v>
      </c>
      <c r="M136" s="109"/>
      <c r="N136" s="109"/>
      <c r="O136" s="113"/>
    </row>
    <row r="137" spans="1:15" ht="70.05" customHeight="1" outlineLevel="1">
      <c r="A137" s="109" t="s">
        <v>1617</v>
      </c>
      <c r="B137" s="110" t="s">
        <v>1618</v>
      </c>
      <c r="C137" s="110" t="s">
        <v>1556</v>
      </c>
      <c r="D137" s="111" t="s">
        <v>1619</v>
      </c>
      <c r="E137" s="111" t="s">
        <v>1620</v>
      </c>
      <c r="F137" s="109" t="s">
        <v>344</v>
      </c>
      <c r="G137" s="112">
        <v>46300</v>
      </c>
      <c r="H137" s="109" t="s">
        <v>4</v>
      </c>
      <c r="I137" s="109" t="s">
        <v>346</v>
      </c>
      <c r="J137" s="109"/>
      <c r="K137" s="109"/>
      <c r="L137" s="109" t="s">
        <v>346</v>
      </c>
      <c r="M137" s="109"/>
      <c r="N137" s="109"/>
      <c r="O137" s="113"/>
    </row>
    <row r="138" spans="1:15" ht="70.05" customHeight="1" outlineLevel="1">
      <c r="A138" s="109" t="s">
        <v>1621</v>
      </c>
      <c r="B138" s="110" t="s">
        <v>1622</v>
      </c>
      <c r="C138" s="110" t="s">
        <v>1623</v>
      </c>
      <c r="D138" s="111" t="s">
        <v>1624</v>
      </c>
      <c r="E138" s="111" t="s">
        <v>1387</v>
      </c>
      <c r="F138" s="109" t="s">
        <v>344</v>
      </c>
      <c r="G138" s="112">
        <v>46300</v>
      </c>
      <c r="H138" s="109" t="s">
        <v>4</v>
      </c>
      <c r="I138" s="109" t="s">
        <v>346</v>
      </c>
      <c r="J138" s="109"/>
      <c r="K138" s="109"/>
      <c r="L138" s="109" t="s">
        <v>346</v>
      </c>
      <c r="M138" s="109"/>
      <c r="N138" s="109"/>
      <c r="O138" s="113"/>
    </row>
    <row r="139" spans="1:15" ht="15.75" customHeight="1">
      <c r="A139" s="60" t="s">
        <v>87</v>
      </c>
      <c r="B139" s="60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2"/>
    </row>
    <row r="140" spans="1:15" ht="70.05" customHeight="1" outlineLevel="1">
      <c r="A140" s="109" t="s">
        <v>1625</v>
      </c>
      <c r="B140" s="110" t="s">
        <v>1626</v>
      </c>
      <c r="C140" s="110" t="s">
        <v>1627</v>
      </c>
      <c r="D140" s="111" t="s">
        <v>1628</v>
      </c>
      <c r="E140" s="111" t="s">
        <v>1629</v>
      </c>
      <c r="F140" s="109" t="s">
        <v>344</v>
      </c>
      <c r="G140" s="112">
        <v>46300</v>
      </c>
      <c r="H140" s="109" t="s">
        <v>4</v>
      </c>
      <c r="I140" s="109" t="s">
        <v>346</v>
      </c>
      <c r="J140" s="109"/>
      <c r="K140" s="109"/>
      <c r="L140" s="109" t="s">
        <v>346</v>
      </c>
      <c r="M140" s="109"/>
      <c r="N140" s="109"/>
      <c r="O140" s="113"/>
    </row>
    <row r="141" spans="1:15" ht="70.05" customHeight="1" outlineLevel="1">
      <c r="A141" s="109" t="s">
        <v>1630</v>
      </c>
      <c r="B141" s="110" t="s">
        <v>1626</v>
      </c>
      <c r="C141" s="110" t="s">
        <v>1627</v>
      </c>
      <c r="D141" s="111" t="s">
        <v>1631</v>
      </c>
      <c r="E141" s="111" t="s">
        <v>1632</v>
      </c>
      <c r="F141" s="109" t="s">
        <v>344</v>
      </c>
      <c r="G141" s="112">
        <v>46300</v>
      </c>
      <c r="H141" s="109" t="s">
        <v>4</v>
      </c>
      <c r="I141" s="109" t="s">
        <v>346</v>
      </c>
      <c r="J141" s="109"/>
      <c r="K141" s="109"/>
      <c r="L141" s="109" t="s">
        <v>346</v>
      </c>
      <c r="M141" s="109"/>
      <c r="N141" s="109"/>
      <c r="O141" s="113"/>
    </row>
    <row r="142" spans="1:15" ht="70.05" customHeight="1" outlineLevel="1">
      <c r="A142" s="109" t="s">
        <v>1633</v>
      </c>
      <c r="B142" s="110" t="s">
        <v>1626</v>
      </c>
      <c r="C142" s="110" t="s">
        <v>1627</v>
      </c>
      <c r="D142" s="111" t="s">
        <v>1634</v>
      </c>
      <c r="E142" s="111" t="s">
        <v>1635</v>
      </c>
      <c r="F142" s="109" t="s">
        <v>344</v>
      </c>
      <c r="G142" s="112">
        <v>46300</v>
      </c>
      <c r="H142" s="109" t="s">
        <v>4</v>
      </c>
      <c r="I142" s="109" t="s">
        <v>346</v>
      </c>
      <c r="J142" s="109"/>
      <c r="K142" s="109"/>
      <c r="L142" s="109" t="s">
        <v>346</v>
      </c>
      <c r="M142" s="109"/>
      <c r="N142" s="109"/>
      <c r="O142" s="113"/>
    </row>
    <row r="143" spans="1:15" ht="70.05" customHeight="1" outlineLevel="1">
      <c r="A143" s="109" t="s">
        <v>1636</v>
      </c>
      <c r="B143" s="110" t="s">
        <v>1626</v>
      </c>
      <c r="C143" s="110" t="s">
        <v>1627</v>
      </c>
      <c r="D143" s="111" t="s">
        <v>1637</v>
      </c>
      <c r="E143" s="111" t="s">
        <v>1638</v>
      </c>
      <c r="F143" s="109" t="s">
        <v>344</v>
      </c>
      <c r="G143" s="112">
        <v>46300</v>
      </c>
      <c r="H143" s="109" t="s">
        <v>4</v>
      </c>
      <c r="I143" s="109" t="s">
        <v>346</v>
      </c>
      <c r="J143" s="109"/>
      <c r="K143" s="109"/>
      <c r="L143" s="109" t="s">
        <v>346</v>
      </c>
      <c r="M143" s="109"/>
      <c r="N143" s="109"/>
      <c r="O143" s="113"/>
    </row>
    <row r="144" spans="1:15" ht="70.05" customHeight="1" outlineLevel="1">
      <c r="A144" s="109" t="s">
        <v>1639</v>
      </c>
      <c r="B144" s="110" t="s">
        <v>1626</v>
      </c>
      <c r="C144" s="110" t="s">
        <v>1627</v>
      </c>
      <c r="D144" s="111" t="s">
        <v>1640</v>
      </c>
      <c r="E144" s="111" t="s">
        <v>1641</v>
      </c>
      <c r="F144" s="109" t="s">
        <v>344</v>
      </c>
      <c r="G144" s="112">
        <v>46300</v>
      </c>
      <c r="H144" s="109" t="s">
        <v>4</v>
      </c>
      <c r="I144" s="109" t="s">
        <v>346</v>
      </c>
      <c r="J144" s="109"/>
      <c r="K144" s="109"/>
      <c r="L144" s="109" t="s">
        <v>346</v>
      </c>
      <c r="M144" s="109"/>
      <c r="N144" s="109"/>
      <c r="O144" s="113"/>
    </row>
    <row r="145" spans="1:15" ht="70.05" customHeight="1" outlineLevel="1">
      <c r="A145" s="109" t="s">
        <v>1642</v>
      </c>
      <c r="B145" s="110" t="s">
        <v>1626</v>
      </c>
      <c r="C145" s="110" t="s">
        <v>1627</v>
      </c>
      <c r="D145" s="111" t="s">
        <v>1643</v>
      </c>
      <c r="E145" s="111" t="s">
        <v>1644</v>
      </c>
      <c r="F145" s="109" t="s">
        <v>344</v>
      </c>
      <c r="G145" s="112">
        <v>46300</v>
      </c>
      <c r="H145" s="109" t="s">
        <v>4</v>
      </c>
      <c r="I145" s="109" t="s">
        <v>346</v>
      </c>
      <c r="J145" s="109"/>
      <c r="K145" s="109"/>
      <c r="L145" s="109" t="s">
        <v>346</v>
      </c>
      <c r="M145" s="109"/>
      <c r="N145" s="109"/>
      <c r="O145" s="113"/>
    </row>
    <row r="146" spans="1:15" ht="70.05" customHeight="1" outlineLevel="1">
      <c r="A146" s="109" t="s">
        <v>1645</v>
      </c>
      <c r="B146" s="110" t="s">
        <v>1626</v>
      </c>
      <c r="C146" s="110" t="s">
        <v>1627</v>
      </c>
      <c r="D146" s="111" t="s">
        <v>1646</v>
      </c>
      <c r="E146" s="111" t="s">
        <v>1647</v>
      </c>
      <c r="F146" s="109" t="s">
        <v>344</v>
      </c>
      <c r="G146" s="112">
        <v>46300</v>
      </c>
      <c r="H146" s="109" t="s">
        <v>4</v>
      </c>
      <c r="I146" s="109" t="s">
        <v>346</v>
      </c>
      <c r="J146" s="109"/>
      <c r="K146" s="109"/>
      <c r="L146" s="109" t="s">
        <v>346</v>
      </c>
      <c r="M146" s="109"/>
      <c r="N146" s="109"/>
      <c r="O146" s="113"/>
    </row>
    <row r="147" spans="1:15" ht="70.05" customHeight="1" outlineLevel="1">
      <c r="A147" s="109" t="s">
        <v>1648</v>
      </c>
      <c r="B147" s="110" t="s">
        <v>1626</v>
      </c>
      <c r="C147" s="110" t="s">
        <v>1627</v>
      </c>
      <c r="D147" s="111" t="s">
        <v>1649</v>
      </c>
      <c r="E147" s="111" t="s">
        <v>1650</v>
      </c>
      <c r="F147" s="109" t="s">
        <v>344</v>
      </c>
      <c r="G147" s="112">
        <v>46300</v>
      </c>
      <c r="H147" s="109" t="s">
        <v>4</v>
      </c>
      <c r="I147" s="109" t="s">
        <v>346</v>
      </c>
      <c r="J147" s="109"/>
      <c r="K147" s="109"/>
      <c r="L147" s="109" t="s">
        <v>346</v>
      </c>
      <c r="M147" s="109"/>
      <c r="N147" s="109"/>
      <c r="O147" s="113"/>
    </row>
    <row r="148" spans="1:15" ht="70.05" customHeight="1" outlineLevel="1">
      <c r="A148" s="109" t="s">
        <v>1651</v>
      </c>
      <c r="B148" s="110" t="s">
        <v>1652</v>
      </c>
      <c r="C148" s="110" t="s">
        <v>1627</v>
      </c>
      <c r="D148" s="111" t="s">
        <v>1223</v>
      </c>
      <c r="E148" s="111" t="s">
        <v>1653</v>
      </c>
      <c r="F148" s="109" t="s">
        <v>344</v>
      </c>
      <c r="G148" s="112">
        <v>46300</v>
      </c>
      <c r="H148" s="109" t="s">
        <v>4</v>
      </c>
      <c r="I148" s="109" t="s">
        <v>346</v>
      </c>
      <c r="J148" s="109"/>
      <c r="K148" s="109"/>
      <c r="L148" s="109" t="s">
        <v>346</v>
      </c>
      <c r="M148" s="109"/>
      <c r="N148" s="109"/>
      <c r="O148" s="113"/>
    </row>
    <row r="149" spans="1:15" ht="70.05" customHeight="1" outlineLevel="1">
      <c r="A149" s="109" t="s">
        <v>1654</v>
      </c>
      <c r="B149" s="110" t="s">
        <v>1652</v>
      </c>
      <c r="C149" s="110" t="s">
        <v>1627</v>
      </c>
      <c r="D149" s="111" t="s">
        <v>1227</v>
      </c>
      <c r="E149" s="111" t="s">
        <v>1655</v>
      </c>
      <c r="F149" s="109" t="s">
        <v>344</v>
      </c>
      <c r="G149" s="112">
        <v>46300</v>
      </c>
      <c r="H149" s="109" t="s">
        <v>4</v>
      </c>
      <c r="I149" s="109" t="s">
        <v>346</v>
      </c>
      <c r="J149" s="109"/>
      <c r="K149" s="109"/>
      <c r="L149" s="109" t="s">
        <v>346</v>
      </c>
      <c r="M149" s="109"/>
      <c r="N149" s="109"/>
      <c r="O149" s="113"/>
    </row>
    <row r="150" spans="1:15" ht="70.05" customHeight="1" outlineLevel="1">
      <c r="A150" s="109" t="s">
        <v>1656</v>
      </c>
      <c r="B150" s="110" t="s">
        <v>1652</v>
      </c>
      <c r="C150" s="110" t="s">
        <v>1627</v>
      </c>
      <c r="D150" s="111" t="s">
        <v>1657</v>
      </c>
      <c r="E150" s="111" t="s">
        <v>1658</v>
      </c>
      <c r="F150" s="109" t="s">
        <v>344</v>
      </c>
      <c r="G150" s="112">
        <v>46300</v>
      </c>
      <c r="H150" s="109" t="s">
        <v>4</v>
      </c>
      <c r="I150" s="109" t="s">
        <v>346</v>
      </c>
      <c r="J150" s="109"/>
      <c r="K150" s="109"/>
      <c r="L150" s="109" t="s">
        <v>346</v>
      </c>
      <c r="M150" s="109"/>
      <c r="N150" s="109"/>
      <c r="O150" s="113"/>
    </row>
    <row r="151" spans="1:15" ht="70.05" customHeight="1" outlineLevel="1">
      <c r="A151" s="109" t="s">
        <v>1659</v>
      </c>
      <c r="B151" s="110" t="s">
        <v>1652</v>
      </c>
      <c r="C151" s="110" t="s">
        <v>1627</v>
      </c>
      <c r="D151" s="111" t="s">
        <v>1660</v>
      </c>
      <c r="E151" s="111" t="s">
        <v>1661</v>
      </c>
      <c r="F151" s="109" t="s">
        <v>344</v>
      </c>
      <c r="G151" s="112">
        <v>46300</v>
      </c>
      <c r="H151" s="109" t="s">
        <v>4</v>
      </c>
      <c r="I151" s="109" t="s">
        <v>346</v>
      </c>
      <c r="J151" s="109"/>
      <c r="K151" s="109"/>
      <c r="L151" s="109" t="s">
        <v>346</v>
      </c>
      <c r="M151" s="109"/>
      <c r="N151" s="109"/>
      <c r="O151" s="113"/>
    </row>
    <row r="152" spans="1:15" ht="70.05" customHeight="1" outlineLevel="1">
      <c r="A152" s="109" t="s">
        <v>1662</v>
      </c>
      <c r="B152" s="110" t="s">
        <v>1652</v>
      </c>
      <c r="C152" s="110" t="s">
        <v>1627</v>
      </c>
      <c r="D152" s="111" t="s">
        <v>1663</v>
      </c>
      <c r="E152" s="111" t="s">
        <v>1664</v>
      </c>
      <c r="F152" s="109" t="s">
        <v>344</v>
      </c>
      <c r="G152" s="112">
        <v>46300</v>
      </c>
      <c r="H152" s="109" t="s">
        <v>4</v>
      </c>
      <c r="I152" s="109" t="s">
        <v>346</v>
      </c>
      <c r="J152" s="109"/>
      <c r="K152" s="109"/>
      <c r="L152" s="109" t="s">
        <v>346</v>
      </c>
      <c r="M152" s="109"/>
      <c r="N152" s="109"/>
      <c r="O152" s="113"/>
    </row>
    <row r="153" spans="1:15" ht="70.05" customHeight="1" outlineLevel="1">
      <c r="A153" s="109" t="s">
        <v>1665</v>
      </c>
      <c r="B153" s="110" t="s">
        <v>1666</v>
      </c>
      <c r="C153" s="110" t="s">
        <v>1667</v>
      </c>
      <c r="D153" s="111" t="s">
        <v>1305</v>
      </c>
      <c r="E153" s="111" t="s">
        <v>1306</v>
      </c>
      <c r="F153" s="109" t="s">
        <v>344</v>
      </c>
      <c r="G153" s="112">
        <v>46300</v>
      </c>
      <c r="H153" s="109" t="s">
        <v>4</v>
      </c>
      <c r="I153" s="109" t="s">
        <v>346</v>
      </c>
      <c r="J153" s="109"/>
      <c r="K153" s="109"/>
      <c r="L153" s="109" t="s">
        <v>346</v>
      </c>
      <c r="M153" s="109"/>
      <c r="N153" s="109"/>
      <c r="O153" s="113"/>
    </row>
    <row r="154" spans="1:15" ht="70.05" customHeight="1" outlineLevel="1">
      <c r="A154" s="109" t="s">
        <v>1668</v>
      </c>
      <c r="B154" s="110" t="s">
        <v>1669</v>
      </c>
      <c r="C154" s="110" t="s">
        <v>1627</v>
      </c>
      <c r="D154" s="111" t="s">
        <v>1488</v>
      </c>
      <c r="E154" s="111" t="s">
        <v>1390</v>
      </c>
      <c r="F154" s="109" t="s">
        <v>344</v>
      </c>
      <c r="G154" s="112">
        <v>46300</v>
      </c>
      <c r="H154" s="109" t="s">
        <v>4</v>
      </c>
      <c r="I154" s="109" t="s">
        <v>346</v>
      </c>
      <c r="J154" s="109"/>
      <c r="K154" s="109"/>
      <c r="L154" s="109" t="s">
        <v>346</v>
      </c>
      <c r="M154" s="109"/>
      <c r="N154" s="109"/>
      <c r="O154" s="113"/>
    </row>
    <row r="155" spans="1:15" ht="70.05" customHeight="1" outlineLevel="1">
      <c r="A155" s="109" t="s">
        <v>1670</v>
      </c>
      <c r="B155" s="110" t="s">
        <v>1669</v>
      </c>
      <c r="C155" s="110" t="s">
        <v>1627</v>
      </c>
      <c r="D155" s="111" t="s">
        <v>1488</v>
      </c>
      <c r="E155" s="111" t="s">
        <v>1393</v>
      </c>
      <c r="F155" s="109" t="s">
        <v>344</v>
      </c>
      <c r="G155" s="112">
        <v>46300</v>
      </c>
      <c r="H155" s="109" t="s">
        <v>4</v>
      </c>
      <c r="I155" s="109" t="s">
        <v>346</v>
      </c>
      <c r="J155" s="109"/>
      <c r="K155" s="109"/>
      <c r="L155" s="109" t="s">
        <v>346</v>
      </c>
      <c r="M155" s="109"/>
      <c r="N155" s="109"/>
      <c r="O155" s="113"/>
    </row>
    <row r="156" spans="1:15" ht="70.05" customHeight="1" outlineLevel="1">
      <c r="A156" s="109" t="s">
        <v>1671</v>
      </c>
      <c r="B156" s="110" t="s">
        <v>1669</v>
      </c>
      <c r="C156" s="110" t="s">
        <v>1627</v>
      </c>
      <c r="D156" s="111" t="s">
        <v>1488</v>
      </c>
      <c r="E156" s="111" t="s">
        <v>1310</v>
      </c>
      <c r="F156" s="109" t="s">
        <v>344</v>
      </c>
      <c r="G156" s="112">
        <v>46300</v>
      </c>
      <c r="H156" s="109" t="s">
        <v>4</v>
      </c>
      <c r="I156" s="109" t="s">
        <v>346</v>
      </c>
      <c r="J156" s="109"/>
      <c r="K156" s="109"/>
      <c r="L156" s="109" t="s">
        <v>346</v>
      </c>
      <c r="M156" s="109"/>
      <c r="N156" s="109"/>
      <c r="O156" s="113"/>
    </row>
    <row r="157" spans="1:15" ht="15.75" customHeight="1">
      <c r="A157" s="60" t="s">
        <v>89</v>
      </c>
      <c r="B157" s="60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2"/>
    </row>
    <row r="158" spans="1:15" ht="70.05" customHeight="1" outlineLevel="1">
      <c r="A158" s="109" t="s">
        <v>1672</v>
      </c>
      <c r="B158" s="110" t="s">
        <v>1673</v>
      </c>
      <c r="C158" s="110" t="s">
        <v>1674</v>
      </c>
      <c r="D158" s="111" t="s">
        <v>1675</v>
      </c>
      <c r="E158" s="111" t="s">
        <v>1676</v>
      </c>
      <c r="F158" s="109" t="s">
        <v>344</v>
      </c>
      <c r="G158" s="112">
        <v>46300</v>
      </c>
      <c r="H158" s="109" t="s">
        <v>4</v>
      </c>
      <c r="I158" s="109" t="s">
        <v>346</v>
      </c>
      <c r="J158" s="109"/>
      <c r="K158" s="109"/>
      <c r="L158" s="109" t="s">
        <v>346</v>
      </c>
      <c r="M158" s="109"/>
      <c r="N158" s="109"/>
      <c r="O158" s="113"/>
    </row>
    <row r="159" spans="1:15" ht="70.05" customHeight="1" outlineLevel="1">
      <c r="A159" s="109" t="s">
        <v>1677</v>
      </c>
      <c r="B159" s="110" t="s">
        <v>1678</v>
      </c>
      <c r="C159" s="110" t="s">
        <v>1679</v>
      </c>
      <c r="D159" s="111" t="s">
        <v>1675</v>
      </c>
      <c r="E159" s="111" t="s">
        <v>1680</v>
      </c>
      <c r="F159" s="109" t="s">
        <v>344</v>
      </c>
      <c r="G159" s="112">
        <v>46300</v>
      </c>
      <c r="H159" s="109" t="s">
        <v>4</v>
      </c>
      <c r="I159" s="109" t="s">
        <v>346</v>
      </c>
      <c r="J159" s="109"/>
      <c r="K159" s="109"/>
      <c r="L159" s="109" t="s">
        <v>346</v>
      </c>
      <c r="M159" s="109"/>
      <c r="N159" s="109"/>
      <c r="O159" s="113"/>
    </row>
    <row r="160" spans="1:15" ht="70.05" customHeight="1" outlineLevel="1">
      <c r="A160" s="109" t="s">
        <v>1681</v>
      </c>
      <c r="B160" s="110" t="s">
        <v>1682</v>
      </c>
      <c r="C160" s="110" t="s">
        <v>1683</v>
      </c>
      <c r="D160" s="111" t="s">
        <v>1675</v>
      </c>
      <c r="E160" s="111" t="s">
        <v>1684</v>
      </c>
      <c r="F160" s="109" t="s">
        <v>344</v>
      </c>
      <c r="G160" s="112">
        <v>46300</v>
      </c>
      <c r="H160" s="109" t="s">
        <v>4</v>
      </c>
      <c r="I160" s="109" t="s">
        <v>346</v>
      </c>
      <c r="J160" s="109"/>
      <c r="K160" s="109"/>
      <c r="L160" s="109" t="s">
        <v>346</v>
      </c>
      <c r="M160" s="109"/>
      <c r="N160" s="109"/>
      <c r="O160" s="113"/>
    </row>
    <row r="161" spans="1:15" ht="70.05" customHeight="1" outlineLevel="1">
      <c r="A161" s="109" t="s">
        <v>1685</v>
      </c>
      <c r="B161" s="110" t="s">
        <v>1678</v>
      </c>
      <c r="C161" s="110" t="s">
        <v>1679</v>
      </c>
      <c r="D161" s="111" t="s">
        <v>1686</v>
      </c>
      <c r="E161" s="111" t="s">
        <v>1687</v>
      </c>
      <c r="F161" s="109" t="s">
        <v>344</v>
      </c>
      <c r="G161" s="112">
        <v>46300</v>
      </c>
      <c r="H161" s="109" t="s">
        <v>4</v>
      </c>
      <c r="I161" s="109" t="s">
        <v>346</v>
      </c>
      <c r="J161" s="109"/>
      <c r="K161" s="109"/>
      <c r="L161" s="109" t="s">
        <v>346</v>
      </c>
      <c r="M161" s="109"/>
      <c r="N161" s="109"/>
      <c r="O161" s="113"/>
    </row>
    <row r="162" spans="1:15" ht="70.05" customHeight="1" outlineLevel="1">
      <c r="A162" s="109" t="s">
        <v>1688</v>
      </c>
      <c r="B162" s="110" t="s">
        <v>1678</v>
      </c>
      <c r="C162" s="110" t="s">
        <v>1679</v>
      </c>
      <c r="D162" s="111" t="s">
        <v>1689</v>
      </c>
      <c r="E162" s="111" t="s">
        <v>1690</v>
      </c>
      <c r="F162" s="109" t="s">
        <v>344</v>
      </c>
      <c r="G162" s="112">
        <v>46300</v>
      </c>
      <c r="H162" s="109" t="s">
        <v>4</v>
      </c>
      <c r="I162" s="109" t="s">
        <v>346</v>
      </c>
      <c r="J162" s="109"/>
      <c r="K162" s="109"/>
      <c r="L162" s="109" t="s">
        <v>346</v>
      </c>
      <c r="M162" s="109"/>
      <c r="N162" s="109"/>
      <c r="O162" s="113"/>
    </row>
    <row r="163" spans="1:15" ht="70.05" customHeight="1" outlineLevel="1">
      <c r="A163" s="109" t="s">
        <v>1691</v>
      </c>
      <c r="B163" s="110" t="s">
        <v>1678</v>
      </c>
      <c r="C163" s="110" t="s">
        <v>1679</v>
      </c>
      <c r="D163" s="111" t="s">
        <v>1675</v>
      </c>
      <c r="E163" s="111" t="s">
        <v>1692</v>
      </c>
      <c r="F163" s="109" t="s">
        <v>344</v>
      </c>
      <c r="G163" s="112">
        <v>46300</v>
      </c>
      <c r="H163" s="109" t="s">
        <v>4</v>
      </c>
      <c r="I163" s="109" t="s">
        <v>346</v>
      </c>
      <c r="J163" s="109"/>
      <c r="K163" s="109"/>
      <c r="L163" s="109" t="s">
        <v>346</v>
      </c>
      <c r="M163" s="109"/>
      <c r="N163" s="109"/>
      <c r="O163" s="113"/>
    </row>
    <row r="164" spans="1:15" ht="70.05" customHeight="1" outlineLevel="1">
      <c r="A164" s="109" t="s">
        <v>1693</v>
      </c>
      <c r="B164" s="110" t="s">
        <v>1694</v>
      </c>
      <c r="C164" s="110" t="s">
        <v>1695</v>
      </c>
      <c r="D164" s="111" t="s">
        <v>1696</v>
      </c>
      <c r="E164" s="111" t="s">
        <v>1697</v>
      </c>
      <c r="F164" s="109" t="s">
        <v>344</v>
      </c>
      <c r="G164" s="112">
        <v>46300</v>
      </c>
      <c r="H164" s="109" t="s">
        <v>4</v>
      </c>
      <c r="I164" s="109" t="s">
        <v>346</v>
      </c>
      <c r="J164" s="109"/>
      <c r="K164" s="109"/>
      <c r="L164" s="109" t="s">
        <v>346</v>
      </c>
      <c r="M164" s="109"/>
      <c r="N164" s="109"/>
      <c r="O164" s="113"/>
    </row>
    <row r="165" spans="1:15" ht="70.05" customHeight="1" outlineLevel="1">
      <c r="A165" s="109" t="s">
        <v>1698</v>
      </c>
      <c r="B165" s="110" t="s">
        <v>1699</v>
      </c>
      <c r="C165" s="110" t="s">
        <v>1700</v>
      </c>
      <c r="D165" s="111" t="s">
        <v>1675</v>
      </c>
      <c r="E165" s="111" t="s">
        <v>1701</v>
      </c>
      <c r="F165" s="109" t="s">
        <v>344</v>
      </c>
      <c r="G165" s="112">
        <v>46300</v>
      </c>
      <c r="H165" s="109" t="s">
        <v>4</v>
      </c>
      <c r="I165" s="109" t="s">
        <v>346</v>
      </c>
      <c r="J165" s="109"/>
      <c r="K165" s="109"/>
      <c r="L165" s="109" t="s">
        <v>346</v>
      </c>
      <c r="M165" s="109"/>
      <c r="N165" s="109"/>
      <c r="O165" s="113"/>
    </row>
    <row r="166" spans="1:15" ht="70.05" customHeight="1" outlineLevel="1">
      <c r="A166" s="109" t="s">
        <v>1702</v>
      </c>
      <c r="B166" s="110" t="s">
        <v>1703</v>
      </c>
      <c r="C166" s="110" t="s">
        <v>1704</v>
      </c>
      <c r="D166" s="111" t="s">
        <v>1705</v>
      </c>
      <c r="E166" s="111" t="s">
        <v>1706</v>
      </c>
      <c r="F166" s="109" t="s">
        <v>344</v>
      </c>
      <c r="G166" s="112">
        <v>46300</v>
      </c>
      <c r="H166" s="109" t="s">
        <v>4</v>
      </c>
      <c r="I166" s="109" t="s">
        <v>346</v>
      </c>
      <c r="J166" s="109"/>
      <c r="K166" s="109"/>
      <c r="L166" s="109" t="s">
        <v>346</v>
      </c>
      <c r="M166" s="109"/>
      <c r="N166" s="109"/>
      <c r="O166" s="113"/>
    </row>
    <row r="167" spans="1:15" ht="70.05" customHeight="1" outlineLevel="1">
      <c r="A167" s="109" t="s">
        <v>1707</v>
      </c>
      <c r="B167" s="110" t="s">
        <v>1708</v>
      </c>
      <c r="C167" s="110" t="s">
        <v>1709</v>
      </c>
      <c r="D167" s="111" t="s">
        <v>1710</v>
      </c>
      <c r="E167" s="111" t="s">
        <v>1387</v>
      </c>
      <c r="F167" s="109" t="s">
        <v>344</v>
      </c>
      <c r="G167" s="112">
        <v>46300</v>
      </c>
      <c r="H167" s="109" t="s">
        <v>4</v>
      </c>
      <c r="I167" s="109" t="s">
        <v>346</v>
      </c>
      <c r="J167" s="109"/>
      <c r="K167" s="109"/>
      <c r="L167" s="109" t="s">
        <v>346</v>
      </c>
      <c r="M167" s="109"/>
      <c r="N167" s="109"/>
      <c r="O167" s="113"/>
    </row>
    <row r="168" spans="1:15" ht="70.05" customHeight="1" outlineLevel="1">
      <c r="A168" s="109" t="s">
        <v>1711</v>
      </c>
      <c r="B168" s="110" t="s">
        <v>1712</v>
      </c>
      <c r="C168" s="110" t="s">
        <v>1713</v>
      </c>
      <c r="D168" s="111" t="s">
        <v>1710</v>
      </c>
      <c r="E168" s="111" t="s">
        <v>1714</v>
      </c>
      <c r="F168" s="109" t="s">
        <v>344</v>
      </c>
      <c r="G168" s="112">
        <v>46300</v>
      </c>
      <c r="H168" s="109" t="s">
        <v>4</v>
      </c>
      <c r="I168" s="109" t="s">
        <v>346</v>
      </c>
      <c r="J168" s="109"/>
      <c r="K168" s="109"/>
      <c r="L168" s="109" t="s">
        <v>346</v>
      </c>
      <c r="M168" s="109"/>
      <c r="N168" s="109"/>
      <c r="O168" s="113"/>
    </row>
    <row r="169" spans="1:15" ht="70.05" customHeight="1" outlineLevel="1">
      <c r="A169" s="109" t="s">
        <v>1715</v>
      </c>
      <c r="B169" s="110" t="s">
        <v>1716</v>
      </c>
      <c r="C169" s="110" t="s">
        <v>1717</v>
      </c>
      <c r="D169" s="111" t="s">
        <v>1305</v>
      </c>
      <c r="E169" s="111" t="s">
        <v>1306</v>
      </c>
      <c r="F169" s="109" t="s">
        <v>344</v>
      </c>
      <c r="G169" s="112">
        <v>46300</v>
      </c>
      <c r="H169" s="109" t="s">
        <v>4</v>
      </c>
      <c r="I169" s="109" t="s">
        <v>346</v>
      </c>
      <c r="J169" s="109"/>
      <c r="K169" s="109"/>
      <c r="L169" s="109" t="s">
        <v>346</v>
      </c>
      <c r="M169" s="109"/>
      <c r="N169" s="109"/>
      <c r="O169" s="113"/>
    </row>
    <row r="170" spans="1:15" ht="70.05" customHeight="1" outlineLevel="1">
      <c r="A170" s="109" t="s">
        <v>1718</v>
      </c>
      <c r="B170" s="110" t="s">
        <v>1719</v>
      </c>
      <c r="C170" s="110" t="s">
        <v>1679</v>
      </c>
      <c r="D170" s="111" t="s">
        <v>1488</v>
      </c>
      <c r="E170" s="111" t="s">
        <v>1390</v>
      </c>
      <c r="F170" s="109" t="s">
        <v>344</v>
      </c>
      <c r="G170" s="112">
        <v>46300</v>
      </c>
      <c r="H170" s="109" t="s">
        <v>4</v>
      </c>
      <c r="I170" s="109" t="s">
        <v>346</v>
      </c>
      <c r="J170" s="109"/>
      <c r="K170" s="109"/>
      <c r="L170" s="109" t="s">
        <v>346</v>
      </c>
      <c r="M170" s="109"/>
      <c r="N170" s="109"/>
      <c r="O170" s="113"/>
    </row>
    <row r="171" spans="1:15" ht="70.05" customHeight="1" outlineLevel="1">
      <c r="A171" s="109" t="s">
        <v>1720</v>
      </c>
      <c r="B171" s="110" t="s">
        <v>1719</v>
      </c>
      <c r="C171" s="110" t="s">
        <v>1679</v>
      </c>
      <c r="D171" s="111" t="s">
        <v>1488</v>
      </c>
      <c r="E171" s="111" t="s">
        <v>1393</v>
      </c>
      <c r="F171" s="109" t="s">
        <v>344</v>
      </c>
      <c r="G171" s="112">
        <v>46300</v>
      </c>
      <c r="H171" s="109" t="s">
        <v>4</v>
      </c>
      <c r="I171" s="109" t="s">
        <v>346</v>
      </c>
      <c r="J171" s="109"/>
      <c r="K171" s="109"/>
      <c r="L171" s="109" t="s">
        <v>346</v>
      </c>
      <c r="M171" s="109"/>
      <c r="N171" s="109"/>
      <c r="O171" s="113"/>
    </row>
    <row r="172" spans="1:15" ht="70.05" customHeight="1" outlineLevel="1">
      <c r="A172" s="109" t="s">
        <v>1721</v>
      </c>
      <c r="B172" s="110" t="s">
        <v>1719</v>
      </c>
      <c r="C172" s="110" t="s">
        <v>1679</v>
      </c>
      <c r="D172" s="111" t="s">
        <v>1488</v>
      </c>
      <c r="E172" s="111" t="s">
        <v>1310</v>
      </c>
      <c r="F172" s="109" t="s">
        <v>344</v>
      </c>
      <c r="G172" s="112">
        <v>46300</v>
      </c>
      <c r="H172" s="109" t="s">
        <v>4</v>
      </c>
      <c r="I172" s="109" t="s">
        <v>346</v>
      </c>
      <c r="J172" s="109"/>
      <c r="K172" s="109"/>
      <c r="L172" s="109" t="s">
        <v>346</v>
      </c>
      <c r="M172" s="109"/>
      <c r="N172" s="109"/>
      <c r="O172" s="113"/>
    </row>
    <row r="173" spans="1:15" ht="70.05" customHeight="1" outlineLevel="1">
      <c r="A173" s="109" t="s">
        <v>1722</v>
      </c>
      <c r="B173" s="110" t="s">
        <v>1723</v>
      </c>
      <c r="C173" s="110" t="s">
        <v>1724</v>
      </c>
      <c r="D173" s="111" t="s">
        <v>1488</v>
      </c>
      <c r="E173" s="111" t="s">
        <v>1725</v>
      </c>
      <c r="F173" s="109" t="s">
        <v>344</v>
      </c>
      <c r="G173" s="112">
        <v>46300</v>
      </c>
      <c r="H173" s="109" t="s">
        <v>4</v>
      </c>
      <c r="I173" s="109" t="s">
        <v>346</v>
      </c>
      <c r="J173" s="109"/>
      <c r="K173" s="109"/>
      <c r="L173" s="109" t="s">
        <v>346</v>
      </c>
      <c r="M173" s="109"/>
      <c r="N173" s="109"/>
      <c r="O173" s="113"/>
    </row>
    <row r="174" spans="1:15" ht="70.05" customHeight="1" outlineLevel="1">
      <c r="A174" s="109" t="s">
        <v>1726</v>
      </c>
      <c r="B174" s="110" t="s">
        <v>1727</v>
      </c>
      <c r="C174" s="110" t="s">
        <v>1728</v>
      </c>
      <c r="D174" s="111" t="s">
        <v>1710</v>
      </c>
      <c r="E174" s="111" t="s">
        <v>1387</v>
      </c>
      <c r="F174" s="109" t="s">
        <v>344</v>
      </c>
      <c r="G174" s="112">
        <v>46300</v>
      </c>
      <c r="H174" s="109" t="s">
        <v>4</v>
      </c>
      <c r="I174" s="109" t="s">
        <v>346</v>
      </c>
      <c r="J174" s="109"/>
      <c r="K174" s="109"/>
      <c r="L174" s="109" t="s">
        <v>346</v>
      </c>
      <c r="M174" s="109"/>
      <c r="N174" s="109"/>
      <c r="O174" s="113"/>
    </row>
    <row r="175" spans="1:15" ht="15.75" customHeight="1">
      <c r="A175" s="60" t="s">
        <v>91</v>
      </c>
      <c r="B175" s="60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2"/>
    </row>
    <row r="176" spans="1:15" ht="70.05" customHeight="1" outlineLevel="1">
      <c r="A176" s="109" t="s">
        <v>1729</v>
      </c>
      <c r="B176" s="110" t="s">
        <v>1730</v>
      </c>
      <c r="C176" s="110" t="s">
        <v>1731</v>
      </c>
      <c r="D176" s="111" t="s">
        <v>1732</v>
      </c>
      <c r="E176" s="111" t="s">
        <v>1733</v>
      </c>
      <c r="F176" s="109" t="s">
        <v>344</v>
      </c>
      <c r="G176" s="112">
        <v>46300</v>
      </c>
      <c r="H176" s="109" t="s">
        <v>4</v>
      </c>
      <c r="I176" s="109" t="s">
        <v>346</v>
      </c>
      <c r="J176" s="109"/>
      <c r="K176" s="109"/>
      <c r="L176" s="109" t="s">
        <v>346</v>
      </c>
      <c r="M176" s="109"/>
      <c r="N176" s="109"/>
      <c r="O176" s="113"/>
    </row>
    <row r="177" spans="1:15" ht="70.05" customHeight="1" outlineLevel="1">
      <c r="A177" s="109" t="s">
        <v>1734</v>
      </c>
      <c r="B177" s="110" t="s">
        <v>1735</v>
      </c>
      <c r="C177" s="110" t="s">
        <v>1736</v>
      </c>
      <c r="D177" s="111" t="s">
        <v>1737</v>
      </c>
      <c r="E177" s="111" t="s">
        <v>1738</v>
      </c>
      <c r="F177" s="109" t="s">
        <v>344</v>
      </c>
      <c r="G177" s="112">
        <v>46300</v>
      </c>
      <c r="H177" s="109" t="s">
        <v>4</v>
      </c>
      <c r="I177" s="109" t="s">
        <v>346</v>
      </c>
      <c r="J177" s="109"/>
      <c r="K177" s="109"/>
      <c r="L177" s="109" t="s">
        <v>346</v>
      </c>
      <c r="M177" s="109"/>
      <c r="N177" s="109"/>
      <c r="O177" s="113"/>
    </row>
    <row r="178" spans="1:15" ht="70.05" customHeight="1" outlineLevel="1">
      <c r="A178" s="109" t="s">
        <v>1739</v>
      </c>
      <c r="B178" s="110" t="s">
        <v>1740</v>
      </c>
      <c r="C178" s="110" t="s">
        <v>1741</v>
      </c>
      <c r="D178" s="111" t="s">
        <v>1742</v>
      </c>
      <c r="E178" s="111" t="s">
        <v>1743</v>
      </c>
      <c r="F178" s="109" t="s">
        <v>344</v>
      </c>
      <c r="G178" s="112">
        <v>46300</v>
      </c>
      <c r="H178" s="109" t="s">
        <v>4</v>
      </c>
      <c r="I178" s="109" t="s">
        <v>346</v>
      </c>
      <c r="J178" s="109"/>
      <c r="K178" s="109"/>
      <c r="L178" s="109" t="s">
        <v>346</v>
      </c>
      <c r="M178" s="109"/>
      <c r="N178" s="109"/>
      <c r="O178" s="113"/>
    </row>
    <row r="179" spans="1:15" ht="70.05" customHeight="1" outlineLevel="1">
      <c r="A179" s="109" t="s">
        <v>1744</v>
      </c>
      <c r="B179" s="110" t="s">
        <v>1745</v>
      </c>
      <c r="C179" s="110" t="s">
        <v>1746</v>
      </c>
      <c r="D179" s="111" t="s">
        <v>1747</v>
      </c>
      <c r="E179" s="111" t="s">
        <v>1748</v>
      </c>
      <c r="F179" s="109" t="s">
        <v>344</v>
      </c>
      <c r="G179" s="112">
        <v>46300</v>
      </c>
      <c r="H179" s="109" t="s">
        <v>4</v>
      </c>
      <c r="I179" s="109" t="s">
        <v>346</v>
      </c>
      <c r="J179" s="109"/>
      <c r="K179" s="109"/>
      <c r="L179" s="109" t="s">
        <v>346</v>
      </c>
      <c r="M179" s="109"/>
      <c r="N179" s="109"/>
      <c r="O179" s="113"/>
    </row>
    <row r="180" spans="1:15" ht="70.05" customHeight="1" outlineLevel="1">
      <c r="A180" s="109" t="s">
        <v>1749</v>
      </c>
      <c r="B180" s="110" t="s">
        <v>1730</v>
      </c>
      <c r="C180" s="110" t="s">
        <v>1731</v>
      </c>
      <c r="D180" s="111" t="s">
        <v>1750</v>
      </c>
      <c r="E180" s="111" t="s">
        <v>1751</v>
      </c>
      <c r="F180" s="109" t="s">
        <v>344</v>
      </c>
      <c r="G180" s="112">
        <v>46300</v>
      </c>
      <c r="H180" s="109" t="s">
        <v>4</v>
      </c>
      <c r="I180" s="109" t="s">
        <v>346</v>
      </c>
      <c r="J180" s="109"/>
      <c r="K180" s="109"/>
      <c r="L180" s="109" t="s">
        <v>346</v>
      </c>
      <c r="M180" s="109"/>
      <c r="N180" s="109"/>
      <c r="O180" s="113"/>
    </row>
    <row r="181" spans="1:15" ht="70.05" customHeight="1" outlineLevel="1">
      <c r="A181" s="109" t="s">
        <v>1752</v>
      </c>
      <c r="B181" s="110" t="s">
        <v>1753</v>
      </c>
      <c r="C181" s="110" t="s">
        <v>1754</v>
      </c>
      <c r="D181" s="111" t="s">
        <v>1755</v>
      </c>
      <c r="E181" s="111" t="s">
        <v>1756</v>
      </c>
      <c r="F181" s="109" t="s">
        <v>344</v>
      </c>
      <c r="G181" s="112">
        <v>46300</v>
      </c>
      <c r="H181" s="109" t="s">
        <v>4</v>
      </c>
      <c r="I181" s="109" t="s">
        <v>346</v>
      </c>
      <c r="J181" s="109"/>
      <c r="K181" s="109"/>
      <c r="L181" s="109" t="s">
        <v>346</v>
      </c>
      <c r="M181" s="109"/>
      <c r="N181" s="109"/>
      <c r="O181" s="113"/>
    </row>
    <row r="182" spans="1:15" ht="70.05" customHeight="1" outlineLevel="1">
      <c r="A182" s="109" t="s">
        <v>1757</v>
      </c>
      <c r="B182" s="110" t="s">
        <v>1745</v>
      </c>
      <c r="C182" s="110" t="s">
        <v>1746</v>
      </c>
      <c r="D182" s="111" t="s">
        <v>1758</v>
      </c>
      <c r="E182" s="111" t="s">
        <v>1759</v>
      </c>
      <c r="F182" s="109" t="s">
        <v>344</v>
      </c>
      <c r="G182" s="112">
        <v>46300</v>
      </c>
      <c r="H182" s="109" t="s">
        <v>4</v>
      </c>
      <c r="I182" s="109" t="s">
        <v>346</v>
      </c>
      <c r="J182" s="109"/>
      <c r="K182" s="109"/>
      <c r="L182" s="109" t="s">
        <v>346</v>
      </c>
      <c r="M182" s="109"/>
      <c r="N182" s="109"/>
      <c r="O182" s="113"/>
    </row>
    <row r="183" spans="1:15" ht="70.05" customHeight="1" outlineLevel="1">
      <c r="A183" s="109" t="s">
        <v>1760</v>
      </c>
      <c r="B183" s="110" t="s">
        <v>1730</v>
      </c>
      <c r="C183" s="110" t="s">
        <v>1731</v>
      </c>
      <c r="D183" s="111" t="s">
        <v>1761</v>
      </c>
      <c r="E183" s="111" t="s">
        <v>1762</v>
      </c>
      <c r="F183" s="109" t="s">
        <v>344</v>
      </c>
      <c r="G183" s="112">
        <v>46300</v>
      </c>
      <c r="H183" s="109" t="s">
        <v>4</v>
      </c>
      <c r="I183" s="109" t="s">
        <v>346</v>
      </c>
      <c r="J183" s="109"/>
      <c r="K183" s="109"/>
      <c r="L183" s="109" t="s">
        <v>346</v>
      </c>
      <c r="M183" s="109"/>
      <c r="N183" s="109"/>
      <c r="O183" s="113"/>
    </row>
    <row r="184" spans="1:15" ht="70.05" customHeight="1" outlineLevel="1">
      <c r="A184" s="109" t="s">
        <v>1763</v>
      </c>
      <c r="B184" s="110" t="s">
        <v>1764</v>
      </c>
      <c r="C184" s="110" t="s">
        <v>1765</v>
      </c>
      <c r="D184" s="111" t="s">
        <v>1223</v>
      </c>
      <c r="E184" s="111" t="s">
        <v>1766</v>
      </c>
      <c r="F184" s="109" t="s">
        <v>344</v>
      </c>
      <c r="G184" s="112">
        <v>46300</v>
      </c>
      <c r="H184" s="109" t="s">
        <v>4</v>
      </c>
      <c r="I184" s="109" t="s">
        <v>346</v>
      </c>
      <c r="J184" s="109"/>
      <c r="K184" s="109"/>
      <c r="L184" s="109" t="s">
        <v>346</v>
      </c>
      <c r="M184" s="109"/>
      <c r="N184" s="109"/>
      <c r="O184" s="113"/>
    </row>
    <row r="185" spans="1:15" ht="70.05" customHeight="1" outlineLevel="1">
      <c r="A185" s="109" t="s">
        <v>1767</v>
      </c>
      <c r="B185" s="110" t="s">
        <v>1768</v>
      </c>
      <c r="C185" s="110" t="s">
        <v>1731</v>
      </c>
      <c r="D185" s="111" t="s">
        <v>1223</v>
      </c>
      <c r="E185" s="111" t="s">
        <v>1769</v>
      </c>
      <c r="F185" s="109" t="s">
        <v>344</v>
      </c>
      <c r="G185" s="112">
        <v>46300</v>
      </c>
      <c r="H185" s="109" t="s">
        <v>4</v>
      </c>
      <c r="I185" s="109" t="s">
        <v>346</v>
      </c>
      <c r="J185" s="109"/>
      <c r="K185" s="109"/>
      <c r="L185" s="109" t="s">
        <v>346</v>
      </c>
      <c r="M185" s="109"/>
      <c r="N185" s="109"/>
      <c r="O185" s="113"/>
    </row>
    <row r="186" spans="1:15" ht="70.05" customHeight="1" outlineLevel="1">
      <c r="A186" s="109" t="s">
        <v>1770</v>
      </c>
      <c r="B186" s="110" t="s">
        <v>1771</v>
      </c>
      <c r="C186" s="110" t="s">
        <v>1741</v>
      </c>
      <c r="D186" s="111" t="s">
        <v>1227</v>
      </c>
      <c r="E186" s="111" t="s">
        <v>1772</v>
      </c>
      <c r="F186" s="109" t="s">
        <v>344</v>
      </c>
      <c r="G186" s="112">
        <v>46300</v>
      </c>
      <c r="H186" s="109" t="s">
        <v>4</v>
      </c>
      <c r="I186" s="109" t="s">
        <v>346</v>
      </c>
      <c r="J186" s="109"/>
      <c r="K186" s="109"/>
      <c r="L186" s="109" t="s">
        <v>346</v>
      </c>
      <c r="M186" s="109"/>
      <c r="N186" s="109"/>
      <c r="O186" s="113"/>
    </row>
    <row r="187" spans="1:15" ht="70.05" customHeight="1" outlineLevel="1">
      <c r="A187" s="109" t="s">
        <v>1773</v>
      </c>
      <c r="B187" s="110" t="s">
        <v>1774</v>
      </c>
      <c r="C187" s="110" t="s">
        <v>1746</v>
      </c>
      <c r="D187" s="111" t="s">
        <v>1223</v>
      </c>
      <c r="E187" s="111" t="s">
        <v>1775</v>
      </c>
      <c r="F187" s="109" t="s">
        <v>344</v>
      </c>
      <c r="G187" s="112">
        <v>46300</v>
      </c>
      <c r="H187" s="109" t="s">
        <v>4</v>
      </c>
      <c r="I187" s="109" t="s">
        <v>346</v>
      </c>
      <c r="J187" s="109"/>
      <c r="K187" s="109"/>
      <c r="L187" s="109" t="s">
        <v>346</v>
      </c>
      <c r="M187" s="109"/>
      <c r="N187" s="109"/>
      <c r="O187" s="113"/>
    </row>
    <row r="188" spans="1:15" ht="70.05" customHeight="1" outlineLevel="1">
      <c r="A188" s="109" t="s">
        <v>1776</v>
      </c>
      <c r="B188" s="110" t="s">
        <v>1777</v>
      </c>
      <c r="C188" s="110" t="s">
        <v>1731</v>
      </c>
      <c r="D188" s="111" t="s">
        <v>1778</v>
      </c>
      <c r="E188" s="111" t="s">
        <v>1779</v>
      </c>
      <c r="F188" s="109" t="s">
        <v>344</v>
      </c>
      <c r="G188" s="112">
        <v>46300</v>
      </c>
      <c r="H188" s="109" t="s">
        <v>4</v>
      </c>
      <c r="I188" s="109" t="s">
        <v>346</v>
      </c>
      <c r="J188" s="109"/>
      <c r="K188" s="109"/>
      <c r="L188" s="109" t="s">
        <v>346</v>
      </c>
      <c r="M188" s="109"/>
      <c r="N188" s="109"/>
      <c r="O188" s="113"/>
    </row>
    <row r="189" spans="1:15" ht="70.05" customHeight="1" outlineLevel="1">
      <c r="A189" s="109" t="s">
        <v>1780</v>
      </c>
      <c r="B189" s="110" t="s">
        <v>1781</v>
      </c>
      <c r="C189" s="110" t="s">
        <v>1741</v>
      </c>
      <c r="D189" s="111" t="s">
        <v>1782</v>
      </c>
      <c r="E189" s="111" t="s">
        <v>1783</v>
      </c>
      <c r="F189" s="109" t="s">
        <v>344</v>
      </c>
      <c r="G189" s="112">
        <v>46300</v>
      </c>
      <c r="H189" s="109" t="s">
        <v>4</v>
      </c>
      <c r="I189" s="109" t="s">
        <v>346</v>
      </c>
      <c r="J189" s="109"/>
      <c r="K189" s="109"/>
      <c r="L189" s="109" t="s">
        <v>346</v>
      </c>
      <c r="M189" s="109"/>
      <c r="N189" s="109"/>
      <c r="O189" s="113"/>
    </row>
    <row r="190" spans="1:15" ht="70.05" customHeight="1" outlineLevel="1">
      <c r="A190" s="109" t="s">
        <v>1784</v>
      </c>
      <c r="B190" s="110" t="s">
        <v>1781</v>
      </c>
      <c r="C190" s="110" t="s">
        <v>1741</v>
      </c>
      <c r="D190" s="111" t="s">
        <v>1785</v>
      </c>
      <c r="E190" s="111" t="s">
        <v>1786</v>
      </c>
      <c r="F190" s="109" t="s">
        <v>344</v>
      </c>
      <c r="G190" s="112">
        <v>46300</v>
      </c>
      <c r="H190" s="109" t="s">
        <v>4</v>
      </c>
      <c r="I190" s="109" t="s">
        <v>346</v>
      </c>
      <c r="J190" s="109"/>
      <c r="K190" s="109"/>
      <c r="L190" s="109" t="s">
        <v>346</v>
      </c>
      <c r="M190" s="109"/>
      <c r="N190" s="109"/>
      <c r="O190" s="113"/>
    </row>
    <row r="191" spans="1:15" ht="70.05" customHeight="1" outlineLevel="1">
      <c r="A191" s="109" t="s">
        <v>1787</v>
      </c>
      <c r="B191" s="110" t="s">
        <v>1788</v>
      </c>
      <c r="C191" s="110" t="s">
        <v>1746</v>
      </c>
      <c r="D191" s="111" t="s">
        <v>1789</v>
      </c>
      <c r="E191" s="111" t="s">
        <v>1790</v>
      </c>
      <c r="F191" s="109" t="s">
        <v>344</v>
      </c>
      <c r="G191" s="112">
        <v>46300</v>
      </c>
      <c r="H191" s="109" t="s">
        <v>4</v>
      </c>
      <c r="I191" s="109" t="s">
        <v>346</v>
      </c>
      <c r="J191" s="109"/>
      <c r="K191" s="109"/>
      <c r="L191" s="109" t="s">
        <v>346</v>
      </c>
      <c r="M191" s="109"/>
      <c r="N191" s="109"/>
      <c r="O191" s="113"/>
    </row>
    <row r="192" spans="1:15" ht="70.05" customHeight="1" outlineLevel="1">
      <c r="A192" s="109" t="s">
        <v>1791</v>
      </c>
      <c r="B192" s="110" t="s">
        <v>1792</v>
      </c>
      <c r="C192" s="110" t="s">
        <v>1793</v>
      </c>
      <c r="D192" s="111" t="s">
        <v>1254</v>
      </c>
      <c r="E192" s="111" t="s">
        <v>1255</v>
      </c>
      <c r="F192" s="109" t="s">
        <v>344</v>
      </c>
      <c r="G192" s="112">
        <v>46300</v>
      </c>
      <c r="H192" s="109" t="s">
        <v>4</v>
      </c>
      <c r="I192" s="109" t="s">
        <v>346</v>
      </c>
      <c r="J192" s="109"/>
      <c r="K192" s="109"/>
      <c r="L192" s="109" t="s">
        <v>346</v>
      </c>
      <c r="M192" s="109"/>
      <c r="N192" s="109"/>
      <c r="O192" s="113"/>
    </row>
    <row r="193" spans="1:15" ht="15.75" customHeight="1">
      <c r="A193" s="60" t="s">
        <v>94</v>
      </c>
      <c r="B193" s="60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2"/>
    </row>
    <row r="194" spans="1:15" ht="70.05" customHeight="1" outlineLevel="1">
      <c r="A194" s="109" t="s">
        <v>1794</v>
      </c>
      <c r="B194" s="110" t="s">
        <v>1795</v>
      </c>
      <c r="C194" s="110" t="s">
        <v>1796</v>
      </c>
      <c r="D194" s="111" t="s">
        <v>1797</v>
      </c>
      <c r="E194" s="111" t="s">
        <v>1798</v>
      </c>
      <c r="F194" s="109" t="s">
        <v>344</v>
      </c>
      <c r="G194" s="112">
        <v>46300</v>
      </c>
      <c r="H194" s="109" t="s">
        <v>4</v>
      </c>
      <c r="I194" s="109" t="s">
        <v>346</v>
      </c>
      <c r="J194" s="109"/>
      <c r="K194" s="109"/>
      <c r="L194" s="109" t="s">
        <v>346</v>
      </c>
      <c r="M194" s="109"/>
      <c r="N194" s="109"/>
      <c r="O194" s="113"/>
    </row>
    <row r="195" spans="1:15" ht="70.05" customHeight="1" outlineLevel="1">
      <c r="A195" s="109" t="s">
        <v>1799</v>
      </c>
      <c r="B195" s="110" t="s">
        <v>1795</v>
      </c>
      <c r="C195" s="110" t="s">
        <v>1796</v>
      </c>
      <c r="D195" s="111" t="s">
        <v>1800</v>
      </c>
      <c r="E195" s="111" t="s">
        <v>1801</v>
      </c>
      <c r="F195" s="109" t="s">
        <v>344</v>
      </c>
      <c r="G195" s="112">
        <v>46300</v>
      </c>
      <c r="H195" s="109" t="s">
        <v>4</v>
      </c>
      <c r="I195" s="109" t="s">
        <v>346</v>
      </c>
      <c r="J195" s="109"/>
      <c r="K195" s="109"/>
      <c r="L195" s="109" t="s">
        <v>346</v>
      </c>
      <c r="M195" s="109"/>
      <c r="N195" s="109"/>
      <c r="O195" s="113"/>
    </row>
    <row r="196" spans="1:15" ht="70.05" customHeight="1" outlineLevel="1">
      <c r="A196" s="109" t="s">
        <v>1802</v>
      </c>
      <c r="B196" s="110" t="s">
        <v>1795</v>
      </c>
      <c r="C196" s="110" t="s">
        <v>1796</v>
      </c>
      <c r="D196" s="111" t="s">
        <v>1803</v>
      </c>
      <c r="E196" s="111" t="s">
        <v>1804</v>
      </c>
      <c r="F196" s="109" t="s">
        <v>344</v>
      </c>
      <c r="G196" s="112">
        <v>46300</v>
      </c>
      <c r="H196" s="109" t="s">
        <v>4</v>
      </c>
      <c r="I196" s="109" t="s">
        <v>346</v>
      </c>
      <c r="J196" s="109"/>
      <c r="K196" s="109"/>
      <c r="L196" s="109" t="s">
        <v>346</v>
      </c>
      <c r="M196" s="109"/>
      <c r="N196" s="109"/>
      <c r="O196" s="113"/>
    </row>
    <row r="197" spans="1:15" ht="70.05" customHeight="1" outlineLevel="1">
      <c r="A197" s="109" t="s">
        <v>1805</v>
      </c>
      <c r="B197" s="110" t="s">
        <v>1795</v>
      </c>
      <c r="C197" s="110" t="s">
        <v>1796</v>
      </c>
      <c r="D197" s="111" t="s">
        <v>1806</v>
      </c>
      <c r="E197" s="111" t="s">
        <v>1807</v>
      </c>
      <c r="F197" s="109" t="s">
        <v>344</v>
      </c>
      <c r="G197" s="112">
        <v>46300</v>
      </c>
      <c r="H197" s="109" t="s">
        <v>4</v>
      </c>
      <c r="I197" s="109" t="s">
        <v>346</v>
      </c>
      <c r="J197" s="109"/>
      <c r="K197" s="109"/>
      <c r="L197" s="109" t="s">
        <v>346</v>
      </c>
      <c r="M197" s="109"/>
      <c r="N197" s="109"/>
      <c r="O197" s="113"/>
    </row>
    <row r="198" spans="1:15" ht="70.05" customHeight="1" outlineLevel="1">
      <c r="A198" s="109" t="s">
        <v>1808</v>
      </c>
      <c r="B198" s="110" t="s">
        <v>1795</v>
      </c>
      <c r="C198" s="110" t="s">
        <v>1796</v>
      </c>
      <c r="D198" s="111" t="s">
        <v>1809</v>
      </c>
      <c r="E198" s="111" t="s">
        <v>1810</v>
      </c>
      <c r="F198" s="109" t="s">
        <v>344</v>
      </c>
      <c r="G198" s="112">
        <v>46300</v>
      </c>
      <c r="H198" s="109" t="s">
        <v>4</v>
      </c>
      <c r="I198" s="109" t="s">
        <v>346</v>
      </c>
      <c r="J198" s="109"/>
      <c r="K198" s="109"/>
      <c r="L198" s="109" t="s">
        <v>346</v>
      </c>
      <c r="M198" s="109"/>
      <c r="N198" s="109"/>
      <c r="O198" s="113"/>
    </row>
    <row r="199" spans="1:15" ht="70.05" customHeight="1" outlineLevel="1">
      <c r="A199" s="109" t="s">
        <v>1811</v>
      </c>
      <c r="B199" s="110" t="s">
        <v>1795</v>
      </c>
      <c r="C199" s="110" t="s">
        <v>1796</v>
      </c>
      <c r="D199" s="111" t="s">
        <v>1812</v>
      </c>
      <c r="E199" s="111" t="s">
        <v>1813</v>
      </c>
      <c r="F199" s="109" t="s">
        <v>344</v>
      </c>
      <c r="G199" s="112">
        <v>46300</v>
      </c>
      <c r="H199" s="109" t="s">
        <v>4</v>
      </c>
      <c r="I199" s="109" t="s">
        <v>346</v>
      </c>
      <c r="J199" s="109"/>
      <c r="K199" s="109"/>
      <c r="L199" s="109" t="s">
        <v>346</v>
      </c>
      <c r="M199" s="109"/>
      <c r="N199" s="109"/>
      <c r="O199" s="113"/>
    </row>
    <row r="200" spans="1:15" ht="70.05" customHeight="1" outlineLevel="1">
      <c r="A200" s="109" t="s">
        <v>1814</v>
      </c>
      <c r="B200" s="110" t="s">
        <v>1795</v>
      </c>
      <c r="C200" s="110" t="s">
        <v>1796</v>
      </c>
      <c r="D200" s="111" t="s">
        <v>1815</v>
      </c>
      <c r="E200" s="111" t="s">
        <v>1816</v>
      </c>
      <c r="F200" s="109" t="s">
        <v>344</v>
      </c>
      <c r="G200" s="112">
        <v>46300</v>
      </c>
      <c r="H200" s="109" t="s">
        <v>4</v>
      </c>
      <c r="I200" s="109" t="s">
        <v>346</v>
      </c>
      <c r="J200" s="109"/>
      <c r="K200" s="109"/>
      <c r="L200" s="109" t="s">
        <v>346</v>
      </c>
      <c r="M200" s="109"/>
      <c r="N200" s="109"/>
      <c r="O200" s="113"/>
    </row>
    <row r="201" spans="1:15" ht="70.05" customHeight="1" outlineLevel="1">
      <c r="A201" s="109" t="s">
        <v>1817</v>
      </c>
      <c r="B201" s="110" t="s">
        <v>1795</v>
      </c>
      <c r="C201" s="110" t="s">
        <v>1796</v>
      </c>
      <c r="D201" s="111" t="s">
        <v>1809</v>
      </c>
      <c r="E201" s="111" t="s">
        <v>1818</v>
      </c>
      <c r="F201" s="109" t="s">
        <v>344</v>
      </c>
      <c r="G201" s="112">
        <v>46300</v>
      </c>
      <c r="H201" s="109" t="s">
        <v>4</v>
      </c>
      <c r="I201" s="109" t="s">
        <v>346</v>
      </c>
      <c r="J201" s="109"/>
      <c r="K201" s="109"/>
      <c r="L201" s="109" t="s">
        <v>346</v>
      </c>
      <c r="M201" s="109"/>
      <c r="N201" s="109"/>
      <c r="O201" s="113"/>
    </row>
    <row r="202" spans="1:15" ht="70.05" customHeight="1" outlineLevel="1">
      <c r="A202" s="109" t="s">
        <v>1819</v>
      </c>
      <c r="B202" s="110" t="s">
        <v>1820</v>
      </c>
      <c r="C202" s="110" t="s">
        <v>1796</v>
      </c>
      <c r="D202" s="111" t="s">
        <v>1821</v>
      </c>
      <c r="E202" s="111" t="s">
        <v>1822</v>
      </c>
      <c r="F202" s="109" t="s">
        <v>344</v>
      </c>
      <c r="G202" s="112">
        <v>46300</v>
      </c>
      <c r="H202" s="109" t="s">
        <v>4</v>
      </c>
      <c r="I202" s="109" t="s">
        <v>346</v>
      </c>
      <c r="J202" s="109"/>
      <c r="K202" s="109"/>
      <c r="L202" s="109" t="s">
        <v>346</v>
      </c>
      <c r="M202" s="109"/>
      <c r="N202" s="109"/>
      <c r="O202" s="113"/>
    </row>
    <row r="203" spans="1:15" ht="70.05" customHeight="1" outlineLevel="1">
      <c r="A203" s="109" t="s">
        <v>1823</v>
      </c>
      <c r="B203" s="110" t="s">
        <v>1820</v>
      </c>
      <c r="C203" s="110" t="s">
        <v>1796</v>
      </c>
      <c r="D203" s="111" t="s">
        <v>1824</v>
      </c>
      <c r="E203" s="111" t="s">
        <v>1825</v>
      </c>
      <c r="F203" s="109" t="s">
        <v>344</v>
      </c>
      <c r="G203" s="112">
        <v>46300</v>
      </c>
      <c r="H203" s="109" t="s">
        <v>4</v>
      </c>
      <c r="I203" s="109" t="s">
        <v>346</v>
      </c>
      <c r="J203" s="109"/>
      <c r="K203" s="109"/>
      <c r="L203" s="109" t="s">
        <v>346</v>
      </c>
      <c r="M203" s="109"/>
      <c r="N203" s="109"/>
      <c r="O203" s="113"/>
    </row>
    <row r="204" spans="1:15" ht="70.05" customHeight="1" outlineLevel="1">
      <c r="A204" s="109" t="s">
        <v>1826</v>
      </c>
      <c r="B204" s="110" t="s">
        <v>1820</v>
      </c>
      <c r="C204" s="110" t="s">
        <v>1796</v>
      </c>
      <c r="D204" s="111" t="s">
        <v>1827</v>
      </c>
      <c r="E204" s="111" t="s">
        <v>1828</v>
      </c>
      <c r="F204" s="109" t="s">
        <v>344</v>
      </c>
      <c r="G204" s="112">
        <v>46300</v>
      </c>
      <c r="H204" s="109" t="s">
        <v>4</v>
      </c>
      <c r="I204" s="109" t="s">
        <v>346</v>
      </c>
      <c r="J204" s="109"/>
      <c r="K204" s="109"/>
      <c r="L204" s="109" t="s">
        <v>346</v>
      </c>
      <c r="M204" s="109"/>
      <c r="N204" s="109"/>
      <c r="O204" s="113"/>
    </row>
    <row r="205" spans="1:15" ht="70.05" customHeight="1" outlineLevel="1">
      <c r="A205" s="109" t="s">
        <v>1829</v>
      </c>
      <c r="B205" s="110" t="s">
        <v>1820</v>
      </c>
      <c r="C205" s="110" t="s">
        <v>1796</v>
      </c>
      <c r="D205" s="111" t="s">
        <v>1830</v>
      </c>
      <c r="E205" s="111" t="s">
        <v>1831</v>
      </c>
      <c r="F205" s="109" t="s">
        <v>344</v>
      </c>
      <c r="G205" s="112">
        <v>46300</v>
      </c>
      <c r="H205" s="109" t="s">
        <v>4</v>
      </c>
      <c r="I205" s="109" t="s">
        <v>346</v>
      </c>
      <c r="J205" s="109"/>
      <c r="K205" s="109"/>
      <c r="L205" s="109" t="s">
        <v>346</v>
      </c>
      <c r="M205" s="109"/>
      <c r="N205" s="109"/>
      <c r="O205" s="113"/>
    </row>
    <row r="206" spans="1:15" ht="70.05" customHeight="1" outlineLevel="1">
      <c r="A206" s="109" t="s">
        <v>1832</v>
      </c>
      <c r="B206" s="110" t="s">
        <v>1820</v>
      </c>
      <c r="C206" s="110" t="s">
        <v>1796</v>
      </c>
      <c r="D206" s="111" t="s">
        <v>1833</v>
      </c>
      <c r="E206" s="111" t="s">
        <v>1834</v>
      </c>
      <c r="F206" s="109" t="s">
        <v>344</v>
      </c>
      <c r="G206" s="112">
        <v>46300</v>
      </c>
      <c r="H206" s="109" t="s">
        <v>4</v>
      </c>
      <c r="I206" s="109" t="s">
        <v>346</v>
      </c>
      <c r="J206" s="109"/>
      <c r="K206" s="109"/>
      <c r="L206" s="109" t="s">
        <v>346</v>
      </c>
      <c r="M206" s="109"/>
      <c r="N206" s="109"/>
      <c r="O206" s="113"/>
    </row>
    <row r="207" spans="1:15" ht="70.05" customHeight="1" outlineLevel="1">
      <c r="A207" s="109" t="s">
        <v>1835</v>
      </c>
      <c r="B207" s="110" t="s">
        <v>1836</v>
      </c>
      <c r="C207" s="110" t="s">
        <v>1837</v>
      </c>
      <c r="D207" s="111" t="s">
        <v>1611</v>
      </c>
      <c r="E207" s="111" t="s">
        <v>1838</v>
      </c>
      <c r="F207" s="109" t="s">
        <v>344</v>
      </c>
      <c r="G207" s="112">
        <v>46300</v>
      </c>
      <c r="H207" s="109" t="s">
        <v>4</v>
      </c>
      <c r="I207" s="109" t="s">
        <v>346</v>
      </c>
      <c r="J207" s="109"/>
      <c r="K207" s="109"/>
      <c r="L207" s="109" t="s">
        <v>346</v>
      </c>
      <c r="M207" s="109"/>
      <c r="N207" s="109"/>
      <c r="O207" s="113"/>
    </row>
    <row r="208" spans="1:15" ht="70.05" customHeight="1" outlineLevel="1">
      <c r="A208" s="109" t="s">
        <v>1839</v>
      </c>
      <c r="B208" s="110" t="s">
        <v>1840</v>
      </c>
      <c r="C208" s="110" t="s">
        <v>1841</v>
      </c>
      <c r="D208" s="111" t="s">
        <v>1611</v>
      </c>
      <c r="E208" s="111" t="s">
        <v>1842</v>
      </c>
      <c r="F208" s="109" t="s">
        <v>344</v>
      </c>
      <c r="G208" s="112">
        <v>46300</v>
      </c>
      <c r="H208" s="109" t="s">
        <v>4</v>
      </c>
      <c r="I208" s="109" t="s">
        <v>346</v>
      </c>
      <c r="J208" s="109"/>
      <c r="K208" s="109"/>
      <c r="L208" s="109" t="s">
        <v>346</v>
      </c>
      <c r="M208" s="109"/>
      <c r="N208" s="109"/>
      <c r="O208" s="113"/>
    </row>
    <row r="209" spans="1:15" ht="70.05" customHeight="1" outlineLevel="1">
      <c r="A209" s="109" t="s">
        <v>1843</v>
      </c>
      <c r="B209" s="110" t="s">
        <v>1844</v>
      </c>
      <c r="C209" s="110" t="s">
        <v>1796</v>
      </c>
      <c r="D209" s="111" t="s">
        <v>1845</v>
      </c>
      <c r="E209" s="111" t="s">
        <v>1846</v>
      </c>
      <c r="F209" s="109" t="s">
        <v>344</v>
      </c>
      <c r="G209" s="112">
        <v>46300</v>
      </c>
      <c r="H209" s="109" t="s">
        <v>4</v>
      </c>
      <c r="I209" s="109" t="s">
        <v>346</v>
      </c>
      <c r="J209" s="109"/>
      <c r="K209" s="109"/>
      <c r="L209" s="109" t="s">
        <v>346</v>
      </c>
      <c r="M209" s="109"/>
      <c r="N209" s="109"/>
      <c r="O209" s="113"/>
    </row>
    <row r="210" spans="1:15" ht="70.05" customHeight="1" outlineLevel="1">
      <c r="A210" s="109" t="s">
        <v>1847</v>
      </c>
      <c r="B210" s="110" t="s">
        <v>1844</v>
      </c>
      <c r="C210" s="110" t="s">
        <v>1796</v>
      </c>
      <c r="D210" s="111" t="s">
        <v>1845</v>
      </c>
      <c r="E210" s="111" t="s">
        <v>1848</v>
      </c>
      <c r="F210" s="109" t="s">
        <v>344</v>
      </c>
      <c r="G210" s="112">
        <v>46300</v>
      </c>
      <c r="H210" s="109" t="s">
        <v>4</v>
      </c>
      <c r="I210" s="109" t="s">
        <v>346</v>
      </c>
      <c r="J210" s="109"/>
      <c r="K210" s="109"/>
      <c r="L210" s="109" t="s">
        <v>346</v>
      </c>
      <c r="M210" s="109"/>
      <c r="N210" s="109"/>
      <c r="O210" s="113"/>
    </row>
    <row r="211" spans="1:15" ht="70.05" customHeight="1" outlineLevel="1">
      <c r="A211" s="109" t="s">
        <v>1849</v>
      </c>
      <c r="B211" s="110" t="s">
        <v>1844</v>
      </c>
      <c r="C211" s="110" t="s">
        <v>1796</v>
      </c>
      <c r="D211" s="111" t="s">
        <v>1845</v>
      </c>
      <c r="E211" s="111" t="s">
        <v>1850</v>
      </c>
      <c r="F211" s="109" t="s">
        <v>344</v>
      </c>
      <c r="G211" s="112">
        <v>46300</v>
      </c>
      <c r="H211" s="109" t="s">
        <v>4</v>
      </c>
      <c r="I211" s="109" t="s">
        <v>346</v>
      </c>
      <c r="J211" s="109"/>
      <c r="K211" s="109"/>
      <c r="L211" s="109" t="s">
        <v>346</v>
      </c>
      <c r="M211" s="109"/>
      <c r="N211" s="109"/>
      <c r="O211" s="113"/>
    </row>
    <row r="212" spans="1:15" ht="70.05" customHeight="1" outlineLevel="1">
      <c r="A212" s="109" t="s">
        <v>1851</v>
      </c>
      <c r="B212" s="110" t="s">
        <v>1844</v>
      </c>
      <c r="C212" s="110" t="s">
        <v>1796</v>
      </c>
      <c r="D212" s="111" t="s">
        <v>1845</v>
      </c>
      <c r="E212" s="111" t="s">
        <v>1852</v>
      </c>
      <c r="F212" s="109" t="s">
        <v>344</v>
      </c>
      <c r="G212" s="112">
        <v>46300</v>
      </c>
      <c r="H212" s="109" t="s">
        <v>4</v>
      </c>
      <c r="I212" s="109" t="s">
        <v>346</v>
      </c>
      <c r="J212" s="109"/>
      <c r="K212" s="109"/>
      <c r="L212" s="109" t="s">
        <v>346</v>
      </c>
      <c r="M212" s="109"/>
      <c r="N212" s="109"/>
      <c r="O212" s="113"/>
    </row>
    <row r="213" spans="1:15" ht="15.75" customHeight="1">
      <c r="A213" s="60" t="s">
        <v>97</v>
      </c>
      <c r="B213" s="60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2"/>
    </row>
    <row r="214" spans="1:15" ht="70.05" customHeight="1" outlineLevel="1">
      <c r="A214" s="109" t="s">
        <v>1853</v>
      </c>
      <c r="B214" s="110" t="s">
        <v>1854</v>
      </c>
      <c r="C214" s="110" t="s">
        <v>1855</v>
      </c>
      <c r="D214" s="111" t="s">
        <v>1856</v>
      </c>
      <c r="E214" s="111" t="s">
        <v>1387</v>
      </c>
      <c r="F214" s="109" t="s">
        <v>344</v>
      </c>
      <c r="G214" s="112">
        <v>46300</v>
      </c>
      <c r="H214" s="109" t="s">
        <v>4</v>
      </c>
      <c r="I214" s="109" t="s">
        <v>346</v>
      </c>
      <c r="J214" s="109"/>
      <c r="K214" s="109"/>
      <c r="L214" s="109" t="s">
        <v>346</v>
      </c>
      <c r="M214" s="109"/>
      <c r="N214" s="109"/>
      <c r="O214" s="113"/>
    </row>
    <row r="215" spans="1:15" ht="70.05" customHeight="1" outlineLevel="1">
      <c r="A215" s="109" t="s">
        <v>1857</v>
      </c>
      <c r="B215" s="110" t="s">
        <v>1858</v>
      </c>
      <c r="C215" s="110" t="s">
        <v>1859</v>
      </c>
      <c r="D215" s="111" t="s">
        <v>1860</v>
      </c>
      <c r="E215" s="111" t="s">
        <v>1387</v>
      </c>
      <c r="F215" s="109" t="s">
        <v>344</v>
      </c>
      <c r="G215" s="112">
        <v>46300</v>
      </c>
      <c r="H215" s="109" t="s">
        <v>4</v>
      </c>
      <c r="I215" s="109" t="s">
        <v>346</v>
      </c>
      <c r="J215" s="109"/>
      <c r="K215" s="109"/>
      <c r="L215" s="109" t="s">
        <v>346</v>
      </c>
      <c r="M215" s="109"/>
      <c r="N215" s="109"/>
      <c r="O215" s="113"/>
    </row>
    <row r="216" spans="1:15" ht="70.05" customHeight="1" outlineLevel="1">
      <c r="A216" s="109" t="s">
        <v>1861</v>
      </c>
      <c r="B216" s="110" t="s">
        <v>1862</v>
      </c>
      <c r="C216" s="110" t="s">
        <v>1863</v>
      </c>
      <c r="D216" s="111" t="s">
        <v>1864</v>
      </c>
      <c r="E216" s="111" t="s">
        <v>1387</v>
      </c>
      <c r="F216" s="109" t="s">
        <v>344</v>
      </c>
      <c r="G216" s="112">
        <v>46300</v>
      </c>
      <c r="H216" s="109" t="s">
        <v>4</v>
      </c>
      <c r="I216" s="109" t="s">
        <v>346</v>
      </c>
      <c r="J216" s="109"/>
      <c r="K216" s="109"/>
      <c r="L216" s="109" t="s">
        <v>346</v>
      </c>
      <c r="M216" s="109"/>
      <c r="N216" s="109"/>
      <c r="O216" s="113"/>
    </row>
    <row r="217" spans="1:15" ht="70.05" customHeight="1" outlineLevel="1">
      <c r="A217" s="109" t="s">
        <v>1865</v>
      </c>
      <c r="B217" s="110" t="s">
        <v>1866</v>
      </c>
      <c r="C217" s="110" t="s">
        <v>1867</v>
      </c>
      <c r="D217" s="111" t="s">
        <v>1868</v>
      </c>
      <c r="E217" s="111" t="s">
        <v>1387</v>
      </c>
      <c r="F217" s="109" t="s">
        <v>344</v>
      </c>
      <c r="G217" s="112">
        <v>46300</v>
      </c>
      <c r="H217" s="109" t="s">
        <v>4</v>
      </c>
      <c r="I217" s="109" t="s">
        <v>346</v>
      </c>
      <c r="J217" s="109"/>
      <c r="K217" s="109"/>
      <c r="L217" s="109" t="s">
        <v>346</v>
      </c>
      <c r="M217" s="109"/>
      <c r="N217" s="109"/>
      <c r="O217" s="113"/>
    </row>
    <row r="218" spans="1:15" ht="70.05" customHeight="1" outlineLevel="1">
      <c r="A218" s="109" t="s">
        <v>1869</v>
      </c>
      <c r="B218" s="110" t="s">
        <v>1870</v>
      </c>
      <c r="C218" s="110" t="s">
        <v>1871</v>
      </c>
      <c r="D218" s="111" t="s">
        <v>1872</v>
      </c>
      <c r="E218" s="111" t="s">
        <v>1873</v>
      </c>
      <c r="F218" s="109" t="s">
        <v>344</v>
      </c>
      <c r="G218" s="112">
        <v>46300</v>
      </c>
      <c r="H218" s="109" t="s">
        <v>4</v>
      </c>
      <c r="I218" s="109" t="s">
        <v>346</v>
      </c>
      <c r="J218" s="109"/>
      <c r="K218" s="109"/>
      <c r="L218" s="109" t="s">
        <v>346</v>
      </c>
      <c r="M218" s="109"/>
      <c r="N218" s="109"/>
      <c r="O218" s="113"/>
    </row>
    <row r="219" spans="1:15" ht="70.05" customHeight="1" outlineLevel="1">
      <c r="A219" s="109" t="s">
        <v>1874</v>
      </c>
      <c r="B219" s="110" t="s">
        <v>1875</v>
      </c>
      <c r="C219" s="110" t="s">
        <v>1876</v>
      </c>
      <c r="D219" s="111" t="s">
        <v>1877</v>
      </c>
      <c r="E219" s="111" t="s">
        <v>1873</v>
      </c>
      <c r="F219" s="109" t="s">
        <v>344</v>
      </c>
      <c r="G219" s="112">
        <v>46300</v>
      </c>
      <c r="H219" s="109" t="s">
        <v>4</v>
      </c>
      <c r="I219" s="109" t="s">
        <v>346</v>
      </c>
      <c r="J219" s="109"/>
      <c r="K219" s="109"/>
      <c r="L219" s="109" t="s">
        <v>346</v>
      </c>
      <c r="M219" s="109"/>
      <c r="N219" s="109"/>
      <c r="O219" s="113"/>
    </row>
    <row r="220" spans="1:15" ht="70.05" customHeight="1" outlineLevel="1">
      <c r="A220" s="109" t="s">
        <v>1878</v>
      </c>
      <c r="B220" s="110" t="s">
        <v>1879</v>
      </c>
      <c r="C220" s="110" t="s">
        <v>1880</v>
      </c>
      <c r="D220" s="111" t="s">
        <v>1881</v>
      </c>
      <c r="E220" s="111" t="s">
        <v>1873</v>
      </c>
      <c r="F220" s="109" t="s">
        <v>344</v>
      </c>
      <c r="G220" s="112">
        <v>46300</v>
      </c>
      <c r="H220" s="109" t="s">
        <v>4</v>
      </c>
      <c r="I220" s="109" t="s">
        <v>346</v>
      </c>
      <c r="J220" s="109"/>
      <c r="K220" s="109"/>
      <c r="L220" s="109" t="s">
        <v>346</v>
      </c>
      <c r="M220" s="109"/>
      <c r="N220" s="109"/>
      <c r="O220" s="113"/>
    </row>
    <row r="221" spans="1:15" ht="70.05" customHeight="1" outlineLevel="1">
      <c r="A221" s="109" t="s">
        <v>1882</v>
      </c>
      <c r="B221" s="110" t="s">
        <v>1883</v>
      </c>
      <c r="C221" s="110" t="s">
        <v>1884</v>
      </c>
      <c r="D221" s="111" t="s">
        <v>1885</v>
      </c>
      <c r="E221" s="111" t="s">
        <v>1387</v>
      </c>
      <c r="F221" s="109" t="s">
        <v>344</v>
      </c>
      <c r="G221" s="112">
        <v>46300</v>
      </c>
      <c r="H221" s="109" t="s">
        <v>4</v>
      </c>
      <c r="I221" s="109" t="s">
        <v>346</v>
      </c>
      <c r="J221" s="109"/>
      <c r="K221" s="109"/>
      <c r="L221" s="109" t="s">
        <v>346</v>
      </c>
      <c r="M221" s="109"/>
      <c r="N221" s="109"/>
      <c r="O221" s="113"/>
    </row>
    <row r="222" spans="1:15" ht="70.05" customHeight="1" outlineLevel="1">
      <c r="A222" s="109" t="s">
        <v>1886</v>
      </c>
      <c r="B222" s="110" t="s">
        <v>1887</v>
      </c>
      <c r="C222" s="110" t="s">
        <v>1888</v>
      </c>
      <c r="D222" s="111" t="s">
        <v>1889</v>
      </c>
      <c r="E222" s="111" t="s">
        <v>1387</v>
      </c>
      <c r="F222" s="109" t="s">
        <v>344</v>
      </c>
      <c r="G222" s="112">
        <v>46300</v>
      </c>
      <c r="H222" s="109" t="s">
        <v>4</v>
      </c>
      <c r="I222" s="109" t="s">
        <v>346</v>
      </c>
      <c r="J222" s="109"/>
      <c r="K222" s="109"/>
      <c r="L222" s="109" t="s">
        <v>346</v>
      </c>
      <c r="M222" s="109"/>
      <c r="N222" s="109"/>
      <c r="O222" s="113"/>
    </row>
    <row r="223" spans="1:15" ht="70.05" customHeight="1" outlineLevel="1">
      <c r="A223" s="109" t="s">
        <v>1890</v>
      </c>
      <c r="B223" s="110" t="s">
        <v>1891</v>
      </c>
      <c r="C223" s="110" t="s">
        <v>1892</v>
      </c>
      <c r="D223" s="111" t="s">
        <v>1893</v>
      </c>
      <c r="E223" s="111" t="s">
        <v>1387</v>
      </c>
      <c r="F223" s="109" t="s">
        <v>344</v>
      </c>
      <c r="G223" s="112">
        <v>46300</v>
      </c>
      <c r="H223" s="109" t="s">
        <v>4</v>
      </c>
      <c r="I223" s="109" t="s">
        <v>346</v>
      </c>
      <c r="J223" s="109"/>
      <c r="K223" s="109"/>
      <c r="L223" s="109" t="s">
        <v>346</v>
      </c>
      <c r="M223" s="109"/>
      <c r="N223" s="109"/>
      <c r="O223" s="113"/>
    </row>
    <row r="224" spans="1:15" ht="70.05" customHeight="1" outlineLevel="1">
      <c r="A224" s="109" t="s">
        <v>1894</v>
      </c>
      <c r="B224" s="110" t="s">
        <v>1895</v>
      </c>
      <c r="C224" s="110" t="s">
        <v>1896</v>
      </c>
      <c r="D224" s="111" t="s">
        <v>1897</v>
      </c>
      <c r="E224" s="111" t="s">
        <v>1387</v>
      </c>
      <c r="F224" s="109" t="s">
        <v>344</v>
      </c>
      <c r="G224" s="112">
        <v>46300</v>
      </c>
      <c r="H224" s="109" t="s">
        <v>4</v>
      </c>
      <c r="I224" s="109" t="s">
        <v>346</v>
      </c>
      <c r="J224" s="109"/>
      <c r="K224" s="109"/>
      <c r="L224" s="109" t="s">
        <v>346</v>
      </c>
      <c r="M224" s="109"/>
      <c r="N224" s="109"/>
      <c r="O224" s="113"/>
    </row>
    <row r="225" spans="1:15" ht="70.05" customHeight="1" outlineLevel="1">
      <c r="A225" s="109" t="s">
        <v>1898</v>
      </c>
      <c r="B225" s="110" t="s">
        <v>1899</v>
      </c>
      <c r="C225" s="110" t="s">
        <v>1900</v>
      </c>
      <c r="D225" s="111" t="s">
        <v>1897</v>
      </c>
      <c r="E225" s="111" t="s">
        <v>1387</v>
      </c>
      <c r="F225" s="109" t="s">
        <v>344</v>
      </c>
      <c r="G225" s="112">
        <v>46300</v>
      </c>
      <c r="H225" s="109" t="s">
        <v>4</v>
      </c>
      <c r="I225" s="109" t="s">
        <v>346</v>
      </c>
      <c r="J225" s="109"/>
      <c r="K225" s="109"/>
      <c r="L225" s="109" t="s">
        <v>346</v>
      </c>
      <c r="M225" s="109"/>
      <c r="N225" s="109"/>
      <c r="O225" s="113"/>
    </row>
    <row r="226" spans="1:15" ht="70.05" customHeight="1" outlineLevel="1">
      <c r="A226" s="109" t="s">
        <v>1901</v>
      </c>
      <c r="B226" s="110" t="s">
        <v>1902</v>
      </c>
      <c r="C226" s="110" t="s">
        <v>1903</v>
      </c>
      <c r="D226" s="111" t="s">
        <v>1904</v>
      </c>
      <c r="E226" s="111" t="s">
        <v>1387</v>
      </c>
      <c r="F226" s="109" t="s">
        <v>344</v>
      </c>
      <c r="G226" s="112">
        <v>46300</v>
      </c>
      <c r="H226" s="109" t="s">
        <v>4</v>
      </c>
      <c r="I226" s="109" t="s">
        <v>346</v>
      </c>
      <c r="J226" s="109"/>
      <c r="K226" s="109"/>
      <c r="L226" s="109" t="s">
        <v>346</v>
      </c>
      <c r="M226" s="109"/>
      <c r="N226" s="109"/>
      <c r="O226" s="113"/>
    </row>
    <row r="227" spans="1:15" ht="70.05" customHeight="1" outlineLevel="1">
      <c r="A227" s="109" t="s">
        <v>1905</v>
      </c>
      <c r="B227" s="110" t="s">
        <v>1906</v>
      </c>
      <c r="C227" s="110" t="s">
        <v>1855</v>
      </c>
      <c r="D227" s="111" t="s">
        <v>1488</v>
      </c>
      <c r="E227" s="111" t="s">
        <v>1907</v>
      </c>
      <c r="F227" s="109" t="s">
        <v>344</v>
      </c>
      <c r="G227" s="112">
        <v>46300</v>
      </c>
      <c r="H227" s="109" t="s">
        <v>4</v>
      </c>
      <c r="I227" s="109" t="s">
        <v>346</v>
      </c>
      <c r="J227" s="109"/>
      <c r="K227" s="109"/>
      <c r="L227" s="109" t="s">
        <v>346</v>
      </c>
      <c r="M227" s="109"/>
      <c r="N227" s="109"/>
      <c r="O227" s="113"/>
    </row>
    <row r="228" spans="1:15" ht="70.05" customHeight="1" outlineLevel="1">
      <c r="A228" s="109" t="s">
        <v>1908</v>
      </c>
      <c r="B228" s="110" t="s">
        <v>1906</v>
      </c>
      <c r="C228" s="110" t="s">
        <v>1855</v>
      </c>
      <c r="D228" s="111" t="s">
        <v>1488</v>
      </c>
      <c r="E228" s="111" t="s">
        <v>1909</v>
      </c>
      <c r="F228" s="109" t="s">
        <v>344</v>
      </c>
      <c r="G228" s="112">
        <v>46300</v>
      </c>
      <c r="H228" s="109" t="s">
        <v>4</v>
      </c>
      <c r="I228" s="109" t="s">
        <v>346</v>
      </c>
      <c r="J228" s="109"/>
      <c r="K228" s="109"/>
      <c r="L228" s="109" t="s">
        <v>346</v>
      </c>
      <c r="M228" s="109"/>
      <c r="N228" s="109"/>
      <c r="O228" s="113"/>
    </row>
    <row r="229" spans="1:15" ht="70.05" customHeight="1" outlineLevel="1">
      <c r="A229" s="109" t="s">
        <v>1910</v>
      </c>
      <c r="B229" s="110" t="s">
        <v>1911</v>
      </c>
      <c r="C229" s="110" t="s">
        <v>1912</v>
      </c>
      <c r="D229" s="111" t="s">
        <v>1488</v>
      </c>
      <c r="E229" s="111" t="s">
        <v>1387</v>
      </c>
      <c r="F229" s="109" t="s">
        <v>344</v>
      </c>
      <c r="G229" s="112">
        <v>46300</v>
      </c>
      <c r="H229" s="109" t="s">
        <v>4</v>
      </c>
      <c r="I229" s="109" t="s">
        <v>346</v>
      </c>
      <c r="J229" s="109"/>
      <c r="K229" s="109"/>
      <c r="L229" s="109" t="s">
        <v>346</v>
      </c>
      <c r="M229" s="109"/>
      <c r="N229" s="109"/>
      <c r="O229" s="113"/>
    </row>
    <row r="230" spans="1:15" ht="70.05" customHeight="1" outlineLevel="1">
      <c r="A230" s="109" t="s">
        <v>1913</v>
      </c>
      <c r="B230" s="110" t="s">
        <v>1914</v>
      </c>
      <c r="C230" s="110" t="s">
        <v>1915</v>
      </c>
      <c r="D230" s="111" t="s">
        <v>1309</v>
      </c>
      <c r="E230" s="111" t="s">
        <v>1916</v>
      </c>
      <c r="F230" s="109" t="s">
        <v>344</v>
      </c>
      <c r="G230" s="112">
        <v>46300</v>
      </c>
      <c r="H230" s="109" t="s">
        <v>4</v>
      </c>
      <c r="I230" s="109" t="s">
        <v>346</v>
      </c>
      <c r="J230" s="109"/>
      <c r="K230" s="109"/>
      <c r="L230" s="109" t="s">
        <v>346</v>
      </c>
      <c r="M230" s="109"/>
      <c r="N230" s="109"/>
      <c r="O230" s="113"/>
    </row>
    <row r="231" spans="1:15" ht="70.05" customHeight="1" outlineLevel="1">
      <c r="A231" s="109" t="s">
        <v>1917</v>
      </c>
      <c r="B231" s="110" t="s">
        <v>1918</v>
      </c>
      <c r="C231" s="110" t="s">
        <v>1919</v>
      </c>
      <c r="D231" s="111" t="s">
        <v>1920</v>
      </c>
      <c r="E231" s="111" t="s">
        <v>1921</v>
      </c>
      <c r="F231" s="109" t="s">
        <v>344</v>
      </c>
      <c r="G231" s="112">
        <v>46300</v>
      </c>
      <c r="H231" s="109" t="s">
        <v>4</v>
      </c>
      <c r="I231" s="109" t="s">
        <v>346</v>
      </c>
      <c r="J231" s="109"/>
      <c r="K231" s="109"/>
      <c r="L231" s="109" t="s">
        <v>346</v>
      </c>
      <c r="M231" s="109"/>
      <c r="N231" s="109"/>
      <c r="O231" s="113"/>
    </row>
    <row r="232" spans="1:15" ht="70.05" customHeight="1" outlineLevel="1">
      <c r="A232" s="109" t="s">
        <v>1922</v>
      </c>
      <c r="B232" s="110" t="s">
        <v>1923</v>
      </c>
      <c r="C232" s="110" t="s">
        <v>1924</v>
      </c>
      <c r="D232" s="111" t="s">
        <v>1925</v>
      </c>
      <c r="E232" s="111" t="s">
        <v>1873</v>
      </c>
      <c r="F232" s="109" t="s">
        <v>344</v>
      </c>
      <c r="G232" s="112">
        <v>46300</v>
      </c>
      <c r="H232" s="109" t="s">
        <v>4</v>
      </c>
      <c r="I232" s="109" t="s">
        <v>346</v>
      </c>
      <c r="J232" s="109"/>
      <c r="K232" s="109"/>
      <c r="L232" s="109" t="s">
        <v>346</v>
      </c>
      <c r="M232" s="109"/>
      <c r="N232" s="109"/>
      <c r="O232" s="113"/>
    </row>
    <row r="233" spans="1:15" ht="70.05" customHeight="1" outlineLevel="1">
      <c r="A233" s="109" t="s">
        <v>1926</v>
      </c>
      <c r="B233" s="110" t="s">
        <v>1927</v>
      </c>
      <c r="C233" s="110" t="s">
        <v>1928</v>
      </c>
      <c r="D233" s="111" t="s">
        <v>1929</v>
      </c>
      <c r="E233" s="111" t="s">
        <v>1387</v>
      </c>
      <c r="F233" s="109" t="s">
        <v>344</v>
      </c>
      <c r="G233" s="112">
        <v>46300</v>
      </c>
      <c r="H233" s="109" t="s">
        <v>4</v>
      </c>
      <c r="I233" s="109" t="s">
        <v>346</v>
      </c>
      <c r="J233" s="109"/>
      <c r="K233" s="109"/>
      <c r="L233" s="109" t="s">
        <v>346</v>
      </c>
      <c r="M233" s="109"/>
      <c r="N233" s="109"/>
      <c r="O233" s="113"/>
    </row>
    <row r="234" spans="1:15" ht="70.05" customHeight="1" outlineLevel="1">
      <c r="A234" s="109" t="s">
        <v>1930</v>
      </c>
      <c r="B234" s="110" t="s">
        <v>1931</v>
      </c>
      <c r="C234" s="110" t="s">
        <v>1932</v>
      </c>
      <c r="D234" s="111" t="s">
        <v>1929</v>
      </c>
      <c r="E234" s="111" t="s">
        <v>1387</v>
      </c>
      <c r="F234" s="109" t="s">
        <v>344</v>
      </c>
      <c r="G234" s="112">
        <v>46300</v>
      </c>
      <c r="H234" s="109" t="s">
        <v>4</v>
      </c>
      <c r="I234" s="109" t="s">
        <v>346</v>
      </c>
      <c r="J234" s="109"/>
      <c r="K234" s="109"/>
      <c r="L234" s="109" t="s">
        <v>346</v>
      </c>
      <c r="M234" s="109"/>
      <c r="N234" s="109"/>
      <c r="O234" s="113"/>
    </row>
    <row r="235" spans="1:15" ht="70.05" customHeight="1" outlineLevel="1">
      <c r="A235" s="109" t="s">
        <v>1933</v>
      </c>
      <c r="B235" s="110" t="s">
        <v>1934</v>
      </c>
      <c r="C235" s="110" t="s">
        <v>1935</v>
      </c>
      <c r="D235" s="111" t="s">
        <v>1936</v>
      </c>
      <c r="E235" s="111" t="s">
        <v>1387</v>
      </c>
      <c r="F235" s="109" t="s">
        <v>344</v>
      </c>
      <c r="G235" s="112">
        <v>46300</v>
      </c>
      <c r="H235" s="109" t="s">
        <v>4</v>
      </c>
      <c r="I235" s="109" t="s">
        <v>346</v>
      </c>
      <c r="J235" s="109"/>
      <c r="K235" s="109"/>
      <c r="L235" s="109" t="s">
        <v>346</v>
      </c>
      <c r="M235" s="109"/>
      <c r="N235" s="109"/>
      <c r="O235" s="113"/>
    </row>
    <row r="236" spans="1:15" ht="15.75" customHeight="1">
      <c r="A236" s="60" t="s">
        <v>99</v>
      </c>
      <c r="B236" s="60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2"/>
    </row>
    <row r="237" spans="1:15" ht="70.05" customHeight="1" outlineLevel="1">
      <c r="A237" s="109" t="s">
        <v>1937</v>
      </c>
      <c r="B237" s="110" t="s">
        <v>1938</v>
      </c>
      <c r="C237" s="110" t="s">
        <v>1939</v>
      </c>
      <c r="D237" s="111" t="s">
        <v>1940</v>
      </c>
      <c r="E237" s="111" t="s">
        <v>1941</v>
      </c>
      <c r="F237" s="109" t="s">
        <v>344</v>
      </c>
      <c r="G237" s="112">
        <v>46300</v>
      </c>
      <c r="H237" s="109" t="s">
        <v>4</v>
      </c>
      <c r="I237" s="109" t="s">
        <v>346</v>
      </c>
      <c r="J237" s="109"/>
      <c r="K237" s="109"/>
      <c r="L237" s="109" t="s">
        <v>346</v>
      </c>
      <c r="M237" s="109"/>
      <c r="N237" s="109"/>
      <c r="O237" s="113"/>
    </row>
    <row r="238" spans="1:15" ht="70.05" customHeight="1" outlineLevel="1">
      <c r="A238" s="109" t="s">
        <v>1942</v>
      </c>
      <c r="B238" s="110" t="s">
        <v>1943</v>
      </c>
      <c r="C238" s="110" t="s">
        <v>1944</v>
      </c>
      <c r="D238" s="111" t="s">
        <v>1940</v>
      </c>
      <c r="E238" s="111" t="s">
        <v>1945</v>
      </c>
      <c r="F238" s="109" t="s">
        <v>344</v>
      </c>
      <c r="G238" s="112">
        <v>46300</v>
      </c>
      <c r="H238" s="109" t="s">
        <v>4</v>
      </c>
      <c r="I238" s="109" t="s">
        <v>346</v>
      </c>
      <c r="J238" s="109"/>
      <c r="K238" s="109"/>
      <c r="L238" s="109" t="s">
        <v>346</v>
      </c>
      <c r="M238" s="109"/>
      <c r="N238" s="109"/>
      <c r="O238" s="113"/>
    </row>
    <row r="239" spans="1:15" ht="70.05" customHeight="1" outlineLevel="1">
      <c r="A239" s="109" t="s">
        <v>1946</v>
      </c>
      <c r="B239" s="110" t="s">
        <v>1947</v>
      </c>
      <c r="C239" s="110" t="s">
        <v>1948</v>
      </c>
      <c r="D239" s="111" t="s">
        <v>1949</v>
      </c>
      <c r="E239" s="111" t="s">
        <v>1950</v>
      </c>
      <c r="F239" s="109" t="s">
        <v>344</v>
      </c>
      <c r="G239" s="112">
        <v>46300</v>
      </c>
      <c r="H239" s="109" t="s">
        <v>4</v>
      </c>
      <c r="I239" s="109" t="s">
        <v>346</v>
      </c>
      <c r="J239" s="109"/>
      <c r="K239" s="109"/>
      <c r="L239" s="109" t="s">
        <v>346</v>
      </c>
      <c r="M239" s="109"/>
      <c r="N239" s="109"/>
      <c r="O239" s="113"/>
    </row>
    <row r="240" spans="1:15" ht="70.05" customHeight="1" outlineLevel="1">
      <c r="A240" s="109" t="s">
        <v>1951</v>
      </c>
      <c r="B240" s="110" t="s">
        <v>1952</v>
      </c>
      <c r="C240" s="110" t="s">
        <v>1953</v>
      </c>
      <c r="D240" s="111" t="s">
        <v>1954</v>
      </c>
      <c r="E240" s="111" t="s">
        <v>1955</v>
      </c>
      <c r="F240" s="109" t="s">
        <v>344</v>
      </c>
      <c r="G240" s="112">
        <v>46300</v>
      </c>
      <c r="H240" s="109" t="s">
        <v>4</v>
      </c>
      <c r="I240" s="109" t="s">
        <v>346</v>
      </c>
      <c r="J240" s="109"/>
      <c r="K240" s="109"/>
      <c r="L240" s="109" t="s">
        <v>346</v>
      </c>
      <c r="M240" s="109"/>
      <c r="N240" s="109"/>
      <c r="O240" s="113"/>
    </row>
    <row r="241" spans="1:15" ht="70.05" customHeight="1" outlineLevel="1">
      <c r="A241" s="109" t="s">
        <v>1956</v>
      </c>
      <c r="B241" s="110" t="s">
        <v>1952</v>
      </c>
      <c r="C241" s="110" t="s">
        <v>1953</v>
      </c>
      <c r="D241" s="111" t="s">
        <v>1957</v>
      </c>
      <c r="E241" s="111" t="s">
        <v>1958</v>
      </c>
      <c r="F241" s="109" t="s">
        <v>344</v>
      </c>
      <c r="G241" s="112">
        <v>46300</v>
      </c>
      <c r="H241" s="109" t="s">
        <v>4</v>
      </c>
      <c r="I241" s="109" t="s">
        <v>346</v>
      </c>
      <c r="J241" s="109"/>
      <c r="K241" s="109"/>
      <c r="L241" s="109" t="s">
        <v>346</v>
      </c>
      <c r="M241" s="109"/>
      <c r="N241" s="109"/>
      <c r="O241" s="113"/>
    </row>
    <row r="242" spans="1:15" ht="70.05" customHeight="1" outlineLevel="1">
      <c r="A242" s="109" t="s">
        <v>1959</v>
      </c>
      <c r="B242" s="110" t="s">
        <v>1952</v>
      </c>
      <c r="C242" s="110" t="s">
        <v>1953</v>
      </c>
      <c r="D242" s="111" t="s">
        <v>1960</v>
      </c>
      <c r="E242" s="111" t="s">
        <v>1961</v>
      </c>
      <c r="F242" s="109" t="s">
        <v>344</v>
      </c>
      <c r="G242" s="112">
        <v>46300</v>
      </c>
      <c r="H242" s="109" t="s">
        <v>4</v>
      </c>
      <c r="I242" s="109" t="s">
        <v>346</v>
      </c>
      <c r="J242" s="109"/>
      <c r="K242" s="109"/>
      <c r="L242" s="109" t="s">
        <v>346</v>
      </c>
      <c r="M242" s="109"/>
      <c r="N242" s="109"/>
      <c r="O242" s="113"/>
    </row>
    <row r="243" spans="1:15" ht="70.05" customHeight="1" outlineLevel="1">
      <c r="A243" s="109" t="s">
        <v>1962</v>
      </c>
      <c r="B243" s="110" t="s">
        <v>1952</v>
      </c>
      <c r="C243" s="110" t="s">
        <v>1953</v>
      </c>
      <c r="D243" s="111" t="s">
        <v>1963</v>
      </c>
      <c r="E243" s="111" t="s">
        <v>1964</v>
      </c>
      <c r="F243" s="109" t="s">
        <v>344</v>
      </c>
      <c r="G243" s="112">
        <v>46300</v>
      </c>
      <c r="H243" s="109" t="s">
        <v>4</v>
      </c>
      <c r="I243" s="109" t="s">
        <v>346</v>
      </c>
      <c r="J243" s="109"/>
      <c r="K243" s="109"/>
      <c r="L243" s="109" t="s">
        <v>346</v>
      </c>
      <c r="M243" s="109"/>
      <c r="N243" s="109"/>
      <c r="O243" s="113"/>
    </row>
    <row r="244" spans="1:15" ht="70.05" customHeight="1" outlineLevel="1">
      <c r="A244" s="109" t="s">
        <v>1965</v>
      </c>
      <c r="B244" s="110" t="s">
        <v>1952</v>
      </c>
      <c r="C244" s="110" t="s">
        <v>1953</v>
      </c>
      <c r="D244" s="111" t="s">
        <v>1966</v>
      </c>
      <c r="E244" s="111" t="s">
        <v>1967</v>
      </c>
      <c r="F244" s="109" t="s">
        <v>344</v>
      </c>
      <c r="G244" s="112">
        <v>46300</v>
      </c>
      <c r="H244" s="109" t="s">
        <v>4</v>
      </c>
      <c r="I244" s="109" t="s">
        <v>346</v>
      </c>
      <c r="J244" s="109"/>
      <c r="K244" s="109"/>
      <c r="L244" s="109" t="s">
        <v>346</v>
      </c>
      <c r="M244" s="109"/>
      <c r="N244" s="109"/>
      <c r="O244" s="113"/>
    </row>
    <row r="245" spans="1:15" ht="70.05" customHeight="1" outlineLevel="1">
      <c r="A245" s="109" t="s">
        <v>1968</v>
      </c>
      <c r="B245" s="110" t="s">
        <v>1969</v>
      </c>
      <c r="C245" s="110" t="s">
        <v>1970</v>
      </c>
      <c r="D245" s="111" t="s">
        <v>1971</v>
      </c>
      <c r="E245" s="111" t="s">
        <v>1813</v>
      </c>
      <c r="F245" s="109" t="s">
        <v>344</v>
      </c>
      <c r="G245" s="112">
        <v>46300</v>
      </c>
      <c r="H245" s="109" t="s">
        <v>4</v>
      </c>
      <c r="I245" s="109" t="s">
        <v>346</v>
      </c>
      <c r="J245" s="109"/>
      <c r="K245" s="109"/>
      <c r="L245" s="109" t="s">
        <v>346</v>
      </c>
      <c r="M245" s="109"/>
      <c r="N245" s="109"/>
      <c r="O245" s="113"/>
    </row>
    <row r="246" spans="1:15" ht="70.05" customHeight="1" outlineLevel="1">
      <c r="A246" s="109" t="s">
        <v>1972</v>
      </c>
      <c r="B246" s="110" t="s">
        <v>1973</v>
      </c>
      <c r="C246" s="110" t="s">
        <v>1953</v>
      </c>
      <c r="D246" s="111" t="s">
        <v>1971</v>
      </c>
      <c r="E246" s="111" t="s">
        <v>1974</v>
      </c>
      <c r="F246" s="109" t="s">
        <v>344</v>
      </c>
      <c r="G246" s="112">
        <v>46300</v>
      </c>
      <c r="H246" s="109" t="s">
        <v>4</v>
      </c>
      <c r="I246" s="109" t="s">
        <v>346</v>
      </c>
      <c r="J246" s="109"/>
      <c r="K246" s="109"/>
      <c r="L246" s="109" t="s">
        <v>346</v>
      </c>
      <c r="M246" s="109"/>
      <c r="N246" s="109"/>
      <c r="O246" s="113"/>
    </row>
    <row r="247" spans="1:15" ht="70.05" customHeight="1" outlineLevel="1">
      <c r="A247" s="109" t="s">
        <v>1975</v>
      </c>
      <c r="B247" s="110" t="s">
        <v>1973</v>
      </c>
      <c r="C247" s="110" t="s">
        <v>1953</v>
      </c>
      <c r="D247" s="111" t="s">
        <v>1971</v>
      </c>
      <c r="E247" s="111" t="s">
        <v>1976</v>
      </c>
      <c r="F247" s="109" t="s">
        <v>344</v>
      </c>
      <c r="G247" s="112">
        <v>46300</v>
      </c>
      <c r="H247" s="109" t="s">
        <v>4</v>
      </c>
      <c r="I247" s="109" t="s">
        <v>346</v>
      </c>
      <c r="J247" s="109"/>
      <c r="K247" s="109"/>
      <c r="L247" s="109" t="s">
        <v>346</v>
      </c>
      <c r="M247" s="109"/>
      <c r="N247" s="109"/>
      <c r="O247" s="113"/>
    </row>
    <row r="248" spans="1:15" ht="70.05" customHeight="1" outlineLevel="1">
      <c r="A248" s="109" t="s">
        <v>1977</v>
      </c>
      <c r="B248" s="110" t="s">
        <v>1973</v>
      </c>
      <c r="C248" s="110" t="s">
        <v>1953</v>
      </c>
      <c r="D248" s="111" t="s">
        <v>1978</v>
      </c>
      <c r="E248" s="111" t="s">
        <v>1979</v>
      </c>
      <c r="F248" s="109" t="s">
        <v>344</v>
      </c>
      <c r="G248" s="112">
        <v>46300</v>
      </c>
      <c r="H248" s="109" t="s">
        <v>4</v>
      </c>
      <c r="I248" s="109" t="s">
        <v>346</v>
      </c>
      <c r="J248" s="109"/>
      <c r="K248" s="109"/>
      <c r="L248" s="109" t="s">
        <v>346</v>
      </c>
      <c r="M248" s="109"/>
      <c r="N248" s="109"/>
      <c r="O248" s="113"/>
    </row>
    <row r="249" spans="1:15" ht="70.05" customHeight="1" outlineLevel="1">
      <c r="A249" s="109" t="s">
        <v>1980</v>
      </c>
      <c r="B249" s="110" t="s">
        <v>1981</v>
      </c>
      <c r="C249" s="110" t="s">
        <v>1982</v>
      </c>
      <c r="D249" s="111" t="s">
        <v>1611</v>
      </c>
      <c r="E249" s="111" t="s">
        <v>417</v>
      </c>
      <c r="F249" s="109" t="s">
        <v>344</v>
      </c>
      <c r="G249" s="112">
        <v>46300</v>
      </c>
      <c r="H249" s="109" t="s">
        <v>4</v>
      </c>
      <c r="I249" s="109" t="s">
        <v>346</v>
      </c>
      <c r="J249" s="109"/>
      <c r="K249" s="109"/>
      <c r="L249" s="109" t="s">
        <v>346</v>
      </c>
      <c r="M249" s="109"/>
      <c r="N249" s="109"/>
      <c r="O249" s="113"/>
    </row>
    <row r="250" spans="1:15" ht="70.05" customHeight="1" outlineLevel="1">
      <c r="A250" s="109" t="s">
        <v>1983</v>
      </c>
      <c r="B250" s="110" t="s">
        <v>1984</v>
      </c>
      <c r="C250" s="110" t="s">
        <v>1985</v>
      </c>
      <c r="D250" s="111" t="s">
        <v>1611</v>
      </c>
      <c r="E250" s="111" t="s">
        <v>417</v>
      </c>
      <c r="F250" s="109" t="s">
        <v>344</v>
      </c>
      <c r="G250" s="112">
        <v>46300</v>
      </c>
      <c r="H250" s="109" t="s">
        <v>4</v>
      </c>
      <c r="I250" s="109" t="s">
        <v>346</v>
      </c>
      <c r="J250" s="109"/>
      <c r="K250" s="109"/>
      <c r="L250" s="109" t="s">
        <v>346</v>
      </c>
      <c r="M250" s="109"/>
      <c r="N250" s="109"/>
      <c r="O250" s="113"/>
    </row>
    <row r="251" spans="1:15" ht="70.05" customHeight="1" outlineLevel="1">
      <c r="A251" s="109" t="s">
        <v>1986</v>
      </c>
      <c r="B251" s="110" t="s">
        <v>1987</v>
      </c>
      <c r="C251" s="110" t="s">
        <v>1953</v>
      </c>
      <c r="D251" s="111" t="s">
        <v>1611</v>
      </c>
      <c r="E251" s="111" t="s">
        <v>1988</v>
      </c>
      <c r="F251" s="109" t="s">
        <v>344</v>
      </c>
      <c r="G251" s="112">
        <v>46300</v>
      </c>
      <c r="H251" s="109" t="s">
        <v>4</v>
      </c>
      <c r="I251" s="109" t="s">
        <v>346</v>
      </c>
      <c r="J251" s="109"/>
      <c r="K251" s="109"/>
      <c r="L251" s="109" t="s">
        <v>346</v>
      </c>
      <c r="M251" s="109"/>
      <c r="N251" s="109"/>
      <c r="O251" s="113"/>
    </row>
    <row r="252" spans="1:15" ht="70.05" customHeight="1" outlineLevel="1">
      <c r="A252" s="109" t="s">
        <v>1989</v>
      </c>
      <c r="B252" s="110" t="s">
        <v>1990</v>
      </c>
      <c r="C252" s="110" t="s">
        <v>1991</v>
      </c>
      <c r="D252" s="111" t="s">
        <v>1845</v>
      </c>
      <c r="E252" s="111" t="s">
        <v>1846</v>
      </c>
      <c r="F252" s="109" t="s">
        <v>344</v>
      </c>
      <c r="G252" s="112">
        <v>46300</v>
      </c>
      <c r="H252" s="109" t="s">
        <v>4</v>
      </c>
      <c r="I252" s="109" t="s">
        <v>346</v>
      </c>
      <c r="J252" s="109"/>
      <c r="K252" s="109"/>
      <c r="L252" s="109" t="s">
        <v>346</v>
      </c>
      <c r="M252" s="109"/>
      <c r="N252" s="109"/>
      <c r="O252" s="113"/>
    </row>
    <row r="253" spans="1:15" ht="70.05" customHeight="1" outlineLevel="1">
      <c r="A253" s="109" t="s">
        <v>1992</v>
      </c>
      <c r="B253" s="110" t="s">
        <v>1993</v>
      </c>
      <c r="C253" s="110" t="s">
        <v>1994</v>
      </c>
      <c r="D253" s="111" t="s">
        <v>1845</v>
      </c>
      <c r="E253" s="111" t="s">
        <v>1995</v>
      </c>
      <c r="F253" s="109" t="s">
        <v>344</v>
      </c>
      <c r="G253" s="112">
        <v>46300</v>
      </c>
      <c r="H253" s="109" t="s">
        <v>4</v>
      </c>
      <c r="I253" s="109" t="s">
        <v>346</v>
      </c>
      <c r="J253" s="109"/>
      <c r="K253" s="109"/>
      <c r="L253" s="109" t="s">
        <v>346</v>
      </c>
      <c r="M253" s="109"/>
      <c r="N253" s="109"/>
      <c r="O253" s="113"/>
    </row>
    <row r="254" spans="1:15" ht="70.05" customHeight="1" outlineLevel="1">
      <c r="A254" s="109" t="s">
        <v>1996</v>
      </c>
      <c r="B254" s="110" t="s">
        <v>1997</v>
      </c>
      <c r="C254" s="110" t="s">
        <v>1998</v>
      </c>
      <c r="D254" s="111" t="s">
        <v>1845</v>
      </c>
      <c r="E254" s="111" t="s">
        <v>1999</v>
      </c>
      <c r="F254" s="109" t="s">
        <v>344</v>
      </c>
      <c r="G254" s="112">
        <v>46300</v>
      </c>
      <c r="H254" s="109" t="s">
        <v>4</v>
      </c>
      <c r="I254" s="109" t="s">
        <v>346</v>
      </c>
      <c r="J254" s="109"/>
      <c r="K254" s="109"/>
      <c r="L254" s="109" t="s">
        <v>346</v>
      </c>
      <c r="M254" s="109"/>
      <c r="N254" s="109"/>
      <c r="O254" s="113"/>
    </row>
    <row r="255" spans="1:15" ht="70.05" customHeight="1" outlineLevel="1">
      <c r="A255" s="109" t="s">
        <v>2000</v>
      </c>
      <c r="B255" s="110" t="s">
        <v>2001</v>
      </c>
      <c r="C255" s="110" t="s">
        <v>2002</v>
      </c>
      <c r="D255" s="111" t="s">
        <v>1845</v>
      </c>
      <c r="E255" s="111" t="s">
        <v>2003</v>
      </c>
      <c r="F255" s="109" t="s">
        <v>344</v>
      </c>
      <c r="G255" s="112">
        <v>46300</v>
      </c>
      <c r="H255" s="109" t="s">
        <v>4</v>
      </c>
      <c r="I255" s="109" t="s">
        <v>346</v>
      </c>
      <c r="J255" s="109"/>
      <c r="K255" s="109"/>
      <c r="L255" s="109" t="s">
        <v>346</v>
      </c>
      <c r="M255" s="109"/>
      <c r="N255" s="109"/>
      <c r="O255" s="113"/>
    </row>
    <row r="256" spans="1:15" ht="15.75" customHeight="1">
      <c r="A256" s="60" t="s">
        <v>101</v>
      </c>
      <c r="B256" s="60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2"/>
    </row>
    <row r="257" spans="1:15" ht="70.05" customHeight="1" outlineLevel="1">
      <c r="A257" s="109" t="s">
        <v>2004</v>
      </c>
      <c r="B257" s="110" t="s">
        <v>2005</v>
      </c>
      <c r="C257" s="110" t="s">
        <v>2006</v>
      </c>
      <c r="D257" s="111" t="s">
        <v>2007</v>
      </c>
      <c r="E257" s="111" t="s">
        <v>2008</v>
      </c>
      <c r="F257" s="109" t="s">
        <v>344</v>
      </c>
      <c r="G257" s="112">
        <v>46300</v>
      </c>
      <c r="H257" s="109" t="s">
        <v>4</v>
      </c>
      <c r="I257" s="109" t="s">
        <v>346</v>
      </c>
      <c r="J257" s="109"/>
      <c r="K257" s="109"/>
      <c r="L257" s="109" t="s">
        <v>346</v>
      </c>
      <c r="M257" s="109"/>
      <c r="N257" s="109"/>
      <c r="O257" s="113"/>
    </row>
    <row r="258" spans="1:15" ht="70.05" customHeight="1" outlineLevel="1">
      <c r="A258" s="109" t="s">
        <v>2009</v>
      </c>
      <c r="B258" s="110" t="s">
        <v>2010</v>
      </c>
      <c r="C258" s="110" t="s">
        <v>2011</v>
      </c>
      <c r="D258" s="111" t="s">
        <v>2012</v>
      </c>
      <c r="E258" s="111" t="s">
        <v>2008</v>
      </c>
      <c r="F258" s="109" t="s">
        <v>344</v>
      </c>
      <c r="G258" s="112">
        <v>46300</v>
      </c>
      <c r="H258" s="109" t="s">
        <v>4</v>
      </c>
      <c r="I258" s="109" t="s">
        <v>346</v>
      </c>
      <c r="J258" s="109"/>
      <c r="K258" s="109"/>
      <c r="L258" s="109" t="s">
        <v>346</v>
      </c>
      <c r="M258" s="109"/>
      <c r="N258" s="109"/>
      <c r="O258" s="113"/>
    </row>
    <row r="259" spans="1:15" ht="70.05" customHeight="1" outlineLevel="1">
      <c r="A259" s="109" t="s">
        <v>2013</v>
      </c>
      <c r="B259" s="110" t="s">
        <v>2014</v>
      </c>
      <c r="C259" s="110" t="s">
        <v>2015</v>
      </c>
      <c r="D259" s="111" t="s">
        <v>2016</v>
      </c>
      <c r="E259" s="111" t="s">
        <v>2008</v>
      </c>
      <c r="F259" s="109" t="s">
        <v>344</v>
      </c>
      <c r="G259" s="112">
        <v>46300</v>
      </c>
      <c r="H259" s="109" t="s">
        <v>4</v>
      </c>
      <c r="I259" s="109" t="s">
        <v>346</v>
      </c>
      <c r="J259" s="109"/>
      <c r="K259" s="109"/>
      <c r="L259" s="109" t="s">
        <v>346</v>
      </c>
      <c r="M259" s="109"/>
      <c r="N259" s="109"/>
      <c r="O259" s="113"/>
    </row>
    <row r="260" spans="1:15" ht="70.05" customHeight="1" outlineLevel="1">
      <c r="A260" s="109" t="s">
        <v>2017</v>
      </c>
      <c r="B260" s="110" t="s">
        <v>2018</v>
      </c>
      <c r="C260" s="110" t="s">
        <v>2019</v>
      </c>
      <c r="D260" s="111" t="s">
        <v>2020</v>
      </c>
      <c r="E260" s="111" t="s">
        <v>2008</v>
      </c>
      <c r="F260" s="109" t="s">
        <v>344</v>
      </c>
      <c r="G260" s="112">
        <v>46300</v>
      </c>
      <c r="H260" s="109" t="s">
        <v>4</v>
      </c>
      <c r="I260" s="109" t="s">
        <v>346</v>
      </c>
      <c r="J260" s="109"/>
      <c r="K260" s="109"/>
      <c r="L260" s="109" t="s">
        <v>346</v>
      </c>
      <c r="M260" s="109"/>
      <c r="N260" s="109"/>
      <c r="O260" s="113"/>
    </row>
    <row r="261" spans="1:15" ht="70.05" customHeight="1" outlineLevel="1">
      <c r="A261" s="109" t="s">
        <v>2021</v>
      </c>
      <c r="B261" s="110" t="s">
        <v>2022</v>
      </c>
      <c r="C261" s="110" t="s">
        <v>2023</v>
      </c>
      <c r="D261" s="111" t="s">
        <v>2024</v>
      </c>
      <c r="E261" s="111" t="s">
        <v>2008</v>
      </c>
      <c r="F261" s="109" t="s">
        <v>344</v>
      </c>
      <c r="G261" s="112">
        <v>46300</v>
      </c>
      <c r="H261" s="109" t="s">
        <v>4</v>
      </c>
      <c r="I261" s="109" t="s">
        <v>346</v>
      </c>
      <c r="J261" s="109"/>
      <c r="K261" s="109"/>
      <c r="L261" s="109" t="s">
        <v>346</v>
      </c>
      <c r="M261" s="109"/>
      <c r="N261" s="109"/>
      <c r="O261" s="113"/>
    </row>
    <row r="262" spans="1:15" ht="70.05" customHeight="1" outlineLevel="1">
      <c r="A262" s="109" t="s">
        <v>2025</v>
      </c>
      <c r="B262" s="110" t="s">
        <v>2026</v>
      </c>
      <c r="C262" s="110" t="s">
        <v>2027</v>
      </c>
      <c r="D262" s="111" t="s">
        <v>2028</v>
      </c>
      <c r="E262" s="111" t="s">
        <v>2008</v>
      </c>
      <c r="F262" s="109" t="s">
        <v>344</v>
      </c>
      <c r="G262" s="112">
        <v>46300</v>
      </c>
      <c r="H262" s="109" t="s">
        <v>4</v>
      </c>
      <c r="I262" s="109" t="s">
        <v>346</v>
      </c>
      <c r="J262" s="109"/>
      <c r="K262" s="109"/>
      <c r="L262" s="109" t="s">
        <v>346</v>
      </c>
      <c r="M262" s="109"/>
      <c r="N262" s="109"/>
      <c r="O262" s="113"/>
    </row>
    <row r="263" spans="1:15" ht="70.05" customHeight="1" outlineLevel="1">
      <c r="A263" s="109" t="s">
        <v>2029</v>
      </c>
      <c r="B263" s="110" t="s">
        <v>2030</v>
      </c>
      <c r="C263" s="110" t="s">
        <v>2031</v>
      </c>
      <c r="D263" s="111" t="s">
        <v>2032</v>
      </c>
      <c r="E263" s="111" t="s">
        <v>2008</v>
      </c>
      <c r="F263" s="109" t="s">
        <v>344</v>
      </c>
      <c r="G263" s="112">
        <v>46300</v>
      </c>
      <c r="H263" s="109" t="s">
        <v>4</v>
      </c>
      <c r="I263" s="109" t="s">
        <v>346</v>
      </c>
      <c r="J263" s="109"/>
      <c r="K263" s="109"/>
      <c r="L263" s="109" t="s">
        <v>346</v>
      </c>
      <c r="M263" s="109"/>
      <c r="N263" s="109"/>
      <c r="O263" s="113"/>
    </row>
    <row r="264" spans="1:15" ht="70.05" customHeight="1" outlineLevel="1">
      <c r="A264" s="109" t="s">
        <v>2033</v>
      </c>
      <c r="B264" s="110" t="s">
        <v>2034</v>
      </c>
      <c r="C264" s="110" t="s">
        <v>2035</v>
      </c>
      <c r="D264" s="111" t="s">
        <v>2036</v>
      </c>
      <c r="E264" s="111" t="s">
        <v>2037</v>
      </c>
      <c r="F264" s="109" t="s">
        <v>344</v>
      </c>
      <c r="G264" s="112">
        <v>46300</v>
      </c>
      <c r="H264" s="109" t="s">
        <v>4</v>
      </c>
      <c r="I264" s="109" t="s">
        <v>346</v>
      </c>
      <c r="J264" s="109"/>
      <c r="K264" s="109"/>
      <c r="L264" s="109" t="s">
        <v>346</v>
      </c>
      <c r="M264" s="109"/>
      <c r="N264" s="109"/>
      <c r="O264" s="113"/>
    </row>
    <row r="265" spans="1:15" ht="70.05" customHeight="1" outlineLevel="1">
      <c r="A265" s="109" t="s">
        <v>2038</v>
      </c>
      <c r="B265" s="110" t="s">
        <v>2039</v>
      </c>
      <c r="C265" s="110" t="s">
        <v>2040</v>
      </c>
      <c r="D265" s="111" t="s">
        <v>2041</v>
      </c>
      <c r="E265" s="111" t="s">
        <v>2042</v>
      </c>
      <c r="F265" s="109" t="s">
        <v>344</v>
      </c>
      <c r="G265" s="112">
        <v>46300</v>
      </c>
      <c r="H265" s="109" t="s">
        <v>4</v>
      </c>
      <c r="I265" s="109" t="s">
        <v>346</v>
      </c>
      <c r="J265" s="109"/>
      <c r="K265" s="109"/>
      <c r="L265" s="109" t="s">
        <v>346</v>
      </c>
      <c r="M265" s="109"/>
      <c r="N265" s="109"/>
      <c r="O265" s="113"/>
    </row>
    <row r="266" spans="1:15" ht="70.05" customHeight="1" outlineLevel="1">
      <c r="A266" s="109" t="s">
        <v>2043</v>
      </c>
      <c r="B266" s="110" t="s">
        <v>2044</v>
      </c>
      <c r="C266" s="110" t="s">
        <v>2045</v>
      </c>
      <c r="D266" s="111" t="s">
        <v>2046</v>
      </c>
      <c r="E266" s="111" t="s">
        <v>2008</v>
      </c>
      <c r="F266" s="109" t="s">
        <v>344</v>
      </c>
      <c r="G266" s="112">
        <v>46300</v>
      </c>
      <c r="H266" s="109" t="s">
        <v>4</v>
      </c>
      <c r="I266" s="109" t="s">
        <v>346</v>
      </c>
      <c r="J266" s="109"/>
      <c r="K266" s="109"/>
      <c r="L266" s="109" t="s">
        <v>346</v>
      </c>
      <c r="M266" s="109"/>
      <c r="N266" s="109"/>
      <c r="O266" s="113"/>
    </row>
    <row r="267" spans="1:15" ht="70.05" customHeight="1" outlineLevel="1">
      <c r="A267" s="109" t="s">
        <v>2047</v>
      </c>
      <c r="B267" s="110" t="s">
        <v>2048</v>
      </c>
      <c r="C267" s="110" t="s">
        <v>2049</v>
      </c>
      <c r="D267" s="111" t="s">
        <v>2050</v>
      </c>
      <c r="E267" s="111" t="s">
        <v>2008</v>
      </c>
      <c r="F267" s="109" t="s">
        <v>344</v>
      </c>
      <c r="G267" s="112">
        <v>46300</v>
      </c>
      <c r="H267" s="109" t="s">
        <v>4</v>
      </c>
      <c r="I267" s="109" t="s">
        <v>346</v>
      </c>
      <c r="J267" s="109"/>
      <c r="K267" s="109"/>
      <c r="L267" s="109" t="s">
        <v>346</v>
      </c>
      <c r="M267" s="109"/>
      <c r="N267" s="109"/>
      <c r="O267" s="113"/>
    </row>
    <row r="268" spans="1:15" ht="70.05" customHeight="1" outlineLevel="1">
      <c r="A268" s="109" t="s">
        <v>2051</v>
      </c>
      <c r="B268" s="110" t="s">
        <v>2052</v>
      </c>
      <c r="C268" s="110" t="s">
        <v>2053</v>
      </c>
      <c r="D268" s="111" t="s">
        <v>1889</v>
      </c>
      <c r="E268" s="111" t="s">
        <v>2008</v>
      </c>
      <c r="F268" s="109" t="s">
        <v>344</v>
      </c>
      <c r="G268" s="112">
        <v>46300</v>
      </c>
      <c r="H268" s="109" t="s">
        <v>4</v>
      </c>
      <c r="I268" s="109" t="s">
        <v>346</v>
      </c>
      <c r="J268" s="109"/>
      <c r="K268" s="109"/>
      <c r="L268" s="109" t="s">
        <v>346</v>
      </c>
      <c r="M268" s="109"/>
      <c r="N268" s="109"/>
      <c r="O268" s="113"/>
    </row>
    <row r="269" spans="1:15" ht="70.05" customHeight="1" outlineLevel="1">
      <c r="A269" s="109" t="s">
        <v>2054</v>
      </c>
      <c r="B269" s="110" t="s">
        <v>2055</v>
      </c>
      <c r="C269" s="110" t="s">
        <v>2056</v>
      </c>
      <c r="D269" s="111" t="s">
        <v>2057</v>
      </c>
      <c r="E269" s="111" t="s">
        <v>2008</v>
      </c>
      <c r="F269" s="109" t="s">
        <v>344</v>
      </c>
      <c r="G269" s="112">
        <v>46300</v>
      </c>
      <c r="H269" s="109" t="s">
        <v>4</v>
      </c>
      <c r="I269" s="109" t="s">
        <v>346</v>
      </c>
      <c r="J269" s="109"/>
      <c r="K269" s="109"/>
      <c r="L269" s="109" t="s">
        <v>346</v>
      </c>
      <c r="M269" s="109"/>
      <c r="N269" s="109"/>
      <c r="O269" s="113"/>
    </row>
    <row r="270" spans="1:15" ht="70.05" customHeight="1" outlineLevel="1">
      <c r="A270" s="109" t="s">
        <v>2058</v>
      </c>
      <c r="B270" s="110" t="s">
        <v>2059</v>
      </c>
      <c r="C270" s="110" t="s">
        <v>2035</v>
      </c>
      <c r="D270" s="111" t="s">
        <v>2060</v>
      </c>
      <c r="E270" s="111" t="s">
        <v>2061</v>
      </c>
      <c r="F270" s="109" t="s">
        <v>344</v>
      </c>
      <c r="G270" s="112">
        <v>46300</v>
      </c>
      <c r="H270" s="109" t="s">
        <v>4</v>
      </c>
      <c r="I270" s="109" t="s">
        <v>346</v>
      </c>
      <c r="J270" s="109"/>
      <c r="K270" s="109"/>
      <c r="L270" s="109" t="s">
        <v>346</v>
      </c>
      <c r="M270" s="109"/>
      <c r="N270" s="109"/>
      <c r="O270" s="113"/>
    </row>
    <row r="271" spans="1:15" ht="70.05" customHeight="1" outlineLevel="1">
      <c r="A271" s="109" t="s">
        <v>2062</v>
      </c>
      <c r="B271" s="110" t="s">
        <v>2063</v>
      </c>
      <c r="C271" s="110" t="s">
        <v>2064</v>
      </c>
      <c r="D271" s="111" t="s">
        <v>1611</v>
      </c>
      <c r="E271" s="111" t="s">
        <v>2008</v>
      </c>
      <c r="F271" s="109" t="s">
        <v>344</v>
      </c>
      <c r="G271" s="112">
        <v>46300</v>
      </c>
      <c r="H271" s="109" t="s">
        <v>4</v>
      </c>
      <c r="I271" s="109" t="s">
        <v>346</v>
      </c>
      <c r="J271" s="109"/>
      <c r="K271" s="109"/>
      <c r="L271" s="109" t="s">
        <v>346</v>
      </c>
      <c r="M271" s="109"/>
      <c r="N271" s="109"/>
      <c r="O271" s="113"/>
    </row>
    <row r="272" spans="1:15" ht="70.05" customHeight="1" outlineLevel="1">
      <c r="A272" s="109" t="s">
        <v>2065</v>
      </c>
      <c r="B272" s="110" t="s">
        <v>2066</v>
      </c>
      <c r="C272" s="110" t="s">
        <v>2031</v>
      </c>
      <c r="D272" s="111" t="s">
        <v>1611</v>
      </c>
      <c r="E272" s="111" t="s">
        <v>1988</v>
      </c>
      <c r="F272" s="109" t="s">
        <v>344</v>
      </c>
      <c r="G272" s="112">
        <v>46300</v>
      </c>
      <c r="H272" s="109" t="s">
        <v>4</v>
      </c>
      <c r="I272" s="109" t="s">
        <v>346</v>
      </c>
      <c r="J272" s="109"/>
      <c r="K272" s="109"/>
      <c r="L272" s="109" t="s">
        <v>346</v>
      </c>
      <c r="M272" s="109"/>
      <c r="N272" s="109"/>
      <c r="O272" s="113"/>
    </row>
    <row r="273" spans="1:15" ht="70.05" customHeight="1" outlineLevel="1">
      <c r="A273" s="109" t="s">
        <v>2067</v>
      </c>
      <c r="B273" s="110" t="s">
        <v>2068</v>
      </c>
      <c r="C273" s="110" t="s">
        <v>2069</v>
      </c>
      <c r="D273" s="111" t="s">
        <v>2070</v>
      </c>
      <c r="E273" s="111" t="s">
        <v>2071</v>
      </c>
      <c r="F273" s="109" t="s">
        <v>344</v>
      </c>
      <c r="G273" s="112">
        <v>46300</v>
      </c>
      <c r="H273" s="109" t="s">
        <v>4</v>
      </c>
      <c r="I273" s="109" t="s">
        <v>346</v>
      </c>
      <c r="J273" s="109"/>
      <c r="K273" s="109"/>
      <c r="L273" s="109" t="s">
        <v>346</v>
      </c>
      <c r="M273" s="109"/>
      <c r="N273" s="109"/>
      <c r="O273" s="113"/>
    </row>
    <row r="274" spans="1:15" ht="70.05" customHeight="1" outlineLevel="1">
      <c r="A274" s="109" t="s">
        <v>2072</v>
      </c>
      <c r="B274" s="110" t="s">
        <v>2068</v>
      </c>
      <c r="C274" s="110" t="s">
        <v>2069</v>
      </c>
      <c r="D274" s="111" t="s">
        <v>2070</v>
      </c>
      <c r="E274" s="111" t="s">
        <v>2073</v>
      </c>
      <c r="F274" s="109" t="s">
        <v>344</v>
      </c>
      <c r="G274" s="112">
        <v>46300</v>
      </c>
      <c r="H274" s="109" t="s">
        <v>4</v>
      </c>
      <c r="I274" s="109" t="s">
        <v>346</v>
      </c>
      <c r="J274" s="109"/>
      <c r="K274" s="109"/>
      <c r="L274" s="109" t="s">
        <v>346</v>
      </c>
      <c r="M274" s="109"/>
      <c r="N274" s="109"/>
      <c r="O274" s="113"/>
    </row>
    <row r="275" spans="1:15" ht="70.05" customHeight="1" outlineLevel="1">
      <c r="A275" s="109" t="s">
        <v>2074</v>
      </c>
      <c r="B275" s="110" t="s">
        <v>2068</v>
      </c>
      <c r="C275" s="110" t="s">
        <v>2069</v>
      </c>
      <c r="D275" s="111" t="s">
        <v>2070</v>
      </c>
      <c r="E275" s="111" t="s">
        <v>2075</v>
      </c>
      <c r="F275" s="109" t="s">
        <v>344</v>
      </c>
      <c r="G275" s="112">
        <v>46300</v>
      </c>
      <c r="H275" s="109" t="s">
        <v>4</v>
      </c>
      <c r="I275" s="109" t="s">
        <v>346</v>
      </c>
      <c r="J275" s="109"/>
      <c r="K275" s="109"/>
      <c r="L275" s="109" t="s">
        <v>346</v>
      </c>
      <c r="M275" s="109"/>
      <c r="N275" s="109"/>
      <c r="O275" s="113"/>
    </row>
    <row r="276" spans="1:15" ht="70.05" customHeight="1" outlineLevel="1">
      <c r="A276" s="109" t="s">
        <v>2076</v>
      </c>
      <c r="B276" s="110" t="s">
        <v>2077</v>
      </c>
      <c r="C276" s="110" t="s">
        <v>2078</v>
      </c>
      <c r="D276" s="111" t="s">
        <v>2079</v>
      </c>
      <c r="E276" s="111" t="s">
        <v>2008</v>
      </c>
      <c r="F276" s="109" t="s">
        <v>344</v>
      </c>
      <c r="G276" s="112">
        <v>46300</v>
      </c>
      <c r="H276" s="109" t="s">
        <v>4</v>
      </c>
      <c r="I276" s="109" t="s">
        <v>346</v>
      </c>
      <c r="J276" s="109"/>
      <c r="K276" s="109"/>
      <c r="L276" s="109" t="s">
        <v>346</v>
      </c>
      <c r="M276" s="109"/>
      <c r="N276" s="109"/>
      <c r="O276" s="113"/>
    </row>
    <row r="277" spans="1:15" ht="70.05" customHeight="1" outlineLevel="1">
      <c r="A277" s="109" t="s">
        <v>2080</v>
      </c>
      <c r="B277" s="110" t="s">
        <v>2081</v>
      </c>
      <c r="C277" s="110" t="s">
        <v>2082</v>
      </c>
      <c r="D277" s="111" t="s">
        <v>2083</v>
      </c>
      <c r="E277" s="111" t="s">
        <v>2008</v>
      </c>
      <c r="F277" s="109" t="s">
        <v>344</v>
      </c>
      <c r="G277" s="112">
        <v>46300</v>
      </c>
      <c r="H277" s="109" t="s">
        <v>4</v>
      </c>
      <c r="I277" s="109" t="s">
        <v>346</v>
      </c>
      <c r="J277" s="109"/>
      <c r="K277" s="109"/>
      <c r="L277" s="109" t="s">
        <v>346</v>
      </c>
      <c r="M277" s="109"/>
      <c r="N277" s="109"/>
      <c r="O277" s="113"/>
    </row>
    <row r="278" spans="1:15" ht="15.75" customHeight="1">
      <c r="A278" s="60" t="s">
        <v>104</v>
      </c>
      <c r="B278" s="60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2"/>
    </row>
    <row r="279" spans="1:15" ht="70.05" customHeight="1" outlineLevel="1">
      <c r="A279" s="109" t="s">
        <v>2084</v>
      </c>
      <c r="B279" s="110" t="s">
        <v>2085</v>
      </c>
      <c r="C279" s="110" t="s">
        <v>2086</v>
      </c>
      <c r="D279" s="111" t="s">
        <v>2087</v>
      </c>
      <c r="E279" s="111" t="s">
        <v>2088</v>
      </c>
      <c r="F279" s="109" t="s">
        <v>344</v>
      </c>
      <c r="G279" s="112">
        <v>46300</v>
      </c>
      <c r="H279" s="109" t="s">
        <v>4</v>
      </c>
      <c r="I279" s="109" t="s">
        <v>346</v>
      </c>
      <c r="J279" s="109"/>
      <c r="K279" s="109"/>
      <c r="L279" s="109" t="s">
        <v>346</v>
      </c>
      <c r="M279" s="109"/>
      <c r="N279" s="109"/>
      <c r="O279" s="113"/>
    </row>
    <row r="280" spans="1:15" ht="70.05" customHeight="1" outlineLevel="1">
      <c r="A280" s="109" t="s">
        <v>2089</v>
      </c>
      <c r="B280" s="110" t="s">
        <v>2085</v>
      </c>
      <c r="C280" s="110" t="s">
        <v>2086</v>
      </c>
      <c r="D280" s="111" t="s">
        <v>2090</v>
      </c>
      <c r="E280" s="111" t="s">
        <v>2091</v>
      </c>
      <c r="F280" s="109" t="s">
        <v>344</v>
      </c>
      <c r="G280" s="112">
        <v>46300</v>
      </c>
      <c r="H280" s="109" t="s">
        <v>4</v>
      </c>
      <c r="I280" s="109" t="s">
        <v>346</v>
      </c>
      <c r="J280" s="109"/>
      <c r="K280" s="109"/>
      <c r="L280" s="109" t="s">
        <v>346</v>
      </c>
      <c r="M280" s="109"/>
      <c r="N280" s="109"/>
      <c r="O280" s="113"/>
    </row>
    <row r="281" spans="1:15" ht="70.05" customHeight="1" outlineLevel="1">
      <c r="A281" s="109" t="s">
        <v>2092</v>
      </c>
      <c r="B281" s="110" t="s">
        <v>2085</v>
      </c>
      <c r="C281" s="110" t="s">
        <v>2086</v>
      </c>
      <c r="D281" s="111" t="s">
        <v>2093</v>
      </c>
      <c r="E281" s="111" t="s">
        <v>2094</v>
      </c>
      <c r="F281" s="109" t="s">
        <v>344</v>
      </c>
      <c r="G281" s="112">
        <v>46300</v>
      </c>
      <c r="H281" s="109" t="s">
        <v>4</v>
      </c>
      <c r="I281" s="109" t="s">
        <v>346</v>
      </c>
      <c r="J281" s="109"/>
      <c r="K281" s="109"/>
      <c r="L281" s="109" t="s">
        <v>346</v>
      </c>
      <c r="M281" s="109"/>
      <c r="N281" s="109"/>
      <c r="O281" s="113"/>
    </row>
    <row r="282" spans="1:15" ht="70.05" customHeight="1" outlineLevel="1">
      <c r="A282" s="109" t="s">
        <v>2095</v>
      </c>
      <c r="B282" s="110" t="s">
        <v>2096</v>
      </c>
      <c r="C282" s="110" t="s">
        <v>2097</v>
      </c>
      <c r="D282" s="111" t="s">
        <v>2098</v>
      </c>
      <c r="E282" s="111" t="s">
        <v>2088</v>
      </c>
      <c r="F282" s="109" t="s">
        <v>344</v>
      </c>
      <c r="G282" s="112">
        <v>46300</v>
      </c>
      <c r="H282" s="109" t="s">
        <v>4</v>
      </c>
      <c r="I282" s="109" t="s">
        <v>346</v>
      </c>
      <c r="J282" s="109"/>
      <c r="K282" s="109"/>
      <c r="L282" s="109" t="s">
        <v>346</v>
      </c>
      <c r="M282" s="109"/>
      <c r="N282" s="109"/>
      <c r="O282" s="113"/>
    </row>
    <row r="283" spans="1:15" ht="70.05" customHeight="1" outlineLevel="1">
      <c r="A283" s="109" t="s">
        <v>2099</v>
      </c>
      <c r="B283" s="110" t="s">
        <v>2100</v>
      </c>
      <c r="C283" s="110" t="s">
        <v>2101</v>
      </c>
      <c r="D283" s="111" t="s">
        <v>2102</v>
      </c>
      <c r="E283" s="111" t="s">
        <v>2103</v>
      </c>
      <c r="F283" s="109" t="s">
        <v>344</v>
      </c>
      <c r="G283" s="112">
        <v>46300</v>
      </c>
      <c r="H283" s="109" t="s">
        <v>4</v>
      </c>
      <c r="I283" s="109" t="s">
        <v>346</v>
      </c>
      <c r="J283" s="109"/>
      <c r="K283" s="109"/>
      <c r="L283" s="109" t="s">
        <v>346</v>
      </c>
      <c r="M283" s="109"/>
      <c r="N283" s="109"/>
      <c r="O283" s="113"/>
    </row>
    <row r="284" spans="1:15" ht="70.05" customHeight="1" outlineLevel="1">
      <c r="A284" s="109" t="s">
        <v>2104</v>
      </c>
      <c r="B284" s="110" t="s">
        <v>2100</v>
      </c>
      <c r="C284" s="110" t="s">
        <v>2101</v>
      </c>
      <c r="D284" s="111" t="s">
        <v>2105</v>
      </c>
      <c r="E284" s="111" t="s">
        <v>2106</v>
      </c>
      <c r="F284" s="109" t="s">
        <v>344</v>
      </c>
      <c r="G284" s="112">
        <v>46300</v>
      </c>
      <c r="H284" s="109" t="s">
        <v>4</v>
      </c>
      <c r="I284" s="109" t="s">
        <v>346</v>
      </c>
      <c r="J284" s="109"/>
      <c r="K284" s="109"/>
      <c r="L284" s="109" t="s">
        <v>346</v>
      </c>
      <c r="M284" s="109"/>
      <c r="N284" s="109"/>
      <c r="O284" s="113"/>
    </row>
    <row r="285" spans="1:15" ht="70.05" customHeight="1" outlineLevel="1">
      <c r="A285" s="109" t="s">
        <v>2107</v>
      </c>
      <c r="B285" s="110" t="s">
        <v>2085</v>
      </c>
      <c r="C285" s="110" t="s">
        <v>2086</v>
      </c>
      <c r="D285" s="111" t="s">
        <v>2108</v>
      </c>
      <c r="E285" s="111" t="s">
        <v>2088</v>
      </c>
      <c r="F285" s="109" t="s">
        <v>344</v>
      </c>
      <c r="G285" s="112">
        <v>46300</v>
      </c>
      <c r="H285" s="109" t="s">
        <v>4</v>
      </c>
      <c r="I285" s="109" t="s">
        <v>346</v>
      </c>
      <c r="J285" s="109"/>
      <c r="K285" s="109"/>
      <c r="L285" s="109" t="s">
        <v>346</v>
      </c>
      <c r="M285" s="109"/>
      <c r="N285" s="109"/>
      <c r="O285" s="113"/>
    </row>
    <row r="286" spans="1:15" ht="70.05" customHeight="1" outlineLevel="1">
      <c r="A286" s="109" t="s">
        <v>2109</v>
      </c>
      <c r="B286" s="110" t="s">
        <v>2085</v>
      </c>
      <c r="C286" s="110" t="s">
        <v>2086</v>
      </c>
      <c r="D286" s="111" t="s">
        <v>2110</v>
      </c>
      <c r="E286" s="111" t="s">
        <v>2088</v>
      </c>
      <c r="F286" s="109" t="s">
        <v>344</v>
      </c>
      <c r="G286" s="112">
        <v>46300</v>
      </c>
      <c r="H286" s="109" t="s">
        <v>4</v>
      </c>
      <c r="I286" s="109" t="s">
        <v>346</v>
      </c>
      <c r="J286" s="109"/>
      <c r="K286" s="109"/>
      <c r="L286" s="109" t="s">
        <v>346</v>
      </c>
      <c r="M286" s="109"/>
      <c r="N286" s="109"/>
      <c r="O286" s="113"/>
    </row>
    <row r="287" spans="1:15" ht="70.05" customHeight="1" outlineLevel="1">
      <c r="A287" s="109" t="s">
        <v>2111</v>
      </c>
      <c r="B287" s="110" t="s">
        <v>2112</v>
      </c>
      <c r="C287" s="110" t="s">
        <v>2101</v>
      </c>
      <c r="D287" s="111" t="s">
        <v>2113</v>
      </c>
      <c r="E287" s="111" t="s">
        <v>2114</v>
      </c>
      <c r="F287" s="109" t="s">
        <v>344</v>
      </c>
      <c r="G287" s="112">
        <v>46300</v>
      </c>
      <c r="H287" s="109" t="s">
        <v>4</v>
      </c>
      <c r="I287" s="109" t="s">
        <v>346</v>
      </c>
      <c r="J287" s="109"/>
      <c r="K287" s="109"/>
      <c r="L287" s="109" t="s">
        <v>346</v>
      </c>
      <c r="M287" s="109"/>
      <c r="N287" s="109"/>
      <c r="O287" s="113"/>
    </row>
    <row r="288" spans="1:15" ht="70.05" customHeight="1" outlineLevel="1">
      <c r="A288" s="109" t="s">
        <v>2115</v>
      </c>
      <c r="B288" s="110" t="s">
        <v>2116</v>
      </c>
      <c r="C288" s="110" t="s">
        <v>2086</v>
      </c>
      <c r="D288" s="111" t="s">
        <v>2117</v>
      </c>
      <c r="E288" s="111" t="s">
        <v>2118</v>
      </c>
      <c r="F288" s="109" t="s">
        <v>344</v>
      </c>
      <c r="G288" s="112">
        <v>46300</v>
      </c>
      <c r="H288" s="109" t="s">
        <v>4</v>
      </c>
      <c r="I288" s="109" t="s">
        <v>346</v>
      </c>
      <c r="J288" s="109"/>
      <c r="K288" s="109"/>
      <c r="L288" s="109" t="s">
        <v>346</v>
      </c>
      <c r="M288" s="109"/>
      <c r="N288" s="109"/>
      <c r="O288" s="113"/>
    </row>
    <row r="289" spans="1:15" ht="70.05" customHeight="1" outlineLevel="1">
      <c r="A289" s="109" t="s">
        <v>2119</v>
      </c>
      <c r="B289" s="110" t="s">
        <v>2116</v>
      </c>
      <c r="C289" s="110" t="s">
        <v>2086</v>
      </c>
      <c r="D289" s="111" t="s">
        <v>2117</v>
      </c>
      <c r="E289" s="111" t="s">
        <v>2120</v>
      </c>
      <c r="F289" s="109" t="s">
        <v>344</v>
      </c>
      <c r="G289" s="112">
        <v>46300</v>
      </c>
      <c r="H289" s="109" t="s">
        <v>4</v>
      </c>
      <c r="I289" s="109" t="s">
        <v>346</v>
      </c>
      <c r="J289" s="109"/>
      <c r="K289" s="109"/>
      <c r="L289" s="109" t="s">
        <v>346</v>
      </c>
      <c r="M289" s="109"/>
      <c r="N289" s="109"/>
      <c r="O289" s="113"/>
    </row>
    <row r="290" spans="1:15" ht="70.05" customHeight="1" outlineLevel="1">
      <c r="A290" s="109" t="s">
        <v>2121</v>
      </c>
      <c r="B290" s="110" t="s">
        <v>2112</v>
      </c>
      <c r="C290" s="110" t="s">
        <v>2101</v>
      </c>
      <c r="D290" s="111" t="s">
        <v>2122</v>
      </c>
      <c r="E290" s="111" t="s">
        <v>2123</v>
      </c>
      <c r="F290" s="109" t="s">
        <v>344</v>
      </c>
      <c r="G290" s="112">
        <v>46300</v>
      </c>
      <c r="H290" s="109" t="s">
        <v>4</v>
      </c>
      <c r="I290" s="109" t="s">
        <v>346</v>
      </c>
      <c r="J290" s="109"/>
      <c r="K290" s="109"/>
      <c r="L290" s="109" t="s">
        <v>346</v>
      </c>
      <c r="M290" s="109"/>
      <c r="N290" s="109"/>
      <c r="O290" s="113"/>
    </row>
    <row r="291" spans="1:15" ht="70.05" customHeight="1" outlineLevel="1">
      <c r="A291" s="109" t="s">
        <v>2124</v>
      </c>
      <c r="B291" s="110" t="s">
        <v>2125</v>
      </c>
      <c r="C291" s="110" t="s">
        <v>2126</v>
      </c>
      <c r="D291" s="111" t="s">
        <v>1611</v>
      </c>
      <c r="E291" s="111" t="s">
        <v>2127</v>
      </c>
      <c r="F291" s="109" t="s">
        <v>344</v>
      </c>
      <c r="G291" s="112">
        <v>46300</v>
      </c>
      <c r="H291" s="109" t="s">
        <v>4</v>
      </c>
      <c r="I291" s="109" t="s">
        <v>346</v>
      </c>
      <c r="J291" s="109"/>
      <c r="K291" s="109"/>
      <c r="L291" s="109" t="s">
        <v>346</v>
      </c>
      <c r="M291" s="109"/>
      <c r="N291" s="109"/>
      <c r="O291" s="113"/>
    </row>
    <row r="292" spans="1:15" ht="70.05" customHeight="1" outlineLevel="1">
      <c r="A292" s="109" t="s">
        <v>2128</v>
      </c>
      <c r="B292" s="110" t="s">
        <v>2129</v>
      </c>
      <c r="C292" s="110" t="s">
        <v>2086</v>
      </c>
      <c r="D292" s="111" t="s">
        <v>1611</v>
      </c>
      <c r="E292" s="111" t="s">
        <v>2130</v>
      </c>
      <c r="F292" s="109" t="s">
        <v>344</v>
      </c>
      <c r="G292" s="112">
        <v>46300</v>
      </c>
      <c r="H292" s="109" t="s">
        <v>4</v>
      </c>
      <c r="I292" s="109" t="s">
        <v>346</v>
      </c>
      <c r="J292" s="109"/>
      <c r="K292" s="109"/>
      <c r="L292" s="109" t="s">
        <v>346</v>
      </c>
      <c r="M292" s="109"/>
      <c r="N292" s="109"/>
      <c r="O292" s="113"/>
    </row>
    <row r="293" spans="1:15" ht="70.05" customHeight="1" outlineLevel="1">
      <c r="A293" s="109" t="s">
        <v>2131</v>
      </c>
      <c r="B293" s="110" t="s">
        <v>2129</v>
      </c>
      <c r="C293" s="110" t="s">
        <v>2086</v>
      </c>
      <c r="D293" s="111" t="s">
        <v>2132</v>
      </c>
      <c r="E293" s="111" t="s">
        <v>2133</v>
      </c>
      <c r="F293" s="109" t="s">
        <v>344</v>
      </c>
      <c r="G293" s="112">
        <v>46300</v>
      </c>
      <c r="H293" s="109" t="s">
        <v>4</v>
      </c>
      <c r="I293" s="109" t="s">
        <v>346</v>
      </c>
      <c r="J293" s="109"/>
      <c r="K293" s="109"/>
      <c r="L293" s="109" t="s">
        <v>346</v>
      </c>
      <c r="M293" s="109"/>
      <c r="N293" s="109"/>
      <c r="O293" s="113"/>
    </row>
    <row r="294" spans="1:15" ht="70.05" customHeight="1" outlineLevel="1">
      <c r="A294" s="109" t="s">
        <v>2134</v>
      </c>
      <c r="B294" s="110" t="s">
        <v>2129</v>
      </c>
      <c r="C294" s="110" t="s">
        <v>2086</v>
      </c>
      <c r="D294" s="111" t="s">
        <v>2132</v>
      </c>
      <c r="E294" s="111" t="s">
        <v>2135</v>
      </c>
      <c r="F294" s="109" t="s">
        <v>344</v>
      </c>
      <c r="G294" s="112">
        <v>46300</v>
      </c>
      <c r="H294" s="109" t="s">
        <v>4</v>
      </c>
      <c r="I294" s="109" t="s">
        <v>346</v>
      </c>
      <c r="J294" s="109"/>
      <c r="K294" s="109"/>
      <c r="L294" s="109" t="s">
        <v>346</v>
      </c>
      <c r="M294" s="109"/>
      <c r="N294" s="109"/>
      <c r="O294" s="113"/>
    </row>
    <row r="295" spans="1:15" ht="70.05" customHeight="1" outlineLevel="1">
      <c r="A295" s="109" t="s">
        <v>2136</v>
      </c>
      <c r="B295" s="110" t="s">
        <v>2129</v>
      </c>
      <c r="C295" s="110" t="s">
        <v>2086</v>
      </c>
      <c r="D295" s="111" t="s">
        <v>2132</v>
      </c>
      <c r="E295" s="111" t="s">
        <v>2137</v>
      </c>
      <c r="F295" s="109" t="s">
        <v>344</v>
      </c>
      <c r="G295" s="112">
        <v>46300</v>
      </c>
      <c r="H295" s="109" t="s">
        <v>4</v>
      </c>
      <c r="I295" s="109" t="s">
        <v>346</v>
      </c>
      <c r="J295" s="109"/>
      <c r="K295" s="109"/>
      <c r="L295" s="109" t="s">
        <v>346</v>
      </c>
      <c r="M295" s="109"/>
      <c r="N295" s="109"/>
      <c r="O295" s="113"/>
    </row>
    <row r="296" spans="1:15" ht="70.05" customHeight="1" outlineLevel="1">
      <c r="A296" s="109" t="s">
        <v>2138</v>
      </c>
      <c r="B296" s="110" t="s">
        <v>2139</v>
      </c>
      <c r="C296" s="110" t="s">
        <v>2101</v>
      </c>
      <c r="D296" s="111" t="s">
        <v>2140</v>
      </c>
      <c r="E296" s="111" t="s">
        <v>2088</v>
      </c>
      <c r="F296" s="109" t="s">
        <v>344</v>
      </c>
      <c r="G296" s="112">
        <v>46300</v>
      </c>
      <c r="H296" s="109" t="s">
        <v>4</v>
      </c>
      <c r="I296" s="109" t="s">
        <v>346</v>
      </c>
      <c r="J296" s="109"/>
      <c r="K296" s="109"/>
      <c r="L296" s="109" t="s">
        <v>346</v>
      </c>
      <c r="M296" s="109"/>
      <c r="N296" s="109"/>
      <c r="O296" s="113"/>
    </row>
    <row r="297" spans="1:15" ht="70.05" customHeight="1" outlineLevel="1">
      <c r="A297" s="109" t="s">
        <v>2141</v>
      </c>
      <c r="B297" s="110" t="s">
        <v>2139</v>
      </c>
      <c r="C297" s="110" t="s">
        <v>2101</v>
      </c>
      <c r="D297" s="111" t="s">
        <v>2132</v>
      </c>
      <c r="E297" s="111" t="s">
        <v>2142</v>
      </c>
      <c r="F297" s="109" t="s">
        <v>344</v>
      </c>
      <c r="G297" s="112">
        <v>46300</v>
      </c>
      <c r="H297" s="109" t="s">
        <v>4</v>
      </c>
      <c r="I297" s="109" t="s">
        <v>346</v>
      </c>
      <c r="J297" s="109"/>
      <c r="K297" s="109"/>
      <c r="L297" s="109" t="s">
        <v>346</v>
      </c>
      <c r="M297" s="109"/>
      <c r="N297" s="109"/>
      <c r="O297" s="113"/>
    </row>
    <row r="298" spans="1:15" ht="70.05" customHeight="1" outlineLevel="1">
      <c r="A298" s="109" t="s">
        <v>2143</v>
      </c>
      <c r="B298" s="110" t="s">
        <v>2144</v>
      </c>
      <c r="C298" s="110" t="s">
        <v>2145</v>
      </c>
      <c r="D298" s="111" t="s">
        <v>1611</v>
      </c>
      <c r="E298" s="111" t="s">
        <v>2127</v>
      </c>
      <c r="F298" s="109" t="s">
        <v>344</v>
      </c>
      <c r="G298" s="112">
        <v>46300</v>
      </c>
      <c r="H298" s="109" t="s">
        <v>4</v>
      </c>
      <c r="I298" s="109" t="s">
        <v>346</v>
      </c>
      <c r="J298" s="109"/>
      <c r="K298" s="109"/>
      <c r="L298" s="109" t="s">
        <v>346</v>
      </c>
      <c r="M298" s="109"/>
      <c r="N298" s="109"/>
      <c r="O298" s="113"/>
    </row>
    <row r="299" spans="1:15" ht="15.75" customHeight="1">
      <c r="A299" s="60" t="s">
        <v>107</v>
      </c>
      <c r="B299" s="60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2"/>
    </row>
    <row r="300" spans="1:15" ht="70.05" customHeight="1" outlineLevel="1">
      <c r="A300" s="109" t="s">
        <v>2146</v>
      </c>
      <c r="B300" s="110" t="s">
        <v>2147</v>
      </c>
      <c r="C300" s="110" t="s">
        <v>2148</v>
      </c>
      <c r="D300" s="111" t="s">
        <v>2149</v>
      </c>
      <c r="E300" s="111" t="s">
        <v>2150</v>
      </c>
      <c r="F300" s="109" t="s">
        <v>344</v>
      </c>
      <c r="G300" s="112">
        <v>46300</v>
      </c>
      <c r="H300" s="109" t="s">
        <v>4</v>
      </c>
      <c r="I300" s="109" t="s">
        <v>346</v>
      </c>
      <c r="J300" s="109"/>
      <c r="K300" s="109"/>
      <c r="L300" s="109" t="s">
        <v>346</v>
      </c>
      <c r="M300" s="109"/>
      <c r="N300" s="109"/>
      <c r="O300" s="113"/>
    </row>
    <row r="301" spans="1:15" ht="70.05" customHeight="1" outlineLevel="1">
      <c r="A301" s="109" t="s">
        <v>2151</v>
      </c>
      <c r="B301" s="110" t="s">
        <v>2152</v>
      </c>
      <c r="C301" s="110" t="s">
        <v>2153</v>
      </c>
      <c r="D301" s="111" t="s">
        <v>2149</v>
      </c>
      <c r="E301" s="111" t="s">
        <v>2154</v>
      </c>
      <c r="F301" s="109" t="s">
        <v>344</v>
      </c>
      <c r="G301" s="112">
        <v>46300</v>
      </c>
      <c r="H301" s="109" t="s">
        <v>4</v>
      </c>
      <c r="I301" s="109" t="s">
        <v>346</v>
      </c>
      <c r="J301" s="109"/>
      <c r="K301" s="109"/>
      <c r="L301" s="109" t="s">
        <v>346</v>
      </c>
      <c r="M301" s="109"/>
      <c r="N301" s="109"/>
      <c r="O301" s="113"/>
    </row>
    <row r="302" spans="1:15" ht="70.05" customHeight="1" outlineLevel="1">
      <c r="A302" s="109" t="s">
        <v>2155</v>
      </c>
      <c r="B302" s="110" t="s">
        <v>2156</v>
      </c>
      <c r="C302" s="110" t="s">
        <v>2157</v>
      </c>
      <c r="D302" s="111" t="s">
        <v>2149</v>
      </c>
      <c r="E302" s="111" t="s">
        <v>2158</v>
      </c>
      <c r="F302" s="109" t="s">
        <v>344</v>
      </c>
      <c r="G302" s="112">
        <v>46300</v>
      </c>
      <c r="H302" s="109" t="s">
        <v>4</v>
      </c>
      <c r="I302" s="109" t="s">
        <v>346</v>
      </c>
      <c r="J302" s="109"/>
      <c r="K302" s="109"/>
      <c r="L302" s="109" t="s">
        <v>346</v>
      </c>
      <c r="M302" s="109"/>
      <c r="N302" s="109"/>
      <c r="O302" s="113"/>
    </row>
    <row r="303" spans="1:15" ht="70.05" customHeight="1" outlineLevel="1">
      <c r="A303" s="109" t="s">
        <v>2159</v>
      </c>
      <c r="B303" s="110" t="s">
        <v>2160</v>
      </c>
      <c r="C303" s="110" t="s">
        <v>2161</v>
      </c>
      <c r="D303" s="111" t="s">
        <v>2162</v>
      </c>
      <c r="E303" s="111" t="s">
        <v>2150</v>
      </c>
      <c r="F303" s="109" t="s">
        <v>344</v>
      </c>
      <c r="G303" s="112">
        <v>46300</v>
      </c>
      <c r="H303" s="109" t="s">
        <v>4</v>
      </c>
      <c r="I303" s="109" t="s">
        <v>346</v>
      </c>
      <c r="J303" s="109"/>
      <c r="K303" s="109"/>
      <c r="L303" s="109" t="s">
        <v>346</v>
      </c>
      <c r="M303" s="109"/>
      <c r="N303" s="109"/>
      <c r="O303" s="113"/>
    </row>
    <row r="304" spans="1:15" ht="70.05" customHeight="1" outlineLevel="1">
      <c r="A304" s="109" t="s">
        <v>2163</v>
      </c>
      <c r="B304" s="110" t="s">
        <v>2160</v>
      </c>
      <c r="C304" s="110" t="s">
        <v>2161</v>
      </c>
      <c r="D304" s="111" t="s">
        <v>2164</v>
      </c>
      <c r="E304" s="111" t="s">
        <v>2150</v>
      </c>
      <c r="F304" s="109" t="s">
        <v>344</v>
      </c>
      <c r="G304" s="112">
        <v>46300</v>
      </c>
      <c r="H304" s="109" t="s">
        <v>4</v>
      </c>
      <c r="I304" s="109" t="s">
        <v>346</v>
      </c>
      <c r="J304" s="109"/>
      <c r="K304" s="109"/>
      <c r="L304" s="109" t="s">
        <v>346</v>
      </c>
      <c r="M304" s="109"/>
      <c r="N304" s="109"/>
      <c r="O304" s="113"/>
    </row>
    <row r="305" spans="1:15" ht="70.05" customHeight="1" outlineLevel="1">
      <c r="A305" s="109" t="s">
        <v>2165</v>
      </c>
      <c r="B305" s="110" t="s">
        <v>2160</v>
      </c>
      <c r="C305" s="110" t="s">
        <v>2161</v>
      </c>
      <c r="D305" s="111" t="s">
        <v>2166</v>
      </c>
      <c r="E305" s="111" t="s">
        <v>2150</v>
      </c>
      <c r="F305" s="109" t="s">
        <v>344</v>
      </c>
      <c r="G305" s="112">
        <v>46300</v>
      </c>
      <c r="H305" s="109" t="s">
        <v>4</v>
      </c>
      <c r="I305" s="109" t="s">
        <v>346</v>
      </c>
      <c r="J305" s="109"/>
      <c r="K305" s="109"/>
      <c r="L305" s="109" t="s">
        <v>346</v>
      </c>
      <c r="M305" s="109"/>
      <c r="N305" s="109"/>
      <c r="O305" s="113"/>
    </row>
    <row r="306" spans="1:15" ht="70.05" customHeight="1" outlineLevel="1">
      <c r="A306" s="109" t="s">
        <v>2167</v>
      </c>
      <c r="B306" s="110" t="s">
        <v>2160</v>
      </c>
      <c r="C306" s="110" t="s">
        <v>2161</v>
      </c>
      <c r="D306" s="111" t="s">
        <v>2168</v>
      </c>
      <c r="E306" s="111" t="s">
        <v>2169</v>
      </c>
      <c r="F306" s="109" t="s">
        <v>344</v>
      </c>
      <c r="G306" s="112">
        <v>46300</v>
      </c>
      <c r="H306" s="109" t="s">
        <v>4</v>
      </c>
      <c r="I306" s="109" t="s">
        <v>346</v>
      </c>
      <c r="J306" s="109"/>
      <c r="K306" s="109"/>
      <c r="L306" s="109" t="s">
        <v>346</v>
      </c>
      <c r="M306" s="109"/>
      <c r="N306" s="109"/>
      <c r="O306" s="113"/>
    </row>
    <row r="307" spans="1:15" ht="70.05" customHeight="1" outlineLevel="1">
      <c r="A307" s="109" t="s">
        <v>2170</v>
      </c>
      <c r="B307" s="110" t="s">
        <v>2160</v>
      </c>
      <c r="C307" s="110" t="s">
        <v>2161</v>
      </c>
      <c r="D307" s="111" t="s">
        <v>2171</v>
      </c>
      <c r="E307" s="111" t="s">
        <v>2172</v>
      </c>
      <c r="F307" s="109" t="s">
        <v>344</v>
      </c>
      <c r="G307" s="112">
        <v>46300</v>
      </c>
      <c r="H307" s="109" t="s">
        <v>4</v>
      </c>
      <c r="I307" s="109" t="s">
        <v>346</v>
      </c>
      <c r="J307" s="109"/>
      <c r="K307" s="109"/>
      <c r="L307" s="109" t="s">
        <v>346</v>
      </c>
      <c r="M307" s="109"/>
      <c r="N307" s="109"/>
      <c r="O307" s="113"/>
    </row>
    <row r="308" spans="1:15" ht="70.05" customHeight="1" outlineLevel="1">
      <c r="A308" s="109" t="s">
        <v>2173</v>
      </c>
      <c r="B308" s="110" t="s">
        <v>2174</v>
      </c>
      <c r="C308" s="110" t="s">
        <v>2175</v>
      </c>
      <c r="D308" s="111" t="s">
        <v>2176</v>
      </c>
      <c r="E308" s="111" t="s">
        <v>2158</v>
      </c>
      <c r="F308" s="109" t="s">
        <v>344</v>
      </c>
      <c r="G308" s="112">
        <v>46300</v>
      </c>
      <c r="H308" s="109" t="s">
        <v>4</v>
      </c>
      <c r="I308" s="109" t="s">
        <v>346</v>
      </c>
      <c r="J308" s="109"/>
      <c r="K308" s="109"/>
      <c r="L308" s="109" t="s">
        <v>346</v>
      </c>
      <c r="M308" s="109"/>
      <c r="N308" s="109"/>
      <c r="O308" s="113"/>
    </row>
    <row r="309" spans="1:15" ht="70.05" customHeight="1" outlineLevel="1">
      <c r="A309" s="109" t="s">
        <v>2177</v>
      </c>
      <c r="B309" s="110" t="s">
        <v>2178</v>
      </c>
      <c r="C309" s="110" t="s">
        <v>2179</v>
      </c>
      <c r="D309" s="111" t="s">
        <v>2180</v>
      </c>
      <c r="E309" s="111" t="s">
        <v>2181</v>
      </c>
      <c r="F309" s="109" t="s">
        <v>344</v>
      </c>
      <c r="G309" s="112">
        <v>46300</v>
      </c>
      <c r="H309" s="109" t="s">
        <v>4</v>
      </c>
      <c r="I309" s="109" t="s">
        <v>346</v>
      </c>
      <c r="J309" s="109"/>
      <c r="K309" s="109"/>
      <c r="L309" s="109" t="s">
        <v>346</v>
      </c>
      <c r="M309" s="109"/>
      <c r="N309" s="109"/>
      <c r="O309" s="113"/>
    </row>
    <row r="310" spans="1:15" ht="70.05" customHeight="1" outlineLevel="1">
      <c r="A310" s="109" t="s">
        <v>2182</v>
      </c>
      <c r="B310" s="110" t="s">
        <v>2183</v>
      </c>
      <c r="C310" s="110" t="s">
        <v>2161</v>
      </c>
      <c r="D310" s="111" t="s">
        <v>2149</v>
      </c>
      <c r="E310" s="111" t="s">
        <v>2184</v>
      </c>
      <c r="F310" s="109" t="s">
        <v>344</v>
      </c>
      <c r="G310" s="112">
        <v>46300</v>
      </c>
      <c r="H310" s="109" t="s">
        <v>4</v>
      </c>
      <c r="I310" s="109" t="s">
        <v>346</v>
      </c>
      <c r="J310" s="109"/>
      <c r="K310" s="109"/>
      <c r="L310" s="109" t="s">
        <v>346</v>
      </c>
      <c r="M310" s="109"/>
      <c r="N310" s="109"/>
      <c r="O310" s="113"/>
    </row>
    <row r="311" spans="1:15" ht="70.05" customHeight="1" outlineLevel="1">
      <c r="A311" s="109" t="s">
        <v>2185</v>
      </c>
      <c r="B311" s="110" t="s">
        <v>2178</v>
      </c>
      <c r="C311" s="110" t="s">
        <v>2179</v>
      </c>
      <c r="D311" s="111" t="s">
        <v>2186</v>
      </c>
      <c r="E311" s="111" t="s">
        <v>2187</v>
      </c>
      <c r="F311" s="109" t="s">
        <v>344</v>
      </c>
      <c r="G311" s="112">
        <v>46300</v>
      </c>
      <c r="H311" s="109" t="s">
        <v>4</v>
      </c>
      <c r="I311" s="109" t="s">
        <v>346</v>
      </c>
      <c r="J311" s="109"/>
      <c r="K311" s="109"/>
      <c r="L311" s="109" t="s">
        <v>346</v>
      </c>
      <c r="M311" s="109"/>
      <c r="N311" s="109"/>
      <c r="O311" s="113"/>
    </row>
    <row r="312" spans="1:15" ht="70.05" customHeight="1" outlineLevel="1">
      <c r="A312" s="109" t="s">
        <v>2188</v>
      </c>
      <c r="B312" s="110" t="s">
        <v>2189</v>
      </c>
      <c r="C312" s="110" t="s">
        <v>2190</v>
      </c>
      <c r="D312" s="111" t="s">
        <v>1845</v>
      </c>
      <c r="E312" s="111" t="s">
        <v>2191</v>
      </c>
      <c r="F312" s="109" t="s">
        <v>344</v>
      </c>
      <c r="G312" s="112">
        <v>46300</v>
      </c>
      <c r="H312" s="109" t="s">
        <v>4</v>
      </c>
      <c r="I312" s="109" t="s">
        <v>346</v>
      </c>
      <c r="J312" s="109"/>
      <c r="K312" s="109"/>
      <c r="L312" s="109" t="s">
        <v>346</v>
      </c>
      <c r="M312" s="109"/>
      <c r="N312" s="109"/>
      <c r="O312" s="113"/>
    </row>
    <row r="313" spans="1:15" ht="70.05" customHeight="1" outlineLevel="1">
      <c r="A313" s="109" t="s">
        <v>2192</v>
      </c>
      <c r="B313" s="110" t="s">
        <v>2193</v>
      </c>
      <c r="C313" s="110" t="s">
        <v>2194</v>
      </c>
      <c r="D313" s="111" t="s">
        <v>1845</v>
      </c>
      <c r="E313" s="111" t="s">
        <v>2195</v>
      </c>
      <c r="F313" s="109" t="s">
        <v>344</v>
      </c>
      <c r="G313" s="112">
        <v>46300</v>
      </c>
      <c r="H313" s="109" t="s">
        <v>4</v>
      </c>
      <c r="I313" s="109" t="s">
        <v>346</v>
      </c>
      <c r="J313" s="109"/>
      <c r="K313" s="109"/>
      <c r="L313" s="109" t="s">
        <v>346</v>
      </c>
      <c r="M313" s="109"/>
      <c r="N313" s="109"/>
      <c r="O313" s="113"/>
    </row>
    <row r="314" spans="1:15" ht="70.05" customHeight="1" outlineLevel="1">
      <c r="A314" s="109" t="s">
        <v>2196</v>
      </c>
      <c r="B314" s="110" t="s">
        <v>2197</v>
      </c>
      <c r="C314" s="110" t="s">
        <v>2198</v>
      </c>
      <c r="D314" s="111" t="s">
        <v>1845</v>
      </c>
      <c r="E314" s="111" t="s">
        <v>417</v>
      </c>
      <c r="F314" s="109" t="s">
        <v>344</v>
      </c>
      <c r="G314" s="112">
        <v>46300</v>
      </c>
      <c r="H314" s="109" t="s">
        <v>4</v>
      </c>
      <c r="I314" s="109" t="s">
        <v>346</v>
      </c>
      <c r="J314" s="109"/>
      <c r="K314" s="109"/>
      <c r="L314" s="109" t="s">
        <v>346</v>
      </c>
      <c r="M314" s="109"/>
      <c r="N314" s="109"/>
      <c r="O314" s="113"/>
    </row>
    <row r="315" spans="1:15" ht="70.05" customHeight="1" outlineLevel="1">
      <c r="A315" s="109" t="s">
        <v>2199</v>
      </c>
      <c r="B315" s="110" t="s">
        <v>2200</v>
      </c>
      <c r="C315" s="110" t="s">
        <v>2201</v>
      </c>
      <c r="D315" s="111" t="s">
        <v>2180</v>
      </c>
      <c r="E315" s="111" t="s">
        <v>2181</v>
      </c>
      <c r="F315" s="109" t="s">
        <v>344</v>
      </c>
      <c r="G315" s="112">
        <v>46300</v>
      </c>
      <c r="H315" s="109" t="s">
        <v>4</v>
      </c>
      <c r="I315" s="109" t="s">
        <v>346</v>
      </c>
      <c r="J315" s="109"/>
      <c r="K315" s="109"/>
      <c r="L315" s="109" t="s">
        <v>346</v>
      </c>
      <c r="M315" s="109"/>
      <c r="N315" s="109"/>
      <c r="O315" s="113"/>
    </row>
    <row r="316" spans="1:15" ht="70.05" customHeight="1" outlineLevel="1">
      <c r="A316" s="109" t="s">
        <v>2202</v>
      </c>
      <c r="B316" s="110" t="s">
        <v>2203</v>
      </c>
      <c r="C316" s="110" t="s">
        <v>2161</v>
      </c>
      <c r="D316" s="111" t="s">
        <v>1845</v>
      </c>
      <c r="E316" s="111" t="s">
        <v>2204</v>
      </c>
      <c r="F316" s="109" t="s">
        <v>344</v>
      </c>
      <c r="G316" s="112">
        <v>46300</v>
      </c>
      <c r="H316" s="109" t="s">
        <v>4</v>
      </c>
      <c r="I316" s="109" t="s">
        <v>346</v>
      </c>
      <c r="J316" s="109"/>
      <c r="K316" s="109"/>
      <c r="L316" s="109" t="s">
        <v>346</v>
      </c>
      <c r="M316" s="109"/>
      <c r="N316" s="109"/>
      <c r="O316" s="113"/>
    </row>
    <row r="317" spans="1:15" ht="70.05" customHeight="1" outlineLevel="1">
      <c r="A317" s="109" t="s">
        <v>2205</v>
      </c>
      <c r="B317" s="110" t="s">
        <v>2206</v>
      </c>
      <c r="C317" s="110" t="s">
        <v>2207</v>
      </c>
      <c r="D317" s="111" t="s">
        <v>1845</v>
      </c>
      <c r="E317" s="111" t="s">
        <v>2208</v>
      </c>
      <c r="F317" s="109" t="s">
        <v>344</v>
      </c>
      <c r="G317" s="112">
        <v>46300</v>
      </c>
      <c r="H317" s="109" t="s">
        <v>4</v>
      </c>
      <c r="I317" s="109" t="s">
        <v>346</v>
      </c>
      <c r="J317" s="109"/>
      <c r="K317" s="109"/>
      <c r="L317" s="109" t="s">
        <v>346</v>
      </c>
      <c r="M317" s="109"/>
      <c r="N317" s="109"/>
      <c r="O317" s="113"/>
    </row>
    <row r="318" spans="1:15" ht="15.75" customHeight="1">
      <c r="A318" s="60" t="s">
        <v>109</v>
      </c>
      <c r="B318" s="60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2"/>
    </row>
    <row r="319" spans="1:15" ht="70.05" customHeight="1" outlineLevel="1">
      <c r="A319" s="109" t="s">
        <v>2209</v>
      </c>
      <c r="B319" s="110" t="s">
        <v>2210</v>
      </c>
      <c r="C319" s="110" t="s">
        <v>2211</v>
      </c>
      <c r="D319" s="111" t="s">
        <v>2212</v>
      </c>
      <c r="E319" s="111" t="s">
        <v>2213</v>
      </c>
      <c r="F319" s="109" t="s">
        <v>344</v>
      </c>
      <c r="G319" s="112">
        <v>46300</v>
      </c>
      <c r="H319" s="109" t="s">
        <v>4</v>
      </c>
      <c r="I319" s="109" t="s">
        <v>346</v>
      </c>
      <c r="J319" s="109"/>
      <c r="K319" s="109"/>
      <c r="L319" s="109" t="s">
        <v>346</v>
      </c>
      <c r="M319" s="109"/>
      <c r="N319" s="109"/>
      <c r="O319" s="113"/>
    </row>
    <row r="320" spans="1:15" ht="70.05" customHeight="1" outlineLevel="1">
      <c r="A320" s="109" t="s">
        <v>2214</v>
      </c>
      <c r="B320" s="110" t="s">
        <v>2215</v>
      </c>
      <c r="C320" s="110" t="s">
        <v>2216</v>
      </c>
      <c r="D320" s="111" t="s">
        <v>2217</v>
      </c>
      <c r="E320" s="111" t="s">
        <v>2213</v>
      </c>
      <c r="F320" s="109" t="s">
        <v>344</v>
      </c>
      <c r="G320" s="112">
        <v>46300</v>
      </c>
      <c r="H320" s="109" t="s">
        <v>4</v>
      </c>
      <c r="I320" s="109" t="s">
        <v>346</v>
      </c>
      <c r="J320" s="109"/>
      <c r="K320" s="109"/>
      <c r="L320" s="109" t="s">
        <v>346</v>
      </c>
      <c r="M320" s="109"/>
      <c r="N320" s="109"/>
      <c r="O320" s="113"/>
    </row>
    <row r="321" spans="1:15" ht="70.05" customHeight="1" outlineLevel="1">
      <c r="A321" s="109" t="s">
        <v>2218</v>
      </c>
      <c r="B321" s="110" t="s">
        <v>2219</v>
      </c>
      <c r="C321" s="110" t="s">
        <v>2220</v>
      </c>
      <c r="D321" s="111" t="s">
        <v>2221</v>
      </c>
      <c r="E321" s="111" t="s">
        <v>2213</v>
      </c>
      <c r="F321" s="109" t="s">
        <v>344</v>
      </c>
      <c r="G321" s="112">
        <v>46300</v>
      </c>
      <c r="H321" s="109" t="s">
        <v>4</v>
      </c>
      <c r="I321" s="109" t="s">
        <v>346</v>
      </c>
      <c r="J321" s="109"/>
      <c r="K321" s="109"/>
      <c r="L321" s="109" t="s">
        <v>346</v>
      </c>
      <c r="M321" s="109"/>
      <c r="N321" s="109"/>
      <c r="O321" s="113"/>
    </row>
    <row r="322" spans="1:15" ht="70.05" customHeight="1" outlineLevel="1">
      <c r="A322" s="109" t="s">
        <v>2222</v>
      </c>
      <c r="B322" s="110" t="s">
        <v>2223</v>
      </c>
      <c r="C322" s="110" t="s">
        <v>2224</v>
      </c>
      <c r="D322" s="111" t="s">
        <v>2225</v>
      </c>
      <c r="E322" s="111" t="s">
        <v>2213</v>
      </c>
      <c r="F322" s="109" t="s">
        <v>344</v>
      </c>
      <c r="G322" s="112">
        <v>46300</v>
      </c>
      <c r="H322" s="109" t="s">
        <v>4</v>
      </c>
      <c r="I322" s="109" t="s">
        <v>346</v>
      </c>
      <c r="J322" s="109"/>
      <c r="K322" s="109"/>
      <c r="L322" s="109" t="s">
        <v>346</v>
      </c>
      <c r="M322" s="109"/>
      <c r="N322" s="109"/>
      <c r="O322" s="113"/>
    </row>
    <row r="323" spans="1:15" ht="70.05" customHeight="1" outlineLevel="1">
      <c r="A323" s="109" t="s">
        <v>2226</v>
      </c>
      <c r="B323" s="110" t="s">
        <v>2227</v>
      </c>
      <c r="C323" s="110" t="s">
        <v>2228</v>
      </c>
      <c r="D323" s="111" t="s">
        <v>2225</v>
      </c>
      <c r="E323" s="111" t="s">
        <v>2213</v>
      </c>
      <c r="F323" s="109" t="s">
        <v>344</v>
      </c>
      <c r="G323" s="112">
        <v>46300</v>
      </c>
      <c r="H323" s="109" t="s">
        <v>4</v>
      </c>
      <c r="I323" s="109" t="s">
        <v>346</v>
      </c>
      <c r="J323" s="109"/>
      <c r="K323" s="109"/>
      <c r="L323" s="109" t="s">
        <v>346</v>
      </c>
      <c r="M323" s="109"/>
      <c r="N323" s="109"/>
      <c r="O323" s="113"/>
    </row>
    <row r="324" spans="1:15" ht="70.05" customHeight="1" outlineLevel="1">
      <c r="A324" s="109" t="s">
        <v>2229</v>
      </c>
      <c r="B324" s="110" t="s">
        <v>2215</v>
      </c>
      <c r="C324" s="110" t="s">
        <v>2216</v>
      </c>
      <c r="D324" s="111" t="s">
        <v>2230</v>
      </c>
      <c r="E324" s="111" t="s">
        <v>2231</v>
      </c>
      <c r="F324" s="109" t="s">
        <v>344</v>
      </c>
      <c r="G324" s="112">
        <v>46300</v>
      </c>
      <c r="H324" s="109" t="s">
        <v>4</v>
      </c>
      <c r="I324" s="109" t="s">
        <v>346</v>
      </c>
      <c r="J324" s="109"/>
      <c r="K324" s="109"/>
      <c r="L324" s="109" t="s">
        <v>346</v>
      </c>
      <c r="M324" s="109"/>
      <c r="N324" s="109"/>
      <c r="O324" s="113"/>
    </row>
    <row r="325" spans="1:15" ht="70.05" customHeight="1" outlineLevel="1">
      <c r="A325" s="109" t="s">
        <v>2232</v>
      </c>
      <c r="B325" s="110" t="s">
        <v>2233</v>
      </c>
      <c r="C325" s="110" t="s">
        <v>2234</v>
      </c>
      <c r="D325" s="111" t="s">
        <v>2235</v>
      </c>
      <c r="E325" s="111" t="s">
        <v>2213</v>
      </c>
      <c r="F325" s="109" t="s">
        <v>344</v>
      </c>
      <c r="G325" s="112">
        <v>46300</v>
      </c>
      <c r="H325" s="109" t="s">
        <v>4</v>
      </c>
      <c r="I325" s="109" t="s">
        <v>346</v>
      </c>
      <c r="J325" s="109"/>
      <c r="K325" s="109"/>
      <c r="L325" s="109" t="s">
        <v>346</v>
      </c>
      <c r="M325" s="109"/>
      <c r="N325" s="109"/>
      <c r="O325" s="113"/>
    </row>
    <row r="326" spans="1:15" ht="70.05" customHeight="1" outlineLevel="1">
      <c r="A326" s="109" t="s">
        <v>2236</v>
      </c>
      <c r="B326" s="110" t="s">
        <v>2215</v>
      </c>
      <c r="C326" s="110" t="s">
        <v>2216</v>
      </c>
      <c r="D326" s="111" t="s">
        <v>2237</v>
      </c>
      <c r="E326" s="111" t="s">
        <v>2213</v>
      </c>
      <c r="F326" s="109" t="s">
        <v>344</v>
      </c>
      <c r="G326" s="112">
        <v>46300</v>
      </c>
      <c r="H326" s="109" t="s">
        <v>4</v>
      </c>
      <c r="I326" s="109" t="s">
        <v>346</v>
      </c>
      <c r="J326" s="109"/>
      <c r="K326" s="109"/>
      <c r="L326" s="109" t="s">
        <v>346</v>
      </c>
      <c r="M326" s="109"/>
      <c r="N326" s="109"/>
      <c r="O326" s="113"/>
    </row>
    <row r="327" spans="1:15" ht="70.05" customHeight="1" outlineLevel="1">
      <c r="A327" s="109" t="s">
        <v>2238</v>
      </c>
      <c r="B327" s="110" t="s">
        <v>2239</v>
      </c>
      <c r="C327" s="110" t="s">
        <v>2240</v>
      </c>
      <c r="D327" s="111" t="s">
        <v>2241</v>
      </c>
      <c r="E327" s="111" t="s">
        <v>2242</v>
      </c>
      <c r="F327" s="109" t="s">
        <v>344</v>
      </c>
      <c r="G327" s="112">
        <v>46300</v>
      </c>
      <c r="H327" s="109" t="s">
        <v>4</v>
      </c>
      <c r="I327" s="109" t="s">
        <v>346</v>
      </c>
      <c r="J327" s="109"/>
      <c r="K327" s="109"/>
      <c r="L327" s="109" t="s">
        <v>346</v>
      </c>
      <c r="M327" s="109"/>
      <c r="N327" s="109"/>
      <c r="O327" s="113"/>
    </row>
    <row r="328" spans="1:15" ht="70.05" customHeight="1" outlineLevel="1">
      <c r="A328" s="109" t="s">
        <v>2243</v>
      </c>
      <c r="B328" s="110" t="s">
        <v>2244</v>
      </c>
      <c r="C328" s="110" t="s">
        <v>2245</v>
      </c>
      <c r="D328" s="111" t="s">
        <v>2246</v>
      </c>
      <c r="E328" s="111" t="s">
        <v>2213</v>
      </c>
      <c r="F328" s="109" t="s">
        <v>344</v>
      </c>
      <c r="G328" s="112">
        <v>46300</v>
      </c>
      <c r="H328" s="109" t="s">
        <v>4</v>
      </c>
      <c r="I328" s="109" t="s">
        <v>346</v>
      </c>
      <c r="J328" s="109"/>
      <c r="K328" s="109"/>
      <c r="L328" s="109" t="s">
        <v>346</v>
      </c>
      <c r="M328" s="109"/>
      <c r="N328" s="109"/>
      <c r="O328" s="113"/>
    </row>
    <row r="329" spans="1:15" ht="70.05" customHeight="1" outlineLevel="1">
      <c r="A329" s="109" t="s">
        <v>2247</v>
      </c>
      <c r="B329" s="110" t="s">
        <v>2248</v>
      </c>
      <c r="C329" s="110" t="s">
        <v>2249</v>
      </c>
      <c r="D329" s="111" t="s">
        <v>2250</v>
      </c>
      <c r="E329" s="111" t="s">
        <v>2213</v>
      </c>
      <c r="F329" s="109" t="s">
        <v>344</v>
      </c>
      <c r="G329" s="112">
        <v>46300</v>
      </c>
      <c r="H329" s="109" t="s">
        <v>4</v>
      </c>
      <c r="I329" s="109" t="s">
        <v>346</v>
      </c>
      <c r="J329" s="109"/>
      <c r="K329" s="109"/>
      <c r="L329" s="109" t="s">
        <v>346</v>
      </c>
      <c r="M329" s="109"/>
      <c r="N329" s="109"/>
      <c r="O329" s="113"/>
    </row>
    <row r="330" spans="1:15" ht="70.05" customHeight="1" outlineLevel="1">
      <c r="A330" s="109" t="s">
        <v>2251</v>
      </c>
      <c r="B330" s="110" t="s">
        <v>2252</v>
      </c>
      <c r="C330" s="110" t="s">
        <v>2253</v>
      </c>
      <c r="D330" s="111" t="s">
        <v>2254</v>
      </c>
      <c r="E330" s="111" t="s">
        <v>2213</v>
      </c>
      <c r="F330" s="109" t="s">
        <v>344</v>
      </c>
      <c r="G330" s="112">
        <v>46300</v>
      </c>
      <c r="H330" s="109" t="s">
        <v>4</v>
      </c>
      <c r="I330" s="109" t="s">
        <v>346</v>
      </c>
      <c r="J330" s="109"/>
      <c r="K330" s="109"/>
      <c r="L330" s="109" t="s">
        <v>346</v>
      </c>
      <c r="M330" s="109"/>
      <c r="N330" s="109"/>
      <c r="O330" s="113"/>
    </row>
    <row r="331" spans="1:15" ht="70.05" customHeight="1" outlineLevel="1">
      <c r="A331" s="109" t="s">
        <v>2255</v>
      </c>
      <c r="B331" s="110" t="s">
        <v>2256</v>
      </c>
      <c r="C331" s="110" t="s">
        <v>2257</v>
      </c>
      <c r="D331" s="111" t="s">
        <v>2258</v>
      </c>
      <c r="E331" s="111" t="s">
        <v>2259</v>
      </c>
      <c r="F331" s="109" t="s">
        <v>344</v>
      </c>
      <c r="G331" s="112">
        <v>46300</v>
      </c>
      <c r="H331" s="109" t="s">
        <v>4</v>
      </c>
      <c r="I331" s="109" t="s">
        <v>346</v>
      </c>
      <c r="J331" s="109"/>
      <c r="K331" s="109"/>
      <c r="L331" s="109" t="s">
        <v>346</v>
      </c>
      <c r="M331" s="109"/>
      <c r="N331" s="109"/>
      <c r="O331" s="113"/>
    </row>
    <row r="332" spans="1:15" ht="70.05" customHeight="1" outlineLevel="1">
      <c r="A332" s="109" t="s">
        <v>2260</v>
      </c>
      <c r="B332" s="110" t="s">
        <v>2261</v>
      </c>
      <c r="C332" s="110" t="s">
        <v>2216</v>
      </c>
      <c r="D332" s="111" t="s">
        <v>1488</v>
      </c>
      <c r="E332" s="111" t="s">
        <v>2262</v>
      </c>
      <c r="F332" s="109" t="s">
        <v>344</v>
      </c>
      <c r="G332" s="112">
        <v>46300</v>
      </c>
      <c r="H332" s="109" t="s">
        <v>4</v>
      </c>
      <c r="I332" s="109" t="s">
        <v>346</v>
      </c>
      <c r="J332" s="109"/>
      <c r="K332" s="109"/>
      <c r="L332" s="109" t="s">
        <v>346</v>
      </c>
      <c r="M332" s="109"/>
      <c r="N332" s="109"/>
      <c r="O332" s="113"/>
    </row>
    <row r="333" spans="1:15" ht="70.05" customHeight="1" outlineLevel="1">
      <c r="A333" s="109" t="s">
        <v>2263</v>
      </c>
      <c r="B333" s="110" t="s">
        <v>2261</v>
      </c>
      <c r="C333" s="110" t="s">
        <v>2216</v>
      </c>
      <c r="D333" s="111" t="s">
        <v>1488</v>
      </c>
      <c r="E333" s="111" t="s">
        <v>2264</v>
      </c>
      <c r="F333" s="109" t="s">
        <v>344</v>
      </c>
      <c r="G333" s="112">
        <v>46300</v>
      </c>
      <c r="H333" s="109" t="s">
        <v>4</v>
      </c>
      <c r="I333" s="109" t="s">
        <v>346</v>
      </c>
      <c r="J333" s="109"/>
      <c r="K333" s="109"/>
      <c r="L333" s="109" t="s">
        <v>346</v>
      </c>
      <c r="M333" s="109"/>
      <c r="N333" s="109"/>
      <c r="O333" s="113"/>
    </row>
    <row r="334" spans="1:15" ht="70.05" customHeight="1" outlineLevel="1">
      <c r="A334" s="109" t="s">
        <v>2265</v>
      </c>
      <c r="B334" s="110" t="s">
        <v>2266</v>
      </c>
      <c r="C334" s="110" t="s">
        <v>2267</v>
      </c>
      <c r="D334" s="111" t="s">
        <v>1929</v>
      </c>
      <c r="E334" s="111" t="s">
        <v>2213</v>
      </c>
      <c r="F334" s="109" t="s">
        <v>344</v>
      </c>
      <c r="G334" s="112">
        <v>46300</v>
      </c>
      <c r="H334" s="109" t="s">
        <v>4</v>
      </c>
      <c r="I334" s="109" t="s">
        <v>346</v>
      </c>
      <c r="J334" s="109"/>
      <c r="K334" s="109"/>
      <c r="L334" s="109" t="s">
        <v>346</v>
      </c>
      <c r="M334" s="109"/>
      <c r="N334" s="109"/>
      <c r="O334" s="113"/>
    </row>
    <row r="335" spans="1:15" ht="70.05" customHeight="1" outlineLevel="1">
      <c r="A335" s="109" t="s">
        <v>2268</v>
      </c>
      <c r="B335" s="110" t="s">
        <v>2269</v>
      </c>
      <c r="C335" s="110" t="s">
        <v>2270</v>
      </c>
      <c r="D335" s="111" t="s">
        <v>1929</v>
      </c>
      <c r="E335" s="111" t="s">
        <v>2213</v>
      </c>
      <c r="F335" s="109" t="s">
        <v>344</v>
      </c>
      <c r="G335" s="112">
        <v>46300</v>
      </c>
      <c r="H335" s="109" t="s">
        <v>4</v>
      </c>
      <c r="I335" s="109" t="s">
        <v>346</v>
      </c>
      <c r="J335" s="109"/>
      <c r="K335" s="109"/>
      <c r="L335" s="109" t="s">
        <v>346</v>
      </c>
      <c r="M335" s="109"/>
      <c r="N335" s="109"/>
      <c r="O335" s="113"/>
    </row>
    <row r="336" spans="1:15" ht="70.05" customHeight="1" outlineLevel="1">
      <c r="A336" s="109" t="s">
        <v>2271</v>
      </c>
      <c r="B336" s="110" t="s">
        <v>2272</v>
      </c>
      <c r="C336" s="110" t="s">
        <v>2273</v>
      </c>
      <c r="D336" s="111" t="s">
        <v>1929</v>
      </c>
      <c r="E336" s="111" t="s">
        <v>2213</v>
      </c>
      <c r="F336" s="109" t="s">
        <v>344</v>
      </c>
      <c r="G336" s="112">
        <v>46300</v>
      </c>
      <c r="H336" s="109" t="s">
        <v>4</v>
      </c>
      <c r="I336" s="109" t="s">
        <v>346</v>
      </c>
      <c r="J336" s="109"/>
      <c r="K336" s="109"/>
      <c r="L336" s="109" t="s">
        <v>346</v>
      </c>
      <c r="M336" s="109"/>
      <c r="N336" s="109"/>
      <c r="O336" s="113"/>
    </row>
    <row r="337" spans="1:15" ht="70.05" customHeight="1" outlineLevel="1">
      <c r="A337" s="109" t="s">
        <v>2274</v>
      </c>
      <c r="B337" s="110" t="s">
        <v>2275</v>
      </c>
      <c r="C337" s="110" t="s">
        <v>2276</v>
      </c>
      <c r="D337" s="111" t="s">
        <v>2277</v>
      </c>
      <c r="E337" s="111" t="s">
        <v>2213</v>
      </c>
      <c r="F337" s="109" t="s">
        <v>344</v>
      </c>
      <c r="G337" s="112">
        <v>46300</v>
      </c>
      <c r="H337" s="109" t="s">
        <v>4</v>
      </c>
      <c r="I337" s="109" t="s">
        <v>346</v>
      </c>
      <c r="J337" s="109"/>
      <c r="K337" s="109"/>
      <c r="L337" s="109" t="s">
        <v>346</v>
      </c>
      <c r="M337" s="109"/>
      <c r="N337" s="109"/>
      <c r="O337" s="113"/>
    </row>
    <row r="338" spans="1:15" ht="70.05" customHeight="1" outlineLevel="1">
      <c r="A338" s="109" t="s">
        <v>2278</v>
      </c>
      <c r="B338" s="110" t="s">
        <v>2279</v>
      </c>
      <c r="C338" s="110" t="s">
        <v>2280</v>
      </c>
      <c r="D338" s="111" t="s">
        <v>2281</v>
      </c>
      <c r="E338" s="111" t="s">
        <v>2213</v>
      </c>
      <c r="F338" s="109" t="s">
        <v>344</v>
      </c>
      <c r="G338" s="112">
        <v>46300</v>
      </c>
      <c r="H338" s="109" t="s">
        <v>4</v>
      </c>
      <c r="I338" s="109" t="s">
        <v>346</v>
      </c>
      <c r="J338" s="109"/>
      <c r="K338" s="109"/>
      <c r="L338" s="109" t="s">
        <v>346</v>
      </c>
      <c r="M338" s="109"/>
      <c r="N338" s="109"/>
      <c r="O338" s="113"/>
    </row>
    <row r="339" spans="1:15" ht="15.75" customHeight="1">
      <c r="A339" s="60" t="s">
        <v>112</v>
      </c>
      <c r="B339" s="60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2"/>
    </row>
    <row r="340" spans="1:15" ht="70.05" customHeight="1" outlineLevel="1">
      <c r="A340" s="109" t="s">
        <v>2282</v>
      </c>
      <c r="B340" s="110" t="s">
        <v>2283</v>
      </c>
      <c r="C340" s="110" t="s">
        <v>2284</v>
      </c>
      <c r="D340" s="111" t="s">
        <v>2285</v>
      </c>
      <c r="E340" s="111" t="s">
        <v>2286</v>
      </c>
      <c r="F340" s="109" t="s">
        <v>344</v>
      </c>
      <c r="G340" s="112">
        <v>46300</v>
      </c>
      <c r="H340" s="109" t="s">
        <v>4</v>
      </c>
      <c r="I340" s="109" t="s">
        <v>346</v>
      </c>
      <c r="J340" s="109"/>
      <c r="K340" s="109"/>
      <c r="L340" s="109" t="s">
        <v>346</v>
      </c>
      <c r="M340" s="109"/>
      <c r="N340" s="109"/>
      <c r="O340" s="113"/>
    </row>
    <row r="341" spans="1:15" ht="70.05" customHeight="1" outlineLevel="1">
      <c r="A341" s="109" t="s">
        <v>2287</v>
      </c>
      <c r="B341" s="110" t="s">
        <v>2283</v>
      </c>
      <c r="C341" s="110" t="s">
        <v>2284</v>
      </c>
      <c r="D341" s="111" t="s">
        <v>2288</v>
      </c>
      <c r="E341" s="111" t="s">
        <v>2289</v>
      </c>
      <c r="F341" s="109" t="s">
        <v>344</v>
      </c>
      <c r="G341" s="112">
        <v>46300</v>
      </c>
      <c r="H341" s="109" t="s">
        <v>4</v>
      </c>
      <c r="I341" s="109" t="s">
        <v>346</v>
      </c>
      <c r="J341" s="109"/>
      <c r="K341" s="109"/>
      <c r="L341" s="109" t="s">
        <v>346</v>
      </c>
      <c r="M341" s="109"/>
      <c r="N341" s="109"/>
      <c r="O341" s="113"/>
    </row>
    <row r="342" spans="1:15" ht="70.05" customHeight="1" outlineLevel="1">
      <c r="A342" s="109" t="s">
        <v>2290</v>
      </c>
      <c r="B342" s="110" t="s">
        <v>2283</v>
      </c>
      <c r="C342" s="110" t="s">
        <v>2284</v>
      </c>
      <c r="D342" s="111" t="s">
        <v>2291</v>
      </c>
      <c r="E342" s="111" t="s">
        <v>2292</v>
      </c>
      <c r="F342" s="109" t="s">
        <v>344</v>
      </c>
      <c r="G342" s="112">
        <v>46300</v>
      </c>
      <c r="H342" s="109" t="s">
        <v>4</v>
      </c>
      <c r="I342" s="109" t="s">
        <v>346</v>
      </c>
      <c r="J342" s="109"/>
      <c r="K342" s="109"/>
      <c r="L342" s="109" t="s">
        <v>346</v>
      </c>
      <c r="M342" s="109"/>
      <c r="N342" s="109"/>
      <c r="O342" s="113"/>
    </row>
    <row r="343" spans="1:15" ht="70.05" customHeight="1" outlineLevel="1">
      <c r="A343" s="109" t="s">
        <v>2293</v>
      </c>
      <c r="B343" s="110" t="s">
        <v>2294</v>
      </c>
      <c r="C343" s="110" t="s">
        <v>2295</v>
      </c>
      <c r="D343" s="111" t="s">
        <v>2296</v>
      </c>
      <c r="E343" s="111" t="s">
        <v>2150</v>
      </c>
      <c r="F343" s="109" t="s">
        <v>344</v>
      </c>
      <c r="G343" s="112">
        <v>46300</v>
      </c>
      <c r="H343" s="109" t="s">
        <v>4</v>
      </c>
      <c r="I343" s="109" t="s">
        <v>346</v>
      </c>
      <c r="J343" s="109"/>
      <c r="K343" s="109"/>
      <c r="L343" s="109" t="s">
        <v>346</v>
      </c>
      <c r="M343" s="109"/>
      <c r="N343" s="109"/>
      <c r="O343" s="113"/>
    </row>
    <row r="344" spans="1:15" ht="70.05" customHeight="1" outlineLevel="1">
      <c r="A344" s="109" t="s">
        <v>2297</v>
      </c>
      <c r="B344" s="110" t="s">
        <v>2298</v>
      </c>
      <c r="C344" s="110" t="s">
        <v>2299</v>
      </c>
      <c r="D344" s="111" t="s">
        <v>2296</v>
      </c>
      <c r="E344" s="111" t="s">
        <v>2300</v>
      </c>
      <c r="F344" s="109" t="s">
        <v>344</v>
      </c>
      <c r="G344" s="112">
        <v>46300</v>
      </c>
      <c r="H344" s="109" t="s">
        <v>4</v>
      </c>
      <c r="I344" s="109" t="s">
        <v>346</v>
      </c>
      <c r="J344" s="109"/>
      <c r="K344" s="109"/>
      <c r="L344" s="109" t="s">
        <v>346</v>
      </c>
      <c r="M344" s="109"/>
      <c r="N344" s="109"/>
      <c r="O344" s="113"/>
    </row>
    <row r="345" spans="1:15" ht="70.05" customHeight="1" outlineLevel="1">
      <c r="A345" s="109" t="s">
        <v>2301</v>
      </c>
      <c r="B345" s="110" t="s">
        <v>2283</v>
      </c>
      <c r="C345" s="110" t="s">
        <v>2284</v>
      </c>
      <c r="D345" s="111" t="s">
        <v>2302</v>
      </c>
      <c r="E345" s="111" t="s">
        <v>2303</v>
      </c>
      <c r="F345" s="109" t="s">
        <v>344</v>
      </c>
      <c r="G345" s="112">
        <v>46300</v>
      </c>
      <c r="H345" s="109" t="s">
        <v>4</v>
      </c>
      <c r="I345" s="109" t="s">
        <v>346</v>
      </c>
      <c r="J345" s="109"/>
      <c r="K345" s="109"/>
      <c r="L345" s="109" t="s">
        <v>346</v>
      </c>
      <c r="M345" s="109"/>
      <c r="N345" s="109"/>
      <c r="O345" s="113"/>
    </row>
    <row r="346" spans="1:15" ht="70.05" customHeight="1" outlineLevel="1">
      <c r="A346" s="109" t="s">
        <v>2304</v>
      </c>
      <c r="B346" s="110" t="s">
        <v>2283</v>
      </c>
      <c r="C346" s="110" t="s">
        <v>2284</v>
      </c>
      <c r="D346" s="111" t="s">
        <v>2305</v>
      </c>
      <c r="E346" s="111" t="s">
        <v>2306</v>
      </c>
      <c r="F346" s="109" t="s">
        <v>344</v>
      </c>
      <c r="G346" s="112">
        <v>46300</v>
      </c>
      <c r="H346" s="109" t="s">
        <v>4</v>
      </c>
      <c r="I346" s="109" t="s">
        <v>346</v>
      </c>
      <c r="J346" s="109"/>
      <c r="K346" s="109"/>
      <c r="L346" s="109" t="s">
        <v>346</v>
      </c>
      <c r="M346" s="109"/>
      <c r="N346" s="109"/>
      <c r="O346" s="113"/>
    </row>
    <row r="347" spans="1:15" ht="70.05" customHeight="1" outlineLevel="1">
      <c r="A347" s="109" t="s">
        <v>2307</v>
      </c>
      <c r="B347" s="110" t="s">
        <v>2283</v>
      </c>
      <c r="C347" s="110" t="s">
        <v>2284</v>
      </c>
      <c r="D347" s="111" t="s">
        <v>2308</v>
      </c>
      <c r="E347" s="111" t="s">
        <v>1813</v>
      </c>
      <c r="F347" s="109" t="s">
        <v>344</v>
      </c>
      <c r="G347" s="112">
        <v>46300</v>
      </c>
      <c r="H347" s="109" t="s">
        <v>4</v>
      </c>
      <c r="I347" s="109" t="s">
        <v>346</v>
      </c>
      <c r="J347" s="109"/>
      <c r="K347" s="109"/>
      <c r="L347" s="109" t="s">
        <v>346</v>
      </c>
      <c r="M347" s="109"/>
      <c r="N347" s="109"/>
      <c r="O347" s="113"/>
    </row>
    <row r="348" spans="1:15" ht="70.05" customHeight="1" outlineLevel="1">
      <c r="A348" s="109" t="s">
        <v>2309</v>
      </c>
      <c r="B348" s="110" t="s">
        <v>2310</v>
      </c>
      <c r="C348" s="110" t="s">
        <v>2284</v>
      </c>
      <c r="D348" s="111" t="s">
        <v>2311</v>
      </c>
      <c r="E348" s="111" t="s">
        <v>2312</v>
      </c>
      <c r="F348" s="109" t="s">
        <v>344</v>
      </c>
      <c r="G348" s="112">
        <v>46300</v>
      </c>
      <c r="H348" s="109" t="s">
        <v>4</v>
      </c>
      <c r="I348" s="109" t="s">
        <v>346</v>
      </c>
      <c r="J348" s="109"/>
      <c r="K348" s="109"/>
      <c r="L348" s="109" t="s">
        <v>346</v>
      </c>
      <c r="M348" s="109"/>
      <c r="N348" s="109"/>
      <c r="O348" s="113"/>
    </row>
    <row r="349" spans="1:15" ht="70.05" customHeight="1" outlineLevel="1">
      <c r="A349" s="109" t="s">
        <v>2313</v>
      </c>
      <c r="B349" s="110" t="s">
        <v>2310</v>
      </c>
      <c r="C349" s="110" t="s">
        <v>2284</v>
      </c>
      <c r="D349" s="111" t="s">
        <v>2314</v>
      </c>
      <c r="E349" s="111" t="s">
        <v>2315</v>
      </c>
      <c r="F349" s="109" t="s">
        <v>344</v>
      </c>
      <c r="G349" s="112">
        <v>46300</v>
      </c>
      <c r="H349" s="109" t="s">
        <v>4</v>
      </c>
      <c r="I349" s="109" t="s">
        <v>346</v>
      </c>
      <c r="J349" s="109"/>
      <c r="K349" s="109"/>
      <c r="L349" s="109" t="s">
        <v>346</v>
      </c>
      <c r="M349" s="109"/>
      <c r="N349" s="109"/>
      <c r="O349" s="113"/>
    </row>
    <row r="350" spans="1:15" ht="70.05" customHeight="1" outlineLevel="1">
      <c r="A350" s="109" t="s">
        <v>2316</v>
      </c>
      <c r="B350" s="110" t="s">
        <v>2310</v>
      </c>
      <c r="C350" s="110" t="s">
        <v>2284</v>
      </c>
      <c r="D350" s="111" t="s">
        <v>2317</v>
      </c>
      <c r="E350" s="111" t="s">
        <v>2318</v>
      </c>
      <c r="F350" s="109" t="s">
        <v>344</v>
      </c>
      <c r="G350" s="112">
        <v>46300</v>
      </c>
      <c r="H350" s="109" t="s">
        <v>4</v>
      </c>
      <c r="I350" s="109" t="s">
        <v>346</v>
      </c>
      <c r="J350" s="109"/>
      <c r="K350" s="109"/>
      <c r="L350" s="109" t="s">
        <v>346</v>
      </c>
      <c r="M350" s="109"/>
      <c r="N350" s="109"/>
      <c r="O350" s="113"/>
    </row>
    <row r="351" spans="1:15" ht="70.05" customHeight="1" outlineLevel="1">
      <c r="A351" s="109" t="s">
        <v>2319</v>
      </c>
      <c r="B351" s="110" t="s">
        <v>2310</v>
      </c>
      <c r="C351" s="110" t="s">
        <v>2284</v>
      </c>
      <c r="D351" s="111" t="s">
        <v>2320</v>
      </c>
      <c r="E351" s="111" t="s">
        <v>2321</v>
      </c>
      <c r="F351" s="109" t="s">
        <v>344</v>
      </c>
      <c r="G351" s="112">
        <v>46300</v>
      </c>
      <c r="H351" s="109" t="s">
        <v>4</v>
      </c>
      <c r="I351" s="109" t="s">
        <v>346</v>
      </c>
      <c r="J351" s="109"/>
      <c r="K351" s="109"/>
      <c r="L351" s="109" t="s">
        <v>346</v>
      </c>
      <c r="M351" s="109"/>
      <c r="N351" s="109"/>
      <c r="O351" s="113"/>
    </row>
    <row r="352" spans="1:15" ht="70.05" customHeight="1" outlineLevel="1">
      <c r="A352" s="109" t="s">
        <v>2322</v>
      </c>
      <c r="B352" s="110" t="s">
        <v>2323</v>
      </c>
      <c r="C352" s="110" t="s">
        <v>2324</v>
      </c>
      <c r="D352" s="111" t="s">
        <v>1611</v>
      </c>
      <c r="E352" s="111" t="s">
        <v>417</v>
      </c>
      <c r="F352" s="109" t="s">
        <v>344</v>
      </c>
      <c r="G352" s="112">
        <v>46300</v>
      </c>
      <c r="H352" s="109" t="s">
        <v>4</v>
      </c>
      <c r="I352" s="109" t="s">
        <v>346</v>
      </c>
      <c r="J352" s="109"/>
      <c r="K352" s="109"/>
      <c r="L352" s="109" t="s">
        <v>346</v>
      </c>
      <c r="M352" s="109"/>
      <c r="N352" s="109"/>
      <c r="O352" s="113"/>
    </row>
    <row r="353" spans="1:15" ht="70.05" customHeight="1" outlineLevel="1">
      <c r="A353" s="109" t="s">
        <v>2325</v>
      </c>
      <c r="B353" s="110" t="s">
        <v>2326</v>
      </c>
      <c r="C353" s="110" t="s">
        <v>2327</v>
      </c>
      <c r="D353" s="111" t="s">
        <v>1611</v>
      </c>
      <c r="E353" s="111" t="s">
        <v>417</v>
      </c>
      <c r="F353" s="109" t="s">
        <v>344</v>
      </c>
      <c r="G353" s="112">
        <v>46300</v>
      </c>
      <c r="H353" s="109" t="s">
        <v>4</v>
      </c>
      <c r="I353" s="109" t="s">
        <v>346</v>
      </c>
      <c r="J353" s="109"/>
      <c r="K353" s="109"/>
      <c r="L353" s="109" t="s">
        <v>346</v>
      </c>
      <c r="M353" s="109"/>
      <c r="N353" s="109"/>
      <c r="O353" s="113"/>
    </row>
    <row r="354" spans="1:15" ht="70.05" customHeight="1" outlineLevel="1">
      <c r="A354" s="109" t="s">
        <v>2328</v>
      </c>
      <c r="B354" s="110" t="s">
        <v>2329</v>
      </c>
      <c r="C354" s="110" t="s">
        <v>2284</v>
      </c>
      <c r="D354" s="111" t="s">
        <v>1611</v>
      </c>
      <c r="E354" s="111" t="s">
        <v>1988</v>
      </c>
      <c r="F354" s="109" t="s">
        <v>344</v>
      </c>
      <c r="G354" s="112">
        <v>46300</v>
      </c>
      <c r="H354" s="109" t="s">
        <v>4</v>
      </c>
      <c r="I354" s="109" t="s">
        <v>346</v>
      </c>
      <c r="J354" s="109"/>
      <c r="K354" s="109"/>
      <c r="L354" s="109" t="s">
        <v>346</v>
      </c>
      <c r="M354" s="109"/>
      <c r="N354" s="109"/>
      <c r="O354" s="113"/>
    </row>
    <row r="355" spans="1:15" ht="70.05" customHeight="1" outlineLevel="1">
      <c r="A355" s="109" t="s">
        <v>2330</v>
      </c>
      <c r="B355" s="110" t="s">
        <v>2331</v>
      </c>
      <c r="C355" s="110" t="s">
        <v>2332</v>
      </c>
      <c r="D355" s="111" t="s">
        <v>1845</v>
      </c>
      <c r="E355" s="111" t="s">
        <v>1846</v>
      </c>
      <c r="F355" s="109" t="s">
        <v>344</v>
      </c>
      <c r="G355" s="112">
        <v>46300</v>
      </c>
      <c r="H355" s="109" t="s">
        <v>4</v>
      </c>
      <c r="I355" s="109" t="s">
        <v>346</v>
      </c>
      <c r="J355" s="109"/>
      <c r="K355" s="109"/>
      <c r="L355" s="109" t="s">
        <v>346</v>
      </c>
      <c r="M355" s="109"/>
      <c r="N355" s="109"/>
      <c r="O355" s="113"/>
    </row>
    <row r="356" spans="1:15" ht="70.05" customHeight="1" outlineLevel="1">
      <c r="A356" s="109" t="s">
        <v>2333</v>
      </c>
      <c r="B356" s="110" t="s">
        <v>2334</v>
      </c>
      <c r="C356" s="110" t="s">
        <v>2335</v>
      </c>
      <c r="D356" s="111" t="s">
        <v>1845</v>
      </c>
      <c r="E356" s="111" t="s">
        <v>1995</v>
      </c>
      <c r="F356" s="109" t="s">
        <v>344</v>
      </c>
      <c r="G356" s="112">
        <v>46300</v>
      </c>
      <c r="H356" s="109" t="s">
        <v>4</v>
      </c>
      <c r="I356" s="109" t="s">
        <v>346</v>
      </c>
      <c r="J356" s="109"/>
      <c r="K356" s="109"/>
      <c r="L356" s="109" t="s">
        <v>346</v>
      </c>
      <c r="M356" s="109"/>
      <c r="N356" s="109"/>
      <c r="O356" s="113"/>
    </row>
    <row r="357" spans="1:15" ht="70.05" customHeight="1" outlineLevel="1">
      <c r="A357" s="109" t="s">
        <v>2336</v>
      </c>
      <c r="B357" s="110" t="s">
        <v>2337</v>
      </c>
      <c r="C357" s="110" t="s">
        <v>2338</v>
      </c>
      <c r="D357" s="111" t="s">
        <v>1845</v>
      </c>
      <c r="E357" s="111" t="s">
        <v>2003</v>
      </c>
      <c r="F357" s="109" t="s">
        <v>344</v>
      </c>
      <c r="G357" s="112">
        <v>46300</v>
      </c>
      <c r="H357" s="109" t="s">
        <v>4</v>
      </c>
      <c r="I357" s="109" t="s">
        <v>346</v>
      </c>
      <c r="J357" s="109"/>
      <c r="K357" s="109"/>
      <c r="L357" s="109" t="s">
        <v>346</v>
      </c>
      <c r="M357" s="109"/>
      <c r="N357" s="109"/>
      <c r="O357" s="113"/>
    </row>
    <row r="358" spans="1:15" ht="15.75" customHeight="1">
      <c r="A358" s="60" t="s">
        <v>114</v>
      </c>
      <c r="B358" s="60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2"/>
    </row>
    <row r="359" spans="1:15" ht="70.05" customHeight="1" outlineLevel="1">
      <c r="A359" s="109" t="s">
        <v>2339</v>
      </c>
      <c r="B359" s="110" t="s">
        <v>2340</v>
      </c>
      <c r="C359" s="110" t="s">
        <v>2341</v>
      </c>
      <c r="D359" s="111" t="s">
        <v>2342</v>
      </c>
      <c r="E359" s="111" t="s">
        <v>2008</v>
      </c>
      <c r="F359" s="109" t="s">
        <v>344</v>
      </c>
      <c r="G359" s="112">
        <v>46300</v>
      </c>
      <c r="H359" s="109" t="s">
        <v>4</v>
      </c>
      <c r="I359" s="109" t="s">
        <v>346</v>
      </c>
      <c r="J359" s="109"/>
      <c r="K359" s="109"/>
      <c r="L359" s="109" t="s">
        <v>346</v>
      </c>
      <c r="M359" s="109"/>
      <c r="N359" s="109"/>
      <c r="O359" s="113"/>
    </row>
    <row r="360" spans="1:15" ht="70.05" customHeight="1" outlineLevel="1">
      <c r="A360" s="109" t="s">
        <v>2343</v>
      </c>
      <c r="B360" s="110" t="s">
        <v>2344</v>
      </c>
      <c r="C360" s="110" t="s">
        <v>2345</v>
      </c>
      <c r="D360" s="111" t="s">
        <v>2346</v>
      </c>
      <c r="E360" s="111" t="s">
        <v>2008</v>
      </c>
      <c r="F360" s="109" t="s">
        <v>344</v>
      </c>
      <c r="G360" s="112">
        <v>46300</v>
      </c>
      <c r="H360" s="109" t="s">
        <v>4</v>
      </c>
      <c r="I360" s="109" t="s">
        <v>346</v>
      </c>
      <c r="J360" s="109"/>
      <c r="K360" s="109"/>
      <c r="L360" s="109" t="s">
        <v>346</v>
      </c>
      <c r="M360" s="109"/>
      <c r="N360" s="109"/>
      <c r="O360" s="113"/>
    </row>
    <row r="361" spans="1:15" ht="70.05" customHeight="1" outlineLevel="1">
      <c r="A361" s="109" t="s">
        <v>2347</v>
      </c>
      <c r="B361" s="110" t="s">
        <v>2348</v>
      </c>
      <c r="C361" s="110" t="s">
        <v>2349</v>
      </c>
      <c r="D361" s="111" t="s">
        <v>2350</v>
      </c>
      <c r="E361" s="111" t="s">
        <v>2351</v>
      </c>
      <c r="F361" s="109" t="s">
        <v>344</v>
      </c>
      <c r="G361" s="112">
        <v>46300</v>
      </c>
      <c r="H361" s="109" t="s">
        <v>4</v>
      </c>
      <c r="I361" s="109" t="s">
        <v>346</v>
      </c>
      <c r="J361" s="109"/>
      <c r="K361" s="109"/>
      <c r="L361" s="109" t="s">
        <v>346</v>
      </c>
      <c r="M361" s="109"/>
      <c r="N361" s="109"/>
      <c r="O361" s="113"/>
    </row>
    <row r="362" spans="1:15" ht="70.05" customHeight="1" outlineLevel="1">
      <c r="A362" s="109" t="s">
        <v>2352</v>
      </c>
      <c r="B362" s="110" t="s">
        <v>2353</v>
      </c>
      <c r="C362" s="110" t="s">
        <v>2354</v>
      </c>
      <c r="D362" s="111" t="s">
        <v>2355</v>
      </c>
      <c r="E362" s="111" t="s">
        <v>2008</v>
      </c>
      <c r="F362" s="109" t="s">
        <v>344</v>
      </c>
      <c r="G362" s="112">
        <v>46300</v>
      </c>
      <c r="H362" s="109" t="s">
        <v>4</v>
      </c>
      <c r="I362" s="109" t="s">
        <v>346</v>
      </c>
      <c r="J362" s="109"/>
      <c r="K362" s="109"/>
      <c r="L362" s="109" t="s">
        <v>346</v>
      </c>
      <c r="M362" s="109"/>
      <c r="N362" s="109"/>
      <c r="O362" s="113"/>
    </row>
    <row r="363" spans="1:15" ht="70.05" customHeight="1" outlineLevel="1">
      <c r="A363" s="109" t="s">
        <v>2356</v>
      </c>
      <c r="B363" s="110" t="s">
        <v>2340</v>
      </c>
      <c r="C363" s="110" t="s">
        <v>2357</v>
      </c>
      <c r="D363" s="111" t="s">
        <v>2358</v>
      </c>
      <c r="E363" s="111" t="s">
        <v>2008</v>
      </c>
      <c r="F363" s="109" t="s">
        <v>344</v>
      </c>
      <c r="G363" s="112">
        <v>46300</v>
      </c>
      <c r="H363" s="109" t="s">
        <v>4</v>
      </c>
      <c r="I363" s="109" t="s">
        <v>346</v>
      </c>
      <c r="J363" s="109"/>
      <c r="K363" s="109"/>
      <c r="L363" s="109" t="s">
        <v>346</v>
      </c>
      <c r="M363" s="109"/>
      <c r="N363" s="109"/>
      <c r="O363" s="113"/>
    </row>
    <row r="364" spans="1:15" ht="70.05" customHeight="1" outlineLevel="1">
      <c r="A364" s="109" t="s">
        <v>2359</v>
      </c>
      <c r="B364" s="110" t="s">
        <v>2360</v>
      </c>
      <c r="C364" s="110" t="s">
        <v>2361</v>
      </c>
      <c r="D364" s="111" t="s">
        <v>2362</v>
      </c>
      <c r="E364" s="111" t="s">
        <v>2363</v>
      </c>
      <c r="F364" s="109" t="s">
        <v>344</v>
      </c>
      <c r="G364" s="112">
        <v>46300</v>
      </c>
      <c r="H364" s="109" t="s">
        <v>4</v>
      </c>
      <c r="I364" s="109" t="s">
        <v>346</v>
      </c>
      <c r="J364" s="109"/>
      <c r="K364" s="109"/>
      <c r="L364" s="109" t="s">
        <v>346</v>
      </c>
      <c r="M364" s="109"/>
      <c r="N364" s="109"/>
      <c r="O364" s="113"/>
    </row>
    <row r="365" spans="1:15" ht="70.05" customHeight="1" outlineLevel="1">
      <c r="A365" s="109" t="s">
        <v>2364</v>
      </c>
      <c r="B365" s="110" t="s">
        <v>2365</v>
      </c>
      <c r="C365" s="110" t="s">
        <v>2366</v>
      </c>
      <c r="D365" s="111" t="s">
        <v>2367</v>
      </c>
      <c r="E365" s="111" t="s">
        <v>2368</v>
      </c>
      <c r="F365" s="109" t="s">
        <v>344</v>
      </c>
      <c r="G365" s="112">
        <v>46300</v>
      </c>
      <c r="H365" s="109" t="s">
        <v>4</v>
      </c>
      <c r="I365" s="109" t="s">
        <v>346</v>
      </c>
      <c r="J365" s="109"/>
      <c r="K365" s="109"/>
      <c r="L365" s="109" t="s">
        <v>346</v>
      </c>
      <c r="M365" s="109"/>
      <c r="N365" s="109"/>
      <c r="O365" s="113"/>
    </row>
    <row r="366" spans="1:15" ht="70.05" customHeight="1" outlineLevel="1">
      <c r="A366" s="109" t="s">
        <v>2369</v>
      </c>
      <c r="B366" s="110" t="s">
        <v>2365</v>
      </c>
      <c r="C366" s="110" t="s">
        <v>2366</v>
      </c>
      <c r="D366" s="111" t="s">
        <v>2370</v>
      </c>
      <c r="E366" s="111" t="s">
        <v>2371</v>
      </c>
      <c r="F366" s="109" t="s">
        <v>344</v>
      </c>
      <c r="G366" s="112">
        <v>46300</v>
      </c>
      <c r="H366" s="109" t="s">
        <v>4</v>
      </c>
      <c r="I366" s="109" t="s">
        <v>346</v>
      </c>
      <c r="J366" s="109"/>
      <c r="K366" s="109"/>
      <c r="L366" s="109" t="s">
        <v>346</v>
      </c>
      <c r="M366" s="109"/>
      <c r="N366" s="109"/>
      <c r="O366" s="113"/>
    </row>
    <row r="367" spans="1:15" ht="70.05" customHeight="1" outlineLevel="1">
      <c r="A367" s="109" t="s">
        <v>2372</v>
      </c>
      <c r="B367" s="110" t="s">
        <v>2373</v>
      </c>
      <c r="C367" s="110" t="s">
        <v>2374</v>
      </c>
      <c r="D367" s="111" t="s">
        <v>2375</v>
      </c>
      <c r="E367" s="111" t="s">
        <v>2008</v>
      </c>
      <c r="F367" s="109" t="s">
        <v>344</v>
      </c>
      <c r="G367" s="112">
        <v>46300</v>
      </c>
      <c r="H367" s="109" t="s">
        <v>4</v>
      </c>
      <c r="I367" s="109" t="s">
        <v>346</v>
      </c>
      <c r="J367" s="109"/>
      <c r="K367" s="109"/>
      <c r="L367" s="109" t="s">
        <v>346</v>
      </c>
      <c r="M367" s="109"/>
      <c r="N367" s="109"/>
      <c r="O367" s="113"/>
    </row>
    <row r="368" spans="1:15" ht="70.05" customHeight="1" outlineLevel="1">
      <c r="A368" s="109" t="s">
        <v>2376</v>
      </c>
      <c r="B368" s="110" t="s">
        <v>2377</v>
      </c>
      <c r="C368" s="110" t="s">
        <v>2378</v>
      </c>
      <c r="D368" s="111" t="s">
        <v>2379</v>
      </c>
      <c r="E368" s="111" t="s">
        <v>2008</v>
      </c>
      <c r="F368" s="109" t="s">
        <v>344</v>
      </c>
      <c r="G368" s="112">
        <v>46300</v>
      </c>
      <c r="H368" s="109" t="s">
        <v>4</v>
      </c>
      <c r="I368" s="109" t="s">
        <v>346</v>
      </c>
      <c r="J368" s="109"/>
      <c r="K368" s="109"/>
      <c r="L368" s="109" t="s">
        <v>346</v>
      </c>
      <c r="M368" s="109"/>
      <c r="N368" s="109"/>
      <c r="O368" s="113"/>
    </row>
    <row r="369" spans="1:15" ht="70.05" customHeight="1" outlineLevel="1">
      <c r="A369" s="109" t="s">
        <v>2380</v>
      </c>
      <c r="B369" s="110" t="s">
        <v>2381</v>
      </c>
      <c r="C369" s="110" t="s">
        <v>2382</v>
      </c>
      <c r="D369" s="111" t="s">
        <v>2383</v>
      </c>
      <c r="E369" s="111" t="s">
        <v>2008</v>
      </c>
      <c r="F369" s="109" t="s">
        <v>344</v>
      </c>
      <c r="G369" s="112">
        <v>46300</v>
      </c>
      <c r="H369" s="109" t="s">
        <v>4</v>
      </c>
      <c r="I369" s="109" t="s">
        <v>346</v>
      </c>
      <c r="J369" s="109"/>
      <c r="K369" s="109"/>
      <c r="L369" s="109" t="s">
        <v>346</v>
      </c>
      <c r="M369" s="109"/>
      <c r="N369" s="109"/>
      <c r="O369" s="113"/>
    </row>
    <row r="370" spans="1:15" ht="70.05" customHeight="1" outlineLevel="1">
      <c r="A370" s="109" t="s">
        <v>2384</v>
      </c>
      <c r="B370" s="110" t="s">
        <v>2385</v>
      </c>
      <c r="C370" s="110" t="s">
        <v>2386</v>
      </c>
      <c r="D370" s="111" t="s">
        <v>2387</v>
      </c>
      <c r="E370" s="111" t="s">
        <v>2008</v>
      </c>
      <c r="F370" s="109" t="s">
        <v>344</v>
      </c>
      <c r="G370" s="112">
        <v>46300</v>
      </c>
      <c r="H370" s="109" t="s">
        <v>4</v>
      </c>
      <c r="I370" s="109" t="s">
        <v>346</v>
      </c>
      <c r="J370" s="109"/>
      <c r="K370" s="109"/>
      <c r="L370" s="109" t="s">
        <v>346</v>
      </c>
      <c r="M370" s="109"/>
      <c r="N370" s="109"/>
      <c r="O370" s="113"/>
    </row>
    <row r="371" spans="1:15" ht="70.05" customHeight="1" outlineLevel="1">
      <c r="A371" s="109" t="s">
        <v>2388</v>
      </c>
      <c r="B371" s="110" t="s">
        <v>2389</v>
      </c>
      <c r="C371" s="110" t="s">
        <v>2390</v>
      </c>
      <c r="D371" s="111" t="s">
        <v>2391</v>
      </c>
      <c r="E371" s="111" t="s">
        <v>2392</v>
      </c>
      <c r="F371" s="109" t="s">
        <v>344</v>
      </c>
      <c r="G371" s="112">
        <v>46300</v>
      </c>
      <c r="H371" s="109" t="s">
        <v>4</v>
      </c>
      <c r="I371" s="109" t="s">
        <v>346</v>
      </c>
      <c r="J371" s="109"/>
      <c r="K371" s="109"/>
      <c r="L371" s="109" t="s">
        <v>346</v>
      </c>
      <c r="M371" s="109"/>
      <c r="N371" s="109"/>
      <c r="O371" s="113"/>
    </row>
    <row r="372" spans="1:15" ht="70.05" customHeight="1" outlineLevel="1">
      <c r="A372" s="109" t="s">
        <v>2393</v>
      </c>
      <c r="B372" s="110" t="s">
        <v>2394</v>
      </c>
      <c r="C372" s="110" t="s">
        <v>2395</v>
      </c>
      <c r="D372" s="111" t="s">
        <v>2396</v>
      </c>
      <c r="E372" s="111" t="s">
        <v>2397</v>
      </c>
      <c r="F372" s="109" t="s">
        <v>344</v>
      </c>
      <c r="G372" s="112">
        <v>46300</v>
      </c>
      <c r="H372" s="109" t="s">
        <v>4</v>
      </c>
      <c r="I372" s="109" t="s">
        <v>346</v>
      </c>
      <c r="J372" s="109"/>
      <c r="K372" s="109"/>
      <c r="L372" s="109" t="s">
        <v>346</v>
      </c>
      <c r="M372" s="109"/>
      <c r="N372" s="109"/>
      <c r="O372" s="113"/>
    </row>
    <row r="373" spans="1:15" ht="70.05" customHeight="1" outlineLevel="1">
      <c r="A373" s="109" t="s">
        <v>2398</v>
      </c>
      <c r="B373" s="110" t="s">
        <v>2399</v>
      </c>
      <c r="C373" s="110" t="s">
        <v>2400</v>
      </c>
      <c r="D373" s="111" t="s">
        <v>2401</v>
      </c>
      <c r="E373" s="111" t="s">
        <v>2402</v>
      </c>
      <c r="F373" s="109" t="s">
        <v>344</v>
      </c>
      <c r="G373" s="112">
        <v>46300</v>
      </c>
      <c r="H373" s="109" t="s">
        <v>4</v>
      </c>
      <c r="I373" s="109" t="s">
        <v>346</v>
      </c>
      <c r="J373" s="109"/>
      <c r="K373" s="109"/>
      <c r="L373" s="109" t="s">
        <v>346</v>
      </c>
      <c r="M373" s="109"/>
      <c r="N373" s="109"/>
      <c r="O373" s="113"/>
    </row>
    <row r="374" spans="1:15" ht="70.05" customHeight="1" outlineLevel="1">
      <c r="A374" s="109" t="s">
        <v>2403</v>
      </c>
      <c r="B374" s="110" t="s">
        <v>2404</v>
      </c>
      <c r="C374" s="110" t="s">
        <v>2405</v>
      </c>
      <c r="D374" s="111" t="s">
        <v>2401</v>
      </c>
      <c r="E374" s="111" t="s">
        <v>2402</v>
      </c>
      <c r="F374" s="109" t="s">
        <v>344</v>
      </c>
      <c r="G374" s="112">
        <v>46300</v>
      </c>
      <c r="H374" s="109" t="s">
        <v>4</v>
      </c>
      <c r="I374" s="109" t="s">
        <v>346</v>
      </c>
      <c r="J374" s="109"/>
      <c r="K374" s="109"/>
      <c r="L374" s="109" t="s">
        <v>346</v>
      </c>
      <c r="M374" s="109"/>
      <c r="N374" s="109"/>
      <c r="O374" s="113"/>
    </row>
    <row r="375" spans="1:15" ht="70.05" customHeight="1" outlineLevel="1">
      <c r="A375" s="109" t="s">
        <v>2406</v>
      </c>
      <c r="B375" s="110" t="s">
        <v>2407</v>
      </c>
      <c r="C375" s="110" t="s">
        <v>2408</v>
      </c>
      <c r="D375" s="111" t="s">
        <v>1309</v>
      </c>
      <c r="E375" s="111" t="s">
        <v>2409</v>
      </c>
      <c r="F375" s="109" t="s">
        <v>344</v>
      </c>
      <c r="G375" s="112">
        <v>46300</v>
      </c>
      <c r="H375" s="109" t="s">
        <v>4</v>
      </c>
      <c r="I375" s="109" t="s">
        <v>346</v>
      </c>
      <c r="J375" s="109"/>
      <c r="K375" s="109"/>
      <c r="L375" s="109" t="s">
        <v>346</v>
      </c>
      <c r="M375" s="109"/>
      <c r="N375" s="109"/>
      <c r="O375" s="113"/>
    </row>
    <row r="376" spans="1:15" ht="70.05" customHeight="1" outlineLevel="1">
      <c r="A376" s="109" t="s">
        <v>2410</v>
      </c>
      <c r="B376" s="110" t="s">
        <v>2411</v>
      </c>
      <c r="C376" s="110" t="s">
        <v>2412</v>
      </c>
      <c r="D376" s="111" t="s">
        <v>1920</v>
      </c>
      <c r="E376" s="111" t="s">
        <v>2413</v>
      </c>
      <c r="F376" s="109" t="s">
        <v>344</v>
      </c>
      <c r="G376" s="112">
        <v>46300</v>
      </c>
      <c r="H376" s="109" t="s">
        <v>4</v>
      </c>
      <c r="I376" s="109" t="s">
        <v>346</v>
      </c>
      <c r="J376" s="109"/>
      <c r="K376" s="109"/>
      <c r="L376" s="109" t="s">
        <v>346</v>
      </c>
      <c r="M376" s="109"/>
      <c r="N376" s="109"/>
      <c r="O376" s="113"/>
    </row>
    <row r="377" spans="1:15" ht="70.05" customHeight="1" outlineLevel="1">
      <c r="A377" s="109" t="s">
        <v>2414</v>
      </c>
      <c r="B377" s="110" t="s">
        <v>2415</v>
      </c>
      <c r="C377" s="110" t="s">
        <v>2341</v>
      </c>
      <c r="D377" s="111" t="s">
        <v>2070</v>
      </c>
      <c r="E377" s="111" t="s">
        <v>2071</v>
      </c>
      <c r="F377" s="109" t="s">
        <v>344</v>
      </c>
      <c r="G377" s="112">
        <v>46300</v>
      </c>
      <c r="H377" s="109" t="s">
        <v>4</v>
      </c>
      <c r="I377" s="109" t="s">
        <v>346</v>
      </c>
      <c r="J377" s="109"/>
      <c r="K377" s="109"/>
      <c r="L377" s="109" t="s">
        <v>346</v>
      </c>
      <c r="M377" s="109"/>
      <c r="N377" s="109"/>
      <c r="O377" s="113"/>
    </row>
    <row r="378" spans="1:15" ht="70.05" customHeight="1" outlineLevel="1">
      <c r="A378" s="109" t="s">
        <v>2416</v>
      </c>
      <c r="B378" s="110" t="s">
        <v>2417</v>
      </c>
      <c r="C378" s="110" t="s">
        <v>2418</v>
      </c>
      <c r="D378" s="111" t="s">
        <v>2419</v>
      </c>
      <c r="E378" s="111" t="s">
        <v>2008</v>
      </c>
      <c r="F378" s="109" t="s">
        <v>344</v>
      </c>
      <c r="G378" s="112">
        <v>46300</v>
      </c>
      <c r="H378" s="109" t="s">
        <v>4</v>
      </c>
      <c r="I378" s="109" t="s">
        <v>346</v>
      </c>
      <c r="J378" s="109"/>
      <c r="K378" s="109"/>
      <c r="L378" s="109" t="s">
        <v>346</v>
      </c>
      <c r="M378" s="109"/>
      <c r="N378" s="109"/>
      <c r="O378" s="113"/>
    </row>
    <row r="379" spans="1:15" ht="70.05" customHeight="1" outlineLevel="1">
      <c r="A379" s="109" t="s">
        <v>2420</v>
      </c>
      <c r="B379" s="110" t="s">
        <v>2421</v>
      </c>
      <c r="C379" s="110" t="s">
        <v>2422</v>
      </c>
      <c r="D379" s="111" t="s">
        <v>2423</v>
      </c>
      <c r="E379" s="111" t="s">
        <v>2008</v>
      </c>
      <c r="F379" s="109" t="s">
        <v>344</v>
      </c>
      <c r="G379" s="112">
        <v>46300</v>
      </c>
      <c r="H379" s="109" t="s">
        <v>4</v>
      </c>
      <c r="I379" s="109" t="s">
        <v>346</v>
      </c>
      <c r="J379" s="109"/>
      <c r="K379" s="109"/>
      <c r="L379" s="109" t="s">
        <v>346</v>
      </c>
      <c r="M379" s="109"/>
      <c r="N379" s="109"/>
      <c r="O379" s="113"/>
    </row>
    <row r="380" spans="1:15" ht="70.05" customHeight="1" outlineLevel="1">
      <c r="A380" s="109" t="s">
        <v>2424</v>
      </c>
      <c r="B380" s="110" t="s">
        <v>2425</v>
      </c>
      <c r="C380" s="110" t="s">
        <v>2426</v>
      </c>
      <c r="D380" s="111" t="s">
        <v>2427</v>
      </c>
      <c r="E380" s="111" t="s">
        <v>2008</v>
      </c>
      <c r="F380" s="109" t="s">
        <v>344</v>
      </c>
      <c r="G380" s="112">
        <v>46300</v>
      </c>
      <c r="H380" s="109" t="s">
        <v>4</v>
      </c>
      <c r="I380" s="109" t="s">
        <v>346</v>
      </c>
      <c r="J380" s="109"/>
      <c r="K380" s="109"/>
      <c r="L380" s="109" t="s">
        <v>346</v>
      </c>
      <c r="M380" s="109"/>
      <c r="N380" s="109"/>
      <c r="O380" s="113"/>
    </row>
    <row r="381" spans="1:15" ht="70.05" customHeight="1" outlineLevel="1">
      <c r="A381" s="109" t="s">
        <v>2428</v>
      </c>
      <c r="B381" s="110" t="s">
        <v>2429</v>
      </c>
      <c r="C381" s="110" t="s">
        <v>2430</v>
      </c>
      <c r="D381" s="111" t="s">
        <v>2431</v>
      </c>
      <c r="E381" s="111" t="s">
        <v>2008</v>
      </c>
      <c r="F381" s="109" t="s">
        <v>344</v>
      </c>
      <c r="G381" s="112">
        <v>46300</v>
      </c>
      <c r="H381" s="109" t="s">
        <v>4</v>
      </c>
      <c r="I381" s="109" t="s">
        <v>346</v>
      </c>
      <c r="J381" s="109"/>
      <c r="K381" s="109"/>
      <c r="L381" s="109" t="s">
        <v>346</v>
      </c>
      <c r="M381" s="109"/>
      <c r="N381" s="109"/>
      <c r="O381" s="113"/>
    </row>
    <row r="382" spans="1:15" ht="15.75" customHeight="1">
      <c r="A382" s="60" t="s">
        <v>116</v>
      </c>
      <c r="B382" s="60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2"/>
    </row>
    <row r="383" spans="1:15" ht="70.05" customHeight="1" outlineLevel="1">
      <c r="A383" s="109" t="s">
        <v>2432</v>
      </c>
      <c r="B383" s="110" t="s">
        <v>2433</v>
      </c>
      <c r="C383" s="110" t="s">
        <v>2434</v>
      </c>
      <c r="D383" s="111" t="s">
        <v>2435</v>
      </c>
      <c r="E383" s="111" t="s">
        <v>2436</v>
      </c>
      <c r="F383" s="109" t="s">
        <v>344</v>
      </c>
      <c r="G383" s="112">
        <v>46300</v>
      </c>
      <c r="H383" s="109" t="s">
        <v>4</v>
      </c>
      <c r="I383" s="109" t="s">
        <v>346</v>
      </c>
      <c r="J383" s="109"/>
      <c r="K383" s="109"/>
      <c r="L383" s="109" t="s">
        <v>346</v>
      </c>
      <c r="M383" s="109"/>
      <c r="N383" s="109"/>
      <c r="O383" s="113"/>
    </row>
    <row r="384" spans="1:15" ht="70.05" customHeight="1" outlineLevel="1">
      <c r="A384" s="109" t="s">
        <v>2437</v>
      </c>
      <c r="B384" s="110" t="s">
        <v>2438</v>
      </c>
      <c r="C384" s="110" t="s">
        <v>2439</v>
      </c>
      <c r="D384" s="111" t="s">
        <v>2440</v>
      </c>
      <c r="E384" s="111" t="s">
        <v>2441</v>
      </c>
      <c r="F384" s="109" t="s">
        <v>344</v>
      </c>
      <c r="G384" s="112">
        <v>46300</v>
      </c>
      <c r="H384" s="109" t="s">
        <v>4</v>
      </c>
      <c r="I384" s="109" t="s">
        <v>346</v>
      </c>
      <c r="J384" s="109"/>
      <c r="K384" s="109"/>
      <c r="L384" s="109" t="s">
        <v>346</v>
      </c>
      <c r="M384" s="109"/>
      <c r="N384" s="109"/>
      <c r="O384" s="113"/>
    </row>
    <row r="385" spans="1:15" ht="70.05" customHeight="1" outlineLevel="1">
      <c r="A385" s="109" t="s">
        <v>2442</v>
      </c>
      <c r="B385" s="110" t="s">
        <v>2443</v>
      </c>
      <c r="C385" s="110" t="s">
        <v>2444</v>
      </c>
      <c r="D385" s="111" t="s">
        <v>2445</v>
      </c>
      <c r="E385" s="111" t="s">
        <v>2446</v>
      </c>
      <c r="F385" s="109" t="s">
        <v>344</v>
      </c>
      <c r="G385" s="112">
        <v>46300</v>
      </c>
      <c r="H385" s="109" t="s">
        <v>4</v>
      </c>
      <c r="I385" s="109" t="s">
        <v>346</v>
      </c>
      <c r="J385" s="109"/>
      <c r="K385" s="109"/>
      <c r="L385" s="109" t="s">
        <v>346</v>
      </c>
      <c r="M385" s="109"/>
      <c r="N385" s="109"/>
      <c r="O385" s="113"/>
    </row>
    <row r="386" spans="1:15" ht="70.05" customHeight="1" outlineLevel="1">
      <c r="A386" s="109" t="s">
        <v>2447</v>
      </c>
      <c r="B386" s="110" t="s">
        <v>2438</v>
      </c>
      <c r="C386" s="110" t="s">
        <v>2439</v>
      </c>
      <c r="D386" s="111" t="s">
        <v>2440</v>
      </c>
      <c r="E386" s="111" t="s">
        <v>2448</v>
      </c>
      <c r="F386" s="109" t="s">
        <v>344</v>
      </c>
      <c r="G386" s="112">
        <v>46300</v>
      </c>
      <c r="H386" s="109" t="s">
        <v>4</v>
      </c>
      <c r="I386" s="109" t="s">
        <v>346</v>
      </c>
      <c r="J386" s="109"/>
      <c r="K386" s="109"/>
      <c r="L386" s="109" t="s">
        <v>346</v>
      </c>
      <c r="M386" s="109"/>
      <c r="N386" s="109"/>
      <c r="O386" s="113"/>
    </row>
    <row r="387" spans="1:15" ht="70.05" customHeight="1" outlineLevel="1">
      <c r="A387" s="109" t="s">
        <v>2449</v>
      </c>
      <c r="B387" s="110" t="s">
        <v>2438</v>
      </c>
      <c r="C387" s="110" t="s">
        <v>2439</v>
      </c>
      <c r="D387" s="111" t="s">
        <v>2450</v>
      </c>
      <c r="E387" s="111" t="s">
        <v>2436</v>
      </c>
      <c r="F387" s="109" t="s">
        <v>344</v>
      </c>
      <c r="G387" s="112">
        <v>46300</v>
      </c>
      <c r="H387" s="109" t="s">
        <v>4</v>
      </c>
      <c r="I387" s="109" t="s">
        <v>346</v>
      </c>
      <c r="J387" s="109"/>
      <c r="K387" s="109"/>
      <c r="L387" s="109" t="s">
        <v>346</v>
      </c>
      <c r="M387" s="109"/>
      <c r="N387" s="109"/>
      <c r="O387" s="113"/>
    </row>
    <row r="388" spans="1:15" ht="70.05" customHeight="1" outlineLevel="1">
      <c r="A388" s="109" t="s">
        <v>2451</v>
      </c>
      <c r="B388" s="110" t="s">
        <v>2443</v>
      </c>
      <c r="C388" s="110" t="s">
        <v>2444</v>
      </c>
      <c r="D388" s="111" t="s">
        <v>2452</v>
      </c>
      <c r="E388" s="111" t="s">
        <v>2453</v>
      </c>
      <c r="F388" s="109" t="s">
        <v>344</v>
      </c>
      <c r="G388" s="112">
        <v>46300</v>
      </c>
      <c r="H388" s="109" t="s">
        <v>4</v>
      </c>
      <c r="I388" s="109" t="s">
        <v>346</v>
      </c>
      <c r="J388" s="109"/>
      <c r="K388" s="109"/>
      <c r="L388" s="109" t="s">
        <v>346</v>
      </c>
      <c r="M388" s="109"/>
      <c r="N388" s="109"/>
      <c r="O388" s="113"/>
    </row>
    <row r="389" spans="1:15" ht="70.05" customHeight="1" outlineLevel="1">
      <c r="A389" s="109" t="s">
        <v>2454</v>
      </c>
      <c r="B389" s="110" t="s">
        <v>2438</v>
      </c>
      <c r="C389" s="110" t="s">
        <v>2439</v>
      </c>
      <c r="D389" s="111" t="s">
        <v>2455</v>
      </c>
      <c r="E389" s="111" t="s">
        <v>2456</v>
      </c>
      <c r="F389" s="109" t="s">
        <v>344</v>
      </c>
      <c r="G389" s="112">
        <v>46300</v>
      </c>
      <c r="H389" s="109" t="s">
        <v>4</v>
      </c>
      <c r="I389" s="109" t="s">
        <v>346</v>
      </c>
      <c r="J389" s="109"/>
      <c r="K389" s="109"/>
      <c r="L389" s="109" t="s">
        <v>346</v>
      </c>
      <c r="M389" s="109"/>
      <c r="N389" s="109"/>
      <c r="O389" s="113"/>
    </row>
    <row r="390" spans="1:15" ht="70.05" customHeight="1" outlineLevel="1">
      <c r="A390" s="109" t="s">
        <v>2457</v>
      </c>
      <c r="B390" s="110" t="s">
        <v>2458</v>
      </c>
      <c r="C390" s="110" t="s">
        <v>2459</v>
      </c>
      <c r="D390" s="111" t="s">
        <v>2440</v>
      </c>
      <c r="E390" s="111" t="s">
        <v>2460</v>
      </c>
      <c r="F390" s="109" t="s">
        <v>344</v>
      </c>
      <c r="G390" s="112">
        <v>46300</v>
      </c>
      <c r="H390" s="109" t="s">
        <v>4</v>
      </c>
      <c r="I390" s="109" t="s">
        <v>346</v>
      </c>
      <c r="J390" s="109"/>
      <c r="K390" s="109"/>
      <c r="L390" s="109" t="s">
        <v>346</v>
      </c>
      <c r="M390" s="109"/>
      <c r="N390" s="109"/>
      <c r="O390" s="113"/>
    </row>
    <row r="391" spans="1:15" ht="70.05" customHeight="1" outlineLevel="1">
      <c r="A391" s="109" t="s">
        <v>2461</v>
      </c>
      <c r="B391" s="110" t="s">
        <v>2433</v>
      </c>
      <c r="C391" s="110" t="s">
        <v>2434</v>
      </c>
      <c r="D391" s="111" t="s">
        <v>2462</v>
      </c>
      <c r="E391" s="111" t="s">
        <v>2436</v>
      </c>
      <c r="F391" s="109" t="s">
        <v>344</v>
      </c>
      <c r="G391" s="112">
        <v>46300</v>
      </c>
      <c r="H391" s="109" t="s">
        <v>4</v>
      </c>
      <c r="I391" s="109" t="s">
        <v>346</v>
      </c>
      <c r="J391" s="109"/>
      <c r="K391" s="109"/>
      <c r="L391" s="109" t="s">
        <v>346</v>
      </c>
      <c r="M391" s="109"/>
      <c r="N391" s="109"/>
      <c r="O391" s="113"/>
    </row>
    <row r="392" spans="1:15" ht="70.05" customHeight="1" outlineLevel="1">
      <c r="A392" s="109" t="s">
        <v>2463</v>
      </c>
      <c r="B392" s="110" t="s">
        <v>2464</v>
      </c>
      <c r="C392" s="110" t="s">
        <v>2434</v>
      </c>
      <c r="D392" s="111" t="s">
        <v>2465</v>
      </c>
      <c r="E392" s="111" t="s">
        <v>2466</v>
      </c>
      <c r="F392" s="109" t="s">
        <v>344</v>
      </c>
      <c r="G392" s="112">
        <v>46300</v>
      </c>
      <c r="H392" s="109" t="s">
        <v>4</v>
      </c>
      <c r="I392" s="109" t="s">
        <v>346</v>
      </c>
      <c r="J392" s="109"/>
      <c r="K392" s="109"/>
      <c r="L392" s="109" t="s">
        <v>346</v>
      </c>
      <c r="M392" s="109"/>
      <c r="N392" s="109"/>
      <c r="O392" s="113"/>
    </row>
    <row r="393" spans="1:15" ht="70.05" customHeight="1" outlineLevel="1">
      <c r="A393" s="109" t="s">
        <v>2467</v>
      </c>
      <c r="B393" s="110" t="s">
        <v>2468</v>
      </c>
      <c r="C393" s="110" t="s">
        <v>2444</v>
      </c>
      <c r="D393" s="111" t="s">
        <v>2469</v>
      </c>
      <c r="E393" s="111" t="s">
        <v>2470</v>
      </c>
      <c r="F393" s="109" t="s">
        <v>344</v>
      </c>
      <c r="G393" s="112">
        <v>46300</v>
      </c>
      <c r="H393" s="109" t="s">
        <v>4</v>
      </c>
      <c r="I393" s="109" t="s">
        <v>346</v>
      </c>
      <c r="J393" s="109"/>
      <c r="K393" s="109"/>
      <c r="L393" s="109" t="s">
        <v>346</v>
      </c>
      <c r="M393" s="109"/>
      <c r="N393" s="109"/>
      <c r="O393" s="113"/>
    </row>
    <row r="394" spans="1:15" ht="70.05" customHeight="1" outlineLevel="1">
      <c r="A394" s="109" t="s">
        <v>2471</v>
      </c>
      <c r="B394" s="110" t="s">
        <v>2472</v>
      </c>
      <c r="C394" s="110" t="s">
        <v>2439</v>
      </c>
      <c r="D394" s="111" t="s">
        <v>2180</v>
      </c>
      <c r="E394" s="111" t="s">
        <v>2470</v>
      </c>
      <c r="F394" s="109" t="s">
        <v>344</v>
      </c>
      <c r="G394" s="112">
        <v>46300</v>
      </c>
      <c r="H394" s="109" t="s">
        <v>4</v>
      </c>
      <c r="I394" s="109" t="s">
        <v>346</v>
      </c>
      <c r="J394" s="109"/>
      <c r="K394" s="109"/>
      <c r="L394" s="109" t="s">
        <v>346</v>
      </c>
      <c r="M394" s="109"/>
      <c r="N394" s="109"/>
      <c r="O394" s="113"/>
    </row>
    <row r="395" spans="1:15" ht="70.05" customHeight="1" outlineLevel="1">
      <c r="A395" s="109" t="s">
        <v>2473</v>
      </c>
      <c r="B395" s="110" t="s">
        <v>2464</v>
      </c>
      <c r="C395" s="110" t="s">
        <v>2434</v>
      </c>
      <c r="D395" s="111" t="s">
        <v>2180</v>
      </c>
      <c r="E395" s="111" t="s">
        <v>2474</v>
      </c>
      <c r="F395" s="109" t="s">
        <v>344</v>
      </c>
      <c r="G395" s="112">
        <v>46300</v>
      </c>
      <c r="H395" s="109" t="s">
        <v>4</v>
      </c>
      <c r="I395" s="109" t="s">
        <v>346</v>
      </c>
      <c r="J395" s="109"/>
      <c r="K395" s="109"/>
      <c r="L395" s="109" t="s">
        <v>346</v>
      </c>
      <c r="M395" s="109"/>
      <c r="N395" s="109"/>
      <c r="O395" s="113"/>
    </row>
    <row r="396" spans="1:15" ht="70.05" customHeight="1" outlineLevel="1">
      <c r="A396" s="109" t="s">
        <v>2475</v>
      </c>
      <c r="B396" s="110" t="s">
        <v>2476</v>
      </c>
      <c r="C396" s="110" t="s">
        <v>2459</v>
      </c>
      <c r="D396" s="111" t="s">
        <v>2180</v>
      </c>
      <c r="E396" s="111" t="s">
        <v>2477</v>
      </c>
      <c r="F396" s="109" t="s">
        <v>344</v>
      </c>
      <c r="G396" s="112">
        <v>46300</v>
      </c>
      <c r="H396" s="109" t="s">
        <v>4</v>
      </c>
      <c r="I396" s="109" t="s">
        <v>346</v>
      </c>
      <c r="J396" s="109"/>
      <c r="K396" s="109"/>
      <c r="L396" s="109" t="s">
        <v>346</v>
      </c>
      <c r="M396" s="109"/>
      <c r="N396" s="109"/>
      <c r="O396" s="113"/>
    </row>
    <row r="397" spans="1:15" ht="70.05" customHeight="1" outlineLevel="1">
      <c r="A397" s="109" t="s">
        <v>2478</v>
      </c>
      <c r="B397" s="110" t="s">
        <v>2479</v>
      </c>
      <c r="C397" s="110" t="s">
        <v>2444</v>
      </c>
      <c r="D397" s="111" t="s">
        <v>2401</v>
      </c>
      <c r="E397" s="111" t="s">
        <v>2480</v>
      </c>
      <c r="F397" s="109" t="s">
        <v>344</v>
      </c>
      <c r="G397" s="112">
        <v>46300</v>
      </c>
      <c r="H397" s="109" t="s">
        <v>4</v>
      </c>
      <c r="I397" s="109" t="s">
        <v>346</v>
      </c>
      <c r="J397" s="109"/>
      <c r="K397" s="109"/>
      <c r="L397" s="109" t="s">
        <v>346</v>
      </c>
      <c r="M397" s="109"/>
      <c r="N397" s="109"/>
      <c r="O397" s="113"/>
    </row>
    <row r="398" spans="1:15" ht="70.05" customHeight="1" outlineLevel="1">
      <c r="A398" s="109" t="s">
        <v>2481</v>
      </c>
      <c r="B398" s="110" t="s">
        <v>2482</v>
      </c>
      <c r="C398" s="110" t="s">
        <v>2483</v>
      </c>
      <c r="D398" s="111" t="s">
        <v>2484</v>
      </c>
      <c r="E398" s="111" t="s">
        <v>2008</v>
      </c>
      <c r="F398" s="109" t="s">
        <v>344</v>
      </c>
      <c r="G398" s="112">
        <v>46300</v>
      </c>
      <c r="H398" s="109" t="s">
        <v>4</v>
      </c>
      <c r="I398" s="109" t="s">
        <v>346</v>
      </c>
      <c r="J398" s="109"/>
      <c r="K398" s="109"/>
      <c r="L398" s="109" t="s">
        <v>346</v>
      </c>
      <c r="M398" s="109"/>
      <c r="N398" s="109"/>
      <c r="O398" s="113"/>
    </row>
    <row r="399" spans="1:15" ht="70.05" customHeight="1" outlineLevel="1">
      <c r="A399" s="109" t="s">
        <v>2485</v>
      </c>
      <c r="B399" s="110" t="s">
        <v>2486</v>
      </c>
      <c r="C399" s="110" t="s">
        <v>2439</v>
      </c>
      <c r="D399" s="111" t="s">
        <v>2484</v>
      </c>
      <c r="E399" s="111" t="s">
        <v>2487</v>
      </c>
      <c r="F399" s="109" t="s">
        <v>344</v>
      </c>
      <c r="G399" s="112">
        <v>46300</v>
      </c>
      <c r="H399" s="109" t="s">
        <v>4</v>
      </c>
      <c r="I399" s="109" t="s">
        <v>346</v>
      </c>
      <c r="J399" s="109"/>
      <c r="K399" s="109"/>
      <c r="L399" s="109" t="s">
        <v>346</v>
      </c>
      <c r="M399" s="109"/>
      <c r="N399" s="109"/>
      <c r="O399" s="113"/>
    </row>
    <row r="400" spans="1:15" ht="70.05" customHeight="1" outlineLevel="1">
      <c r="A400" s="109" t="s">
        <v>2488</v>
      </c>
      <c r="B400" s="110" t="s">
        <v>2489</v>
      </c>
      <c r="C400" s="110" t="s">
        <v>2490</v>
      </c>
      <c r="D400" s="111" t="s">
        <v>2484</v>
      </c>
      <c r="E400" s="111" t="s">
        <v>2491</v>
      </c>
      <c r="F400" s="109" t="s">
        <v>344</v>
      </c>
      <c r="G400" s="112">
        <v>46300</v>
      </c>
      <c r="H400" s="109" t="s">
        <v>4</v>
      </c>
      <c r="I400" s="109" t="s">
        <v>346</v>
      </c>
      <c r="J400" s="109"/>
      <c r="K400" s="109"/>
      <c r="L400" s="109" t="s">
        <v>346</v>
      </c>
      <c r="M400" s="109"/>
      <c r="N400" s="109"/>
      <c r="O400" s="113"/>
    </row>
    <row r="401" spans="1:15" ht="70.05" customHeight="1" outlineLevel="1">
      <c r="A401" s="109" t="s">
        <v>2492</v>
      </c>
      <c r="B401" s="110" t="s">
        <v>2493</v>
      </c>
      <c r="C401" s="110" t="s">
        <v>2434</v>
      </c>
      <c r="D401" s="111" t="s">
        <v>2070</v>
      </c>
      <c r="E401" s="111" t="s">
        <v>2071</v>
      </c>
      <c r="F401" s="109" t="s">
        <v>344</v>
      </c>
      <c r="G401" s="112">
        <v>46300</v>
      </c>
      <c r="H401" s="109" t="s">
        <v>4</v>
      </c>
      <c r="I401" s="109" t="s">
        <v>346</v>
      </c>
      <c r="J401" s="109"/>
      <c r="K401" s="109"/>
      <c r="L401" s="109" t="s">
        <v>346</v>
      </c>
      <c r="M401" s="109"/>
      <c r="N401" s="109"/>
      <c r="O401" s="113"/>
    </row>
    <row r="402" spans="1:15" ht="70.05" customHeight="1" outlineLevel="1">
      <c r="A402" s="109" t="s">
        <v>2494</v>
      </c>
      <c r="B402" s="110" t="s">
        <v>2493</v>
      </c>
      <c r="C402" s="110" t="s">
        <v>2434</v>
      </c>
      <c r="D402" s="111" t="s">
        <v>2070</v>
      </c>
      <c r="E402" s="111" t="s">
        <v>2075</v>
      </c>
      <c r="F402" s="109" t="s">
        <v>344</v>
      </c>
      <c r="G402" s="112">
        <v>46300</v>
      </c>
      <c r="H402" s="109" t="s">
        <v>4</v>
      </c>
      <c r="I402" s="109" t="s">
        <v>346</v>
      </c>
      <c r="J402" s="109"/>
      <c r="K402" s="109"/>
      <c r="L402" s="109" t="s">
        <v>346</v>
      </c>
      <c r="M402" s="109"/>
      <c r="N402" s="109"/>
      <c r="O402" s="113"/>
    </row>
    <row r="403" spans="1:15" ht="70.05" customHeight="1" outlineLevel="1">
      <c r="A403" s="109" t="s">
        <v>2495</v>
      </c>
      <c r="B403" s="110" t="s">
        <v>2496</v>
      </c>
      <c r="C403" s="110" t="s">
        <v>2497</v>
      </c>
      <c r="D403" s="111" t="s">
        <v>2427</v>
      </c>
      <c r="E403" s="111" t="s">
        <v>2008</v>
      </c>
      <c r="F403" s="109" t="s">
        <v>344</v>
      </c>
      <c r="G403" s="112">
        <v>46300</v>
      </c>
      <c r="H403" s="109" t="s">
        <v>4</v>
      </c>
      <c r="I403" s="109" t="s">
        <v>346</v>
      </c>
      <c r="J403" s="109"/>
      <c r="K403" s="109"/>
      <c r="L403" s="109" t="s">
        <v>346</v>
      </c>
      <c r="M403" s="109"/>
      <c r="N403" s="109"/>
      <c r="O403" s="113"/>
    </row>
    <row r="404" spans="1:15" ht="70.05" customHeight="1" outlineLevel="1">
      <c r="A404" s="109" t="s">
        <v>2498</v>
      </c>
      <c r="B404" s="110" t="s">
        <v>2499</v>
      </c>
      <c r="C404" s="110" t="s">
        <v>2500</v>
      </c>
      <c r="D404" s="111" t="s">
        <v>2501</v>
      </c>
      <c r="E404" s="111" t="s">
        <v>2008</v>
      </c>
      <c r="F404" s="109" t="s">
        <v>344</v>
      </c>
      <c r="G404" s="112">
        <v>46300</v>
      </c>
      <c r="H404" s="109" t="s">
        <v>4</v>
      </c>
      <c r="I404" s="109" t="s">
        <v>346</v>
      </c>
      <c r="J404" s="109"/>
      <c r="K404" s="109"/>
      <c r="L404" s="109" t="s">
        <v>346</v>
      </c>
      <c r="M404" s="109"/>
      <c r="N404" s="109"/>
      <c r="O404" s="113"/>
    </row>
    <row r="405" spans="1:15" ht="15.75" customHeight="1">
      <c r="A405" s="60" t="s">
        <v>118</v>
      </c>
      <c r="B405" s="60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2"/>
    </row>
    <row r="406" spans="1:15" ht="70.05" customHeight="1" outlineLevel="1">
      <c r="A406" s="109" t="s">
        <v>2502</v>
      </c>
      <c r="B406" s="110" t="s">
        <v>2503</v>
      </c>
      <c r="C406" s="110" t="s">
        <v>2504</v>
      </c>
      <c r="D406" s="111" t="s">
        <v>2505</v>
      </c>
      <c r="E406" s="111" t="s">
        <v>2436</v>
      </c>
      <c r="F406" s="109" t="s">
        <v>344</v>
      </c>
      <c r="G406" s="112">
        <v>46300</v>
      </c>
      <c r="H406" s="109" t="s">
        <v>4</v>
      </c>
      <c r="I406" s="109" t="s">
        <v>346</v>
      </c>
      <c r="J406" s="109"/>
      <c r="K406" s="109"/>
      <c r="L406" s="109" t="s">
        <v>346</v>
      </c>
      <c r="M406" s="109"/>
      <c r="N406" s="109"/>
      <c r="O406" s="113"/>
    </row>
    <row r="407" spans="1:15" ht="70.05" customHeight="1" outlineLevel="1">
      <c r="A407" s="109" t="s">
        <v>2506</v>
      </c>
      <c r="B407" s="110" t="s">
        <v>2503</v>
      </c>
      <c r="C407" s="110" t="s">
        <v>2504</v>
      </c>
      <c r="D407" s="111" t="s">
        <v>2505</v>
      </c>
      <c r="E407" s="111" t="s">
        <v>2441</v>
      </c>
      <c r="F407" s="109" t="s">
        <v>344</v>
      </c>
      <c r="G407" s="112">
        <v>46300</v>
      </c>
      <c r="H407" s="109" t="s">
        <v>4</v>
      </c>
      <c r="I407" s="109" t="s">
        <v>346</v>
      </c>
      <c r="J407" s="109"/>
      <c r="K407" s="109"/>
      <c r="L407" s="109" t="s">
        <v>346</v>
      </c>
      <c r="M407" s="109"/>
      <c r="N407" s="109"/>
      <c r="O407" s="113"/>
    </row>
    <row r="408" spans="1:15" ht="70.05" customHeight="1" outlineLevel="1">
      <c r="A408" s="109" t="s">
        <v>2507</v>
      </c>
      <c r="B408" s="110" t="s">
        <v>2503</v>
      </c>
      <c r="C408" s="110" t="s">
        <v>2504</v>
      </c>
      <c r="D408" s="111" t="s">
        <v>2505</v>
      </c>
      <c r="E408" s="111" t="s">
        <v>2448</v>
      </c>
      <c r="F408" s="109" t="s">
        <v>344</v>
      </c>
      <c r="G408" s="112">
        <v>46300</v>
      </c>
      <c r="H408" s="109" t="s">
        <v>4</v>
      </c>
      <c r="I408" s="109" t="s">
        <v>346</v>
      </c>
      <c r="J408" s="109"/>
      <c r="K408" s="109"/>
      <c r="L408" s="109" t="s">
        <v>346</v>
      </c>
      <c r="M408" s="109"/>
      <c r="N408" s="109"/>
      <c r="O408" s="113"/>
    </row>
    <row r="409" spans="1:15" ht="70.05" customHeight="1" outlineLevel="1">
      <c r="A409" s="109" t="s">
        <v>2508</v>
      </c>
      <c r="B409" s="110" t="s">
        <v>2503</v>
      </c>
      <c r="C409" s="110" t="s">
        <v>2504</v>
      </c>
      <c r="D409" s="111" t="s">
        <v>2509</v>
      </c>
      <c r="E409" s="111" t="s">
        <v>2436</v>
      </c>
      <c r="F409" s="109" t="s">
        <v>344</v>
      </c>
      <c r="G409" s="112">
        <v>46300</v>
      </c>
      <c r="H409" s="109" t="s">
        <v>4</v>
      </c>
      <c r="I409" s="109" t="s">
        <v>346</v>
      </c>
      <c r="J409" s="109"/>
      <c r="K409" s="109"/>
      <c r="L409" s="109" t="s">
        <v>346</v>
      </c>
      <c r="M409" s="109"/>
      <c r="N409" s="109"/>
      <c r="O409" s="113"/>
    </row>
    <row r="410" spans="1:15" ht="70.05" customHeight="1" outlineLevel="1">
      <c r="A410" s="109" t="s">
        <v>2510</v>
      </c>
      <c r="B410" s="110" t="s">
        <v>2503</v>
      </c>
      <c r="C410" s="110" t="s">
        <v>2504</v>
      </c>
      <c r="D410" s="111" t="s">
        <v>2511</v>
      </c>
      <c r="E410" s="111" t="s">
        <v>2436</v>
      </c>
      <c r="F410" s="109" t="s">
        <v>344</v>
      </c>
      <c r="G410" s="112">
        <v>46300</v>
      </c>
      <c r="H410" s="109" t="s">
        <v>4</v>
      </c>
      <c r="I410" s="109" t="s">
        <v>346</v>
      </c>
      <c r="J410" s="109"/>
      <c r="K410" s="109"/>
      <c r="L410" s="109" t="s">
        <v>346</v>
      </c>
      <c r="M410" s="109"/>
      <c r="N410" s="109"/>
      <c r="O410" s="113"/>
    </row>
    <row r="411" spans="1:15" ht="70.05" customHeight="1" outlineLevel="1">
      <c r="A411" s="109" t="s">
        <v>2512</v>
      </c>
      <c r="B411" s="110" t="s">
        <v>2503</v>
      </c>
      <c r="C411" s="110" t="s">
        <v>2504</v>
      </c>
      <c r="D411" s="111" t="s">
        <v>2166</v>
      </c>
      <c r="E411" s="111" t="s">
        <v>2436</v>
      </c>
      <c r="F411" s="109" t="s">
        <v>344</v>
      </c>
      <c r="G411" s="112">
        <v>46300</v>
      </c>
      <c r="H411" s="109" t="s">
        <v>4</v>
      </c>
      <c r="I411" s="109" t="s">
        <v>346</v>
      </c>
      <c r="J411" s="109"/>
      <c r="K411" s="109"/>
      <c r="L411" s="109" t="s">
        <v>346</v>
      </c>
      <c r="M411" s="109"/>
      <c r="N411" s="109"/>
      <c r="O411" s="113"/>
    </row>
    <row r="412" spans="1:15" ht="70.05" customHeight="1" outlineLevel="1">
      <c r="A412" s="109" t="s">
        <v>2513</v>
      </c>
      <c r="B412" s="110" t="s">
        <v>2503</v>
      </c>
      <c r="C412" s="110" t="s">
        <v>2504</v>
      </c>
      <c r="D412" s="111" t="s">
        <v>2168</v>
      </c>
      <c r="E412" s="111" t="s">
        <v>2514</v>
      </c>
      <c r="F412" s="109" t="s">
        <v>344</v>
      </c>
      <c r="G412" s="112">
        <v>46300</v>
      </c>
      <c r="H412" s="109" t="s">
        <v>4</v>
      </c>
      <c r="I412" s="109" t="s">
        <v>346</v>
      </c>
      <c r="J412" s="109"/>
      <c r="K412" s="109"/>
      <c r="L412" s="109" t="s">
        <v>346</v>
      </c>
      <c r="M412" s="109"/>
      <c r="N412" s="109"/>
      <c r="O412" s="113"/>
    </row>
    <row r="413" spans="1:15" ht="70.05" customHeight="1" outlineLevel="1">
      <c r="A413" s="109" t="s">
        <v>2515</v>
      </c>
      <c r="B413" s="110" t="s">
        <v>2516</v>
      </c>
      <c r="C413" s="110" t="s">
        <v>2517</v>
      </c>
      <c r="D413" s="111" t="s">
        <v>2518</v>
      </c>
      <c r="E413" s="111" t="s">
        <v>2519</v>
      </c>
      <c r="F413" s="109" t="s">
        <v>344</v>
      </c>
      <c r="G413" s="112">
        <v>46300</v>
      </c>
      <c r="H413" s="109" t="s">
        <v>4</v>
      </c>
      <c r="I413" s="109" t="s">
        <v>346</v>
      </c>
      <c r="J413" s="109"/>
      <c r="K413" s="109"/>
      <c r="L413" s="109" t="s">
        <v>346</v>
      </c>
      <c r="M413" s="109"/>
      <c r="N413" s="109"/>
      <c r="O413" s="113"/>
    </row>
    <row r="414" spans="1:15" ht="70.05" customHeight="1" outlineLevel="1">
      <c r="A414" s="109" t="s">
        <v>2520</v>
      </c>
      <c r="B414" s="110" t="s">
        <v>2521</v>
      </c>
      <c r="C414" s="110" t="s">
        <v>2504</v>
      </c>
      <c r="D414" s="111" t="s">
        <v>2522</v>
      </c>
      <c r="E414" s="111" t="s">
        <v>2466</v>
      </c>
      <c r="F414" s="109" t="s">
        <v>344</v>
      </c>
      <c r="G414" s="112">
        <v>46300</v>
      </c>
      <c r="H414" s="109" t="s">
        <v>4</v>
      </c>
      <c r="I414" s="109" t="s">
        <v>346</v>
      </c>
      <c r="J414" s="109"/>
      <c r="K414" s="109"/>
      <c r="L414" s="109" t="s">
        <v>346</v>
      </c>
      <c r="M414" s="109"/>
      <c r="N414" s="109"/>
      <c r="O414" s="113"/>
    </row>
    <row r="415" spans="1:15" ht="70.05" customHeight="1" outlineLevel="1">
      <c r="A415" s="109" t="s">
        <v>2523</v>
      </c>
      <c r="B415" s="110" t="s">
        <v>2521</v>
      </c>
      <c r="C415" s="110" t="s">
        <v>2504</v>
      </c>
      <c r="D415" s="111" t="s">
        <v>2180</v>
      </c>
      <c r="E415" s="111" t="s">
        <v>2470</v>
      </c>
      <c r="F415" s="109" t="s">
        <v>344</v>
      </c>
      <c r="G415" s="112">
        <v>46300</v>
      </c>
      <c r="H415" s="109" t="s">
        <v>4</v>
      </c>
      <c r="I415" s="109" t="s">
        <v>346</v>
      </c>
      <c r="J415" s="109"/>
      <c r="K415" s="109"/>
      <c r="L415" s="109" t="s">
        <v>346</v>
      </c>
      <c r="M415" s="109"/>
      <c r="N415" s="109"/>
      <c r="O415" s="113"/>
    </row>
    <row r="416" spans="1:15" ht="70.05" customHeight="1" outlineLevel="1">
      <c r="A416" s="109" t="s">
        <v>2524</v>
      </c>
      <c r="B416" s="110" t="s">
        <v>2521</v>
      </c>
      <c r="C416" s="110" t="s">
        <v>2504</v>
      </c>
      <c r="D416" s="111" t="s">
        <v>2525</v>
      </c>
      <c r="E416" s="111" t="s">
        <v>2526</v>
      </c>
      <c r="F416" s="109" t="s">
        <v>344</v>
      </c>
      <c r="G416" s="112">
        <v>46300</v>
      </c>
      <c r="H416" s="109" t="s">
        <v>4</v>
      </c>
      <c r="I416" s="109" t="s">
        <v>346</v>
      </c>
      <c r="J416" s="109"/>
      <c r="K416" s="109"/>
      <c r="L416" s="109" t="s">
        <v>346</v>
      </c>
      <c r="M416" s="109"/>
      <c r="N416" s="109"/>
      <c r="O416" s="113"/>
    </row>
    <row r="417" spans="1:15" ht="70.05" customHeight="1" outlineLevel="1">
      <c r="A417" s="109" t="s">
        <v>2527</v>
      </c>
      <c r="B417" s="110" t="s">
        <v>2521</v>
      </c>
      <c r="C417" s="110" t="s">
        <v>2504</v>
      </c>
      <c r="D417" s="111" t="s">
        <v>2528</v>
      </c>
      <c r="E417" s="111" t="s">
        <v>2529</v>
      </c>
      <c r="F417" s="109" t="s">
        <v>344</v>
      </c>
      <c r="G417" s="112">
        <v>46300</v>
      </c>
      <c r="H417" s="109" t="s">
        <v>4</v>
      </c>
      <c r="I417" s="109" t="s">
        <v>346</v>
      </c>
      <c r="J417" s="109"/>
      <c r="K417" s="109"/>
      <c r="L417" s="109" t="s">
        <v>346</v>
      </c>
      <c r="M417" s="109"/>
      <c r="N417" s="109"/>
      <c r="O417" s="113"/>
    </row>
    <row r="418" spans="1:15" ht="70.05" customHeight="1" outlineLevel="1">
      <c r="A418" s="109" t="s">
        <v>2530</v>
      </c>
      <c r="B418" s="110" t="s">
        <v>2531</v>
      </c>
      <c r="C418" s="110" t="s">
        <v>2532</v>
      </c>
      <c r="D418" s="111" t="s">
        <v>2484</v>
      </c>
      <c r="E418" s="111" t="s">
        <v>2008</v>
      </c>
      <c r="F418" s="109" t="s">
        <v>344</v>
      </c>
      <c r="G418" s="112">
        <v>46300</v>
      </c>
      <c r="H418" s="109" t="s">
        <v>4</v>
      </c>
      <c r="I418" s="109" t="s">
        <v>346</v>
      </c>
      <c r="J418" s="109"/>
      <c r="K418" s="109"/>
      <c r="L418" s="109" t="s">
        <v>346</v>
      </c>
      <c r="M418" s="109"/>
      <c r="N418" s="109"/>
      <c r="O418" s="113"/>
    </row>
    <row r="419" spans="1:15" ht="70.05" customHeight="1" outlineLevel="1">
      <c r="A419" s="109" t="s">
        <v>2533</v>
      </c>
      <c r="B419" s="110" t="s">
        <v>2534</v>
      </c>
      <c r="C419" s="110" t="s">
        <v>2535</v>
      </c>
      <c r="D419" s="111" t="s">
        <v>2484</v>
      </c>
      <c r="E419" s="111" t="s">
        <v>2008</v>
      </c>
      <c r="F419" s="109" t="s">
        <v>344</v>
      </c>
      <c r="G419" s="112">
        <v>46300</v>
      </c>
      <c r="H419" s="109" t="s">
        <v>4</v>
      </c>
      <c r="I419" s="109" t="s">
        <v>346</v>
      </c>
      <c r="J419" s="109"/>
      <c r="K419" s="109"/>
      <c r="L419" s="109" t="s">
        <v>346</v>
      </c>
      <c r="M419" s="109"/>
      <c r="N419" s="109"/>
      <c r="O419" s="113"/>
    </row>
    <row r="420" spans="1:15" ht="70.05" customHeight="1" outlineLevel="1">
      <c r="A420" s="109" t="s">
        <v>2536</v>
      </c>
      <c r="B420" s="110" t="s">
        <v>2537</v>
      </c>
      <c r="C420" s="110" t="s">
        <v>2504</v>
      </c>
      <c r="D420" s="111" t="s">
        <v>2484</v>
      </c>
      <c r="E420" s="111" t="s">
        <v>2538</v>
      </c>
      <c r="F420" s="109" t="s">
        <v>344</v>
      </c>
      <c r="G420" s="112">
        <v>46300</v>
      </c>
      <c r="H420" s="109" t="s">
        <v>4</v>
      </c>
      <c r="I420" s="109" t="s">
        <v>346</v>
      </c>
      <c r="J420" s="109"/>
      <c r="K420" s="109"/>
      <c r="L420" s="109" t="s">
        <v>346</v>
      </c>
      <c r="M420" s="109"/>
      <c r="N420" s="109"/>
      <c r="O420" s="113"/>
    </row>
    <row r="421" spans="1:15" ht="70.05" customHeight="1" outlineLevel="1">
      <c r="A421" s="109" t="s">
        <v>2539</v>
      </c>
      <c r="B421" s="110" t="s">
        <v>2540</v>
      </c>
      <c r="C421" s="110" t="s">
        <v>2541</v>
      </c>
      <c r="D421" s="111" t="s">
        <v>2484</v>
      </c>
      <c r="E421" s="111" t="s">
        <v>2491</v>
      </c>
      <c r="F421" s="109" t="s">
        <v>344</v>
      </c>
      <c r="G421" s="112">
        <v>46300</v>
      </c>
      <c r="H421" s="109" t="s">
        <v>4</v>
      </c>
      <c r="I421" s="109" t="s">
        <v>346</v>
      </c>
      <c r="J421" s="109"/>
      <c r="K421" s="109"/>
      <c r="L421" s="109" t="s">
        <v>346</v>
      </c>
      <c r="M421" s="109"/>
      <c r="N421" s="109"/>
      <c r="O421" s="113"/>
    </row>
    <row r="422" spans="1:15" ht="70.05" customHeight="1" outlineLevel="1">
      <c r="A422" s="109" t="s">
        <v>2542</v>
      </c>
      <c r="B422" s="110" t="s">
        <v>2543</v>
      </c>
      <c r="C422" s="110" t="s">
        <v>2517</v>
      </c>
      <c r="D422" s="111" t="s">
        <v>2180</v>
      </c>
      <c r="E422" s="111" t="s">
        <v>2544</v>
      </c>
      <c r="F422" s="109" t="s">
        <v>344</v>
      </c>
      <c r="G422" s="112">
        <v>46300</v>
      </c>
      <c r="H422" s="109" t="s">
        <v>4</v>
      </c>
      <c r="I422" s="109" t="s">
        <v>346</v>
      </c>
      <c r="J422" s="109"/>
      <c r="K422" s="109"/>
      <c r="L422" s="109" t="s">
        <v>346</v>
      </c>
      <c r="M422" s="109"/>
      <c r="N422" s="109"/>
      <c r="O422" s="113"/>
    </row>
    <row r="423" spans="1:15" ht="70.05" customHeight="1" outlineLevel="1">
      <c r="A423" s="109" t="s">
        <v>2545</v>
      </c>
      <c r="B423" s="110" t="s">
        <v>2537</v>
      </c>
      <c r="C423" s="110" t="s">
        <v>2504</v>
      </c>
      <c r="D423" s="111" t="s">
        <v>2070</v>
      </c>
      <c r="E423" s="111" t="s">
        <v>2071</v>
      </c>
      <c r="F423" s="109" t="s">
        <v>344</v>
      </c>
      <c r="G423" s="112">
        <v>46300</v>
      </c>
      <c r="H423" s="109" t="s">
        <v>4</v>
      </c>
      <c r="I423" s="109" t="s">
        <v>346</v>
      </c>
      <c r="J423" s="109"/>
      <c r="K423" s="109"/>
      <c r="L423" s="109" t="s">
        <v>346</v>
      </c>
      <c r="M423" s="109"/>
      <c r="N423" s="109"/>
      <c r="O423" s="113"/>
    </row>
    <row r="424" spans="1:15" ht="70.05" customHeight="1" outlineLevel="1">
      <c r="A424" s="109" t="s">
        <v>2546</v>
      </c>
      <c r="B424" s="110" t="s">
        <v>2537</v>
      </c>
      <c r="C424" s="110" t="s">
        <v>2504</v>
      </c>
      <c r="D424" s="111" t="s">
        <v>2070</v>
      </c>
      <c r="E424" s="111" t="s">
        <v>2073</v>
      </c>
      <c r="F424" s="109" t="s">
        <v>344</v>
      </c>
      <c r="G424" s="112">
        <v>46300</v>
      </c>
      <c r="H424" s="109" t="s">
        <v>4</v>
      </c>
      <c r="I424" s="109" t="s">
        <v>346</v>
      </c>
      <c r="J424" s="109"/>
      <c r="K424" s="109"/>
      <c r="L424" s="109" t="s">
        <v>346</v>
      </c>
      <c r="M424" s="109"/>
      <c r="N424" s="109"/>
      <c r="O424" s="113"/>
    </row>
    <row r="425" spans="1:15" ht="70.05" customHeight="1" outlineLevel="1">
      <c r="A425" s="109" t="s">
        <v>2547</v>
      </c>
      <c r="B425" s="110" t="s">
        <v>2537</v>
      </c>
      <c r="C425" s="110" t="s">
        <v>2504</v>
      </c>
      <c r="D425" s="111" t="s">
        <v>2070</v>
      </c>
      <c r="E425" s="111" t="s">
        <v>2075</v>
      </c>
      <c r="F425" s="109" t="s">
        <v>344</v>
      </c>
      <c r="G425" s="112">
        <v>46300</v>
      </c>
      <c r="H425" s="109" t="s">
        <v>4</v>
      </c>
      <c r="I425" s="109" t="s">
        <v>346</v>
      </c>
      <c r="J425" s="109"/>
      <c r="K425" s="109"/>
      <c r="L425" s="109" t="s">
        <v>346</v>
      </c>
      <c r="M425" s="109"/>
      <c r="N425" s="109"/>
      <c r="O425" s="113"/>
    </row>
  </sheetData>
  <mergeCells count="3">
    <mergeCell ref="B3:E3"/>
    <mergeCell ref="B2:E2"/>
    <mergeCell ref="B4:E4"/>
  </mergeCells>
  <dataValidations count="1">
    <dataValidation type="list" allowBlank="1" sqref="F12:F425 I12:I425 L12:L425" xr:uid="{00000000-0002-0000-0500-000000000000}">
      <formula1>$R$2:$R$5</formula1>
    </dataValidation>
  </dataValidations>
  <pageMargins left="0.74791666666666667" right="0.25" top="0.75" bottom="0.98402777777777772" header="0.5" footer="0.5"/>
  <pageSetup paperSize="9" firstPageNumber="0" orientation="landscape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R219"/>
  <sheetViews>
    <sheetView workbookViewId="0"/>
  </sheetViews>
  <sheetFormatPr defaultColWidth="9" defaultRowHeight="13.2" outlineLevelRow="1" outlineLevelCol="1"/>
  <cols>
    <col min="1" max="1" width="17" style="1" customWidth="1"/>
    <col min="2" max="2" width="34.44140625" style="1" customWidth="1"/>
    <col min="3" max="3" width="34.109375" style="1" customWidth="1"/>
    <col min="4" max="4" width="34.6640625" style="1" customWidth="1"/>
    <col min="5" max="5" width="28.33203125" style="1" customWidth="1"/>
    <col min="6" max="6" width="9.33203125" style="1" customWidth="1"/>
    <col min="7" max="7" width="10.6640625" style="1" customWidth="1" outlineLevel="1"/>
    <col min="8" max="8" width="7" style="1" bestFit="1" customWidth="1" outlineLevel="1"/>
    <col min="9" max="9" width="9.33203125" style="1" customWidth="1"/>
    <col min="10" max="10" width="10.6640625" style="1" customWidth="1" outlineLevel="1"/>
    <col min="11" max="11" width="7" style="1" bestFit="1" customWidth="1" outlineLevel="1"/>
    <col min="12" max="12" width="9.33203125" style="1" customWidth="1"/>
    <col min="13" max="13" width="10.6640625" style="1" customWidth="1" outlineLevel="1"/>
    <col min="14" max="14" width="7" style="1" bestFit="1" customWidth="1" outlineLevel="1"/>
    <col min="15" max="15" width="28.6640625" style="1" customWidth="1"/>
    <col min="16" max="16" width="10.109375" style="1" customWidth="1"/>
    <col min="17" max="17" width="8.109375" style="23" customWidth="1"/>
    <col min="18" max="18" width="7.6640625" style="1" hidden="1" customWidth="1"/>
    <col min="19" max="20" width="9" style="1" customWidth="1"/>
    <col min="21" max="16384" width="9" style="1"/>
  </cols>
  <sheetData>
    <row r="1" spans="1:18" ht="13.95" customHeight="1" thickBot="1"/>
    <row r="2" spans="1:18" s="25" customFormat="1" ht="15" customHeight="1">
      <c r="A2" s="73" t="s">
        <v>353</v>
      </c>
      <c r="B2" s="130" t="s">
        <v>121</v>
      </c>
      <c r="C2" s="131"/>
      <c r="D2" s="131"/>
      <c r="E2" s="132"/>
      <c r="F2" s="63"/>
      <c r="G2" s="57"/>
      <c r="H2" s="9"/>
      <c r="I2" s="63"/>
      <c r="J2" s="57"/>
      <c r="K2" s="9"/>
      <c r="L2" s="63"/>
      <c r="M2" s="57"/>
      <c r="N2" s="9"/>
      <c r="O2" s="9"/>
      <c r="P2" s="9"/>
      <c r="Q2" s="24"/>
      <c r="R2" s="25" t="s">
        <v>344</v>
      </c>
    </row>
    <row r="3" spans="1:18" s="25" customFormat="1" ht="13.95" customHeight="1">
      <c r="A3" s="74" t="s">
        <v>354</v>
      </c>
      <c r="B3" s="127" t="s">
        <v>2548</v>
      </c>
      <c r="C3" s="128"/>
      <c r="D3" s="128"/>
      <c r="E3" s="129"/>
      <c r="F3" s="63"/>
      <c r="G3" s="57"/>
      <c r="H3" s="9"/>
      <c r="I3" s="63"/>
      <c r="J3" s="57"/>
      <c r="K3" s="9"/>
      <c r="L3" s="63"/>
      <c r="M3" s="57"/>
      <c r="N3" s="9"/>
      <c r="O3" s="9"/>
      <c r="P3" s="9"/>
      <c r="Q3" s="24"/>
      <c r="R3" s="25" t="s">
        <v>345</v>
      </c>
    </row>
    <row r="4" spans="1:18" s="25" customFormat="1" ht="18" customHeight="1">
      <c r="A4" s="74" t="s">
        <v>356</v>
      </c>
      <c r="B4" s="127">
        <f>COUNTA(F12:F1000)</f>
        <v>199</v>
      </c>
      <c r="C4" s="128"/>
      <c r="D4" s="128"/>
      <c r="E4" s="129"/>
      <c r="F4" s="63"/>
      <c r="G4" s="57"/>
      <c r="H4" s="9"/>
      <c r="I4" s="63"/>
      <c r="J4" s="57"/>
      <c r="K4" s="9"/>
      <c r="L4" s="63"/>
      <c r="M4" s="57"/>
      <c r="N4" s="9"/>
      <c r="O4" s="9"/>
      <c r="P4" s="9"/>
      <c r="Q4" s="24"/>
      <c r="R4" s="25" t="s">
        <v>346</v>
      </c>
    </row>
    <row r="5" spans="1:18" s="25" customFormat="1" ht="19.5" customHeight="1">
      <c r="A5" s="67" t="s">
        <v>357</v>
      </c>
      <c r="B5" s="65" t="s">
        <v>344</v>
      </c>
      <c r="C5" s="65" t="s">
        <v>345</v>
      </c>
      <c r="D5" s="65" t="s">
        <v>346</v>
      </c>
      <c r="E5" s="68" t="s">
        <v>347</v>
      </c>
      <c r="F5" s="58"/>
      <c r="G5" s="58"/>
      <c r="H5" s="26"/>
      <c r="I5" s="58"/>
      <c r="J5" s="58"/>
      <c r="K5" s="26"/>
      <c r="L5" s="58"/>
      <c r="M5" s="58"/>
      <c r="N5" s="26"/>
      <c r="O5" s="26"/>
      <c r="P5" s="26"/>
      <c r="Q5" s="27"/>
      <c r="R5" s="25" t="s">
        <v>347</v>
      </c>
    </row>
    <row r="6" spans="1:18" s="25" customFormat="1" ht="15" customHeight="1">
      <c r="A6" s="67" t="s">
        <v>358</v>
      </c>
      <c r="B6" s="66">
        <f>COUNTIF($F$10:$F$998,B$5)</f>
        <v>73</v>
      </c>
      <c r="C6" s="66">
        <f>COUNTIF($F$10:$F$998,C$5)</f>
        <v>0</v>
      </c>
      <c r="D6" s="66">
        <f>COUNTIF($F$10:$F$998,D$5)</f>
        <v>126</v>
      </c>
      <c r="E6" s="72">
        <f>COUNTIF($F$10:$F$998,E$5)</f>
        <v>0</v>
      </c>
      <c r="F6" s="59"/>
      <c r="G6" s="59"/>
      <c r="H6" s="26"/>
      <c r="I6" s="59"/>
      <c r="J6" s="59"/>
      <c r="K6" s="26"/>
      <c r="L6" s="59"/>
      <c r="M6" s="59"/>
      <c r="N6" s="26"/>
      <c r="O6" s="26"/>
      <c r="P6" s="26"/>
      <c r="Q6" s="27"/>
    </row>
    <row r="7" spans="1:18" s="25" customFormat="1" ht="15" customHeight="1">
      <c r="A7" s="67" t="s">
        <v>359</v>
      </c>
      <c r="B7" s="66">
        <f>COUNTIF($I$10:$I$998,B$5)</f>
        <v>0</v>
      </c>
      <c r="C7" s="66">
        <f>COUNTIF($I$10:$I$998,C$5)</f>
        <v>0</v>
      </c>
      <c r="D7" s="66">
        <f>COUNTIF($I$10:$I$998,D$5)</f>
        <v>199</v>
      </c>
      <c r="E7" s="72">
        <f>COUNTIF($I$10:$I$998,E$5)</f>
        <v>0</v>
      </c>
      <c r="F7" s="59"/>
      <c r="G7" s="59"/>
      <c r="H7" s="26"/>
      <c r="I7" s="59"/>
      <c r="J7" s="59"/>
      <c r="K7" s="26"/>
      <c r="L7" s="59"/>
      <c r="M7" s="59"/>
      <c r="N7" s="26"/>
      <c r="O7" s="26"/>
      <c r="P7" s="26"/>
      <c r="Q7" s="27"/>
    </row>
    <row r="8" spans="1:18" s="25" customFormat="1" ht="15" customHeight="1" thickBot="1">
      <c r="A8" s="69" t="s">
        <v>360</v>
      </c>
      <c r="B8" s="70">
        <f>COUNTIF($L$10:$L$998,B$5)</f>
        <v>0</v>
      </c>
      <c r="C8" s="70">
        <f>COUNTIF($L$10:$L$998,C$5)</f>
        <v>0</v>
      </c>
      <c r="D8" s="70">
        <f>COUNTIF($L$10:$L$998,D$5)</f>
        <v>199</v>
      </c>
      <c r="E8" s="71">
        <f>COUNTIF($L$10:$L$998,E$5)</f>
        <v>0</v>
      </c>
      <c r="F8" s="59"/>
      <c r="G8" s="59"/>
      <c r="H8" s="26"/>
      <c r="I8" s="59"/>
      <c r="J8" s="59"/>
      <c r="K8" s="26"/>
      <c r="L8" s="59"/>
      <c r="M8" s="59"/>
      <c r="N8" s="26"/>
      <c r="O8" s="26"/>
      <c r="P8" s="26"/>
      <c r="Q8" s="27"/>
    </row>
    <row r="9" spans="1:18" s="25" customFormat="1" ht="15" customHeight="1">
      <c r="A9" s="26"/>
      <c r="B9" s="26"/>
      <c r="C9" s="26"/>
      <c r="D9" s="26"/>
      <c r="E9" s="26"/>
      <c r="F9" s="28"/>
      <c r="G9" s="26"/>
      <c r="H9" s="26"/>
      <c r="I9" s="28"/>
      <c r="J9" s="26"/>
      <c r="K9" s="26"/>
      <c r="L9" s="28"/>
      <c r="M9" s="26"/>
      <c r="N9" s="26"/>
      <c r="O9" s="26"/>
      <c r="P9" s="26"/>
      <c r="Q9" s="27"/>
    </row>
    <row r="10" spans="1:18" s="25" customFormat="1" ht="25.5" customHeight="1">
      <c r="A10" s="64" t="s">
        <v>361</v>
      </c>
      <c r="B10" s="64" t="s">
        <v>362</v>
      </c>
      <c r="C10" s="64" t="s">
        <v>363</v>
      </c>
      <c r="D10" s="64" t="s">
        <v>364</v>
      </c>
      <c r="E10" s="64" t="s">
        <v>365</v>
      </c>
      <c r="F10" s="64" t="s">
        <v>358</v>
      </c>
      <c r="G10" s="64" t="s">
        <v>366</v>
      </c>
      <c r="H10" s="64" t="s">
        <v>367</v>
      </c>
      <c r="I10" s="64" t="s">
        <v>359</v>
      </c>
      <c r="J10" s="64" t="s">
        <v>366</v>
      </c>
      <c r="K10" s="64" t="s">
        <v>367</v>
      </c>
      <c r="L10" s="64" t="s">
        <v>360</v>
      </c>
      <c r="M10" s="64" t="s">
        <v>366</v>
      </c>
      <c r="N10" s="64" t="s">
        <v>367</v>
      </c>
      <c r="O10" s="64" t="s">
        <v>368</v>
      </c>
      <c r="Q10" s="29"/>
    </row>
    <row r="11" spans="1:18" s="25" customFormat="1" ht="15.75" customHeight="1">
      <c r="A11" s="60" t="s">
        <v>120</v>
      </c>
      <c r="B11" s="60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2"/>
      <c r="Q11" s="30"/>
    </row>
    <row r="12" spans="1:18" s="32" customFormat="1" ht="70.05" customHeight="1" outlineLevel="1">
      <c r="A12" s="109" t="s">
        <v>2549</v>
      </c>
      <c r="B12" s="110" t="s">
        <v>2550</v>
      </c>
      <c r="C12" s="110" t="s">
        <v>2551</v>
      </c>
      <c r="D12" s="111" t="s">
        <v>2552</v>
      </c>
      <c r="E12" s="111" t="s">
        <v>2553</v>
      </c>
      <c r="F12" s="109" t="s">
        <v>344</v>
      </c>
      <c r="G12" s="112">
        <v>46300</v>
      </c>
      <c r="H12" s="109" t="s">
        <v>2554</v>
      </c>
      <c r="I12" s="109" t="s">
        <v>346</v>
      </c>
      <c r="J12" s="109"/>
      <c r="K12" s="109"/>
      <c r="L12" s="109" t="s">
        <v>346</v>
      </c>
      <c r="M12" s="109"/>
      <c r="N12" s="109"/>
      <c r="O12" s="113"/>
      <c r="Q12" s="31"/>
    </row>
    <row r="13" spans="1:18" ht="70.05" customHeight="1" outlineLevel="1">
      <c r="A13" s="109" t="s">
        <v>2555</v>
      </c>
      <c r="B13" s="110" t="s">
        <v>2556</v>
      </c>
      <c r="C13" s="110" t="s">
        <v>2557</v>
      </c>
      <c r="D13" s="111" t="s">
        <v>2558</v>
      </c>
      <c r="E13" s="111" t="s">
        <v>2553</v>
      </c>
      <c r="F13" s="109" t="s">
        <v>344</v>
      </c>
      <c r="G13" s="112">
        <v>46300</v>
      </c>
      <c r="H13" s="109" t="s">
        <v>2554</v>
      </c>
      <c r="I13" s="109" t="s">
        <v>346</v>
      </c>
      <c r="J13" s="109"/>
      <c r="K13" s="109"/>
      <c r="L13" s="109" t="s">
        <v>346</v>
      </c>
      <c r="M13" s="109"/>
      <c r="N13" s="109"/>
      <c r="O13" s="113"/>
      <c r="Q13" s="31"/>
    </row>
    <row r="14" spans="1:18" ht="70.05" customHeight="1" outlineLevel="1">
      <c r="A14" s="109" t="s">
        <v>2559</v>
      </c>
      <c r="B14" s="110" t="s">
        <v>2560</v>
      </c>
      <c r="C14" s="110" t="s">
        <v>2561</v>
      </c>
      <c r="D14" s="111" t="s">
        <v>2562</v>
      </c>
      <c r="E14" s="111" t="s">
        <v>2553</v>
      </c>
      <c r="F14" s="109" t="s">
        <v>344</v>
      </c>
      <c r="G14" s="112">
        <v>46300</v>
      </c>
      <c r="H14" s="109" t="s">
        <v>2554</v>
      </c>
      <c r="I14" s="109" t="s">
        <v>346</v>
      </c>
      <c r="J14" s="109"/>
      <c r="K14" s="109"/>
      <c r="L14" s="109" t="s">
        <v>346</v>
      </c>
      <c r="M14" s="109"/>
      <c r="N14" s="109"/>
      <c r="O14" s="113"/>
      <c r="Q14" s="31"/>
    </row>
    <row r="15" spans="1:18" s="25" customFormat="1" ht="70.05" customHeight="1" outlineLevel="1">
      <c r="A15" s="109" t="s">
        <v>2563</v>
      </c>
      <c r="B15" s="110" t="s">
        <v>2564</v>
      </c>
      <c r="C15" s="110" t="s">
        <v>2565</v>
      </c>
      <c r="D15" s="111" t="s">
        <v>2566</v>
      </c>
      <c r="E15" s="111" t="s">
        <v>2567</v>
      </c>
      <c r="F15" s="109" t="s">
        <v>344</v>
      </c>
      <c r="G15" s="112">
        <v>46300</v>
      </c>
      <c r="H15" s="109" t="s">
        <v>2554</v>
      </c>
      <c r="I15" s="109" t="s">
        <v>346</v>
      </c>
      <c r="J15" s="109"/>
      <c r="K15" s="109"/>
      <c r="L15" s="109" t="s">
        <v>346</v>
      </c>
      <c r="M15" s="109"/>
      <c r="N15" s="109"/>
      <c r="O15" s="113"/>
      <c r="Q15" s="30"/>
    </row>
    <row r="16" spans="1:18" ht="70.05" customHeight="1" outlineLevel="1">
      <c r="A16" s="109" t="s">
        <v>2568</v>
      </c>
      <c r="B16" s="110" t="s">
        <v>2569</v>
      </c>
      <c r="C16" s="110" t="s">
        <v>2570</v>
      </c>
      <c r="D16" s="111" t="s">
        <v>2571</v>
      </c>
      <c r="E16" s="111" t="s">
        <v>2553</v>
      </c>
      <c r="F16" s="109" t="s">
        <v>344</v>
      </c>
      <c r="G16" s="112">
        <v>46300</v>
      </c>
      <c r="H16" s="109" t="s">
        <v>2554</v>
      </c>
      <c r="I16" s="109" t="s">
        <v>346</v>
      </c>
      <c r="J16" s="109"/>
      <c r="K16" s="109"/>
      <c r="L16" s="109" t="s">
        <v>346</v>
      </c>
      <c r="M16" s="109"/>
      <c r="N16" s="109"/>
      <c r="O16" s="113"/>
      <c r="Q16" s="31"/>
    </row>
    <row r="17" spans="1:17" ht="70.05" customHeight="1" outlineLevel="1">
      <c r="A17" s="109" t="s">
        <v>2572</v>
      </c>
      <c r="B17" s="110" t="s">
        <v>2573</v>
      </c>
      <c r="C17" s="110" t="s">
        <v>2574</v>
      </c>
      <c r="D17" s="111" t="s">
        <v>2575</v>
      </c>
      <c r="E17" s="111" t="s">
        <v>2553</v>
      </c>
      <c r="F17" s="109" t="s">
        <v>344</v>
      </c>
      <c r="G17" s="112">
        <v>46300</v>
      </c>
      <c r="H17" s="109" t="s">
        <v>2554</v>
      </c>
      <c r="I17" s="109" t="s">
        <v>346</v>
      </c>
      <c r="J17" s="109"/>
      <c r="K17" s="109"/>
      <c r="L17" s="109" t="s">
        <v>346</v>
      </c>
      <c r="M17" s="109"/>
      <c r="N17" s="109"/>
      <c r="O17" s="113"/>
    </row>
    <row r="18" spans="1:17" s="25" customFormat="1" ht="70.05" customHeight="1" outlineLevel="1">
      <c r="A18" s="109" t="s">
        <v>2576</v>
      </c>
      <c r="B18" s="110" t="s">
        <v>2577</v>
      </c>
      <c r="C18" s="110" t="s">
        <v>2578</v>
      </c>
      <c r="D18" s="111" t="s">
        <v>2579</v>
      </c>
      <c r="E18" s="111" t="s">
        <v>2580</v>
      </c>
      <c r="F18" s="109" t="s">
        <v>344</v>
      </c>
      <c r="G18" s="112">
        <v>46300</v>
      </c>
      <c r="H18" s="109" t="s">
        <v>2554</v>
      </c>
      <c r="I18" s="109" t="s">
        <v>346</v>
      </c>
      <c r="J18" s="109"/>
      <c r="K18" s="109"/>
      <c r="L18" s="109" t="s">
        <v>346</v>
      </c>
      <c r="M18" s="109"/>
      <c r="N18" s="109"/>
      <c r="O18" s="113"/>
      <c r="Q18" s="30"/>
    </row>
    <row r="19" spans="1:17" ht="70.05" customHeight="1" outlineLevel="1">
      <c r="A19" s="109" t="s">
        <v>2581</v>
      </c>
      <c r="B19" s="110" t="s">
        <v>2582</v>
      </c>
      <c r="C19" s="110" t="s">
        <v>2583</v>
      </c>
      <c r="D19" s="111" t="s">
        <v>2584</v>
      </c>
      <c r="E19" s="111" t="s">
        <v>2553</v>
      </c>
      <c r="F19" s="109" t="s">
        <v>344</v>
      </c>
      <c r="G19" s="112">
        <v>46300</v>
      </c>
      <c r="H19" s="109" t="s">
        <v>2554</v>
      </c>
      <c r="I19" s="109" t="s">
        <v>346</v>
      </c>
      <c r="J19" s="109"/>
      <c r="K19" s="109"/>
      <c r="L19" s="109" t="s">
        <v>346</v>
      </c>
      <c r="M19" s="109"/>
      <c r="N19" s="109"/>
      <c r="O19" s="113"/>
      <c r="Q19" s="31"/>
    </row>
    <row r="20" spans="1:17" ht="70.05" customHeight="1" outlineLevel="1">
      <c r="A20" s="109" t="s">
        <v>2585</v>
      </c>
      <c r="B20" s="110" t="s">
        <v>2586</v>
      </c>
      <c r="C20" s="110" t="s">
        <v>2587</v>
      </c>
      <c r="D20" s="111" t="s">
        <v>2588</v>
      </c>
      <c r="E20" s="111" t="s">
        <v>2553</v>
      </c>
      <c r="F20" s="109" t="s">
        <v>344</v>
      </c>
      <c r="G20" s="112">
        <v>46300</v>
      </c>
      <c r="H20" s="109" t="s">
        <v>2554</v>
      </c>
      <c r="I20" s="109" t="s">
        <v>346</v>
      </c>
      <c r="J20" s="109"/>
      <c r="K20" s="109"/>
      <c r="L20" s="109" t="s">
        <v>346</v>
      </c>
      <c r="M20" s="109"/>
      <c r="N20" s="109"/>
      <c r="O20" s="113"/>
    </row>
    <row r="21" spans="1:17" ht="70.05" customHeight="1" outlineLevel="1">
      <c r="A21" s="109" t="s">
        <v>2589</v>
      </c>
      <c r="B21" s="110" t="s">
        <v>2590</v>
      </c>
      <c r="C21" s="110" t="s">
        <v>2591</v>
      </c>
      <c r="D21" s="111" t="s">
        <v>2592</v>
      </c>
      <c r="E21" s="111" t="s">
        <v>2553</v>
      </c>
      <c r="F21" s="109" t="s">
        <v>344</v>
      </c>
      <c r="G21" s="112">
        <v>46300</v>
      </c>
      <c r="H21" s="109" t="s">
        <v>2554</v>
      </c>
      <c r="I21" s="109" t="s">
        <v>346</v>
      </c>
      <c r="J21" s="109"/>
      <c r="K21" s="109"/>
      <c r="L21" s="109" t="s">
        <v>346</v>
      </c>
      <c r="M21" s="109"/>
      <c r="N21" s="109"/>
      <c r="O21" s="113"/>
    </row>
    <row r="22" spans="1:17" ht="70.05" customHeight="1" outlineLevel="1">
      <c r="A22" s="109" t="s">
        <v>2593</v>
      </c>
      <c r="B22" s="110" t="s">
        <v>2594</v>
      </c>
      <c r="C22" s="110" t="s">
        <v>2595</v>
      </c>
      <c r="D22" s="111" t="s">
        <v>2596</v>
      </c>
      <c r="E22" s="111" t="s">
        <v>2553</v>
      </c>
      <c r="F22" s="109" t="s">
        <v>344</v>
      </c>
      <c r="G22" s="112">
        <v>46300</v>
      </c>
      <c r="H22" s="109" t="s">
        <v>2554</v>
      </c>
      <c r="I22" s="109" t="s">
        <v>346</v>
      </c>
      <c r="J22" s="109"/>
      <c r="K22" s="109"/>
      <c r="L22" s="109" t="s">
        <v>346</v>
      </c>
      <c r="M22" s="109"/>
      <c r="N22" s="109"/>
      <c r="O22" s="113"/>
    </row>
    <row r="23" spans="1:17" ht="70.05" customHeight="1" outlineLevel="1">
      <c r="A23" s="109" t="s">
        <v>2597</v>
      </c>
      <c r="B23" s="110" t="s">
        <v>2598</v>
      </c>
      <c r="C23" s="110" t="s">
        <v>2599</v>
      </c>
      <c r="D23" s="111" t="s">
        <v>2600</v>
      </c>
      <c r="E23" s="111" t="s">
        <v>2553</v>
      </c>
      <c r="F23" s="109" t="s">
        <v>344</v>
      </c>
      <c r="G23" s="112">
        <v>46300</v>
      </c>
      <c r="H23" s="109" t="s">
        <v>2554</v>
      </c>
      <c r="I23" s="109" t="s">
        <v>346</v>
      </c>
      <c r="J23" s="109"/>
      <c r="K23" s="109"/>
      <c r="L23" s="109" t="s">
        <v>346</v>
      </c>
      <c r="M23" s="109"/>
      <c r="N23" s="109"/>
      <c r="O23" s="113"/>
    </row>
    <row r="24" spans="1:17" ht="70.05" customHeight="1" outlineLevel="1">
      <c r="A24" s="109" t="s">
        <v>2601</v>
      </c>
      <c r="B24" s="110" t="s">
        <v>2602</v>
      </c>
      <c r="C24" s="110" t="s">
        <v>2603</v>
      </c>
      <c r="D24" s="111" t="s">
        <v>2600</v>
      </c>
      <c r="E24" s="111" t="s">
        <v>2553</v>
      </c>
      <c r="F24" s="109" t="s">
        <v>344</v>
      </c>
      <c r="G24" s="112">
        <v>46300</v>
      </c>
      <c r="H24" s="109" t="s">
        <v>2554</v>
      </c>
      <c r="I24" s="109" t="s">
        <v>346</v>
      </c>
      <c r="J24" s="109"/>
      <c r="K24" s="109"/>
      <c r="L24" s="109" t="s">
        <v>346</v>
      </c>
      <c r="M24" s="109"/>
      <c r="N24" s="109"/>
      <c r="O24" s="113"/>
    </row>
    <row r="25" spans="1:17" ht="70.05" customHeight="1" outlineLevel="1">
      <c r="A25" s="109" t="s">
        <v>2604</v>
      </c>
      <c r="B25" s="110" t="s">
        <v>2605</v>
      </c>
      <c r="C25" s="110" t="s">
        <v>2606</v>
      </c>
      <c r="D25" s="111" t="s">
        <v>2607</v>
      </c>
      <c r="E25" s="111" t="s">
        <v>2608</v>
      </c>
      <c r="F25" s="109" t="s">
        <v>344</v>
      </c>
      <c r="G25" s="112">
        <v>46300</v>
      </c>
      <c r="H25" s="109" t="s">
        <v>2554</v>
      </c>
      <c r="I25" s="109" t="s">
        <v>346</v>
      </c>
      <c r="J25" s="109"/>
      <c r="K25" s="109"/>
      <c r="L25" s="109" t="s">
        <v>346</v>
      </c>
      <c r="M25" s="109"/>
      <c r="N25" s="109"/>
      <c r="O25" s="113"/>
    </row>
    <row r="26" spans="1:17" ht="70.05" customHeight="1" outlineLevel="1">
      <c r="A26" s="109" t="s">
        <v>2609</v>
      </c>
      <c r="B26" s="110" t="s">
        <v>2610</v>
      </c>
      <c r="C26" s="110" t="s">
        <v>2611</v>
      </c>
      <c r="D26" s="111" t="s">
        <v>2612</v>
      </c>
      <c r="E26" s="111" t="s">
        <v>2553</v>
      </c>
      <c r="F26" s="109" t="s">
        <v>344</v>
      </c>
      <c r="G26" s="112">
        <v>46300</v>
      </c>
      <c r="H26" s="109" t="s">
        <v>2554</v>
      </c>
      <c r="I26" s="109" t="s">
        <v>346</v>
      </c>
      <c r="J26" s="109"/>
      <c r="K26" s="109"/>
      <c r="L26" s="109" t="s">
        <v>346</v>
      </c>
      <c r="M26" s="109"/>
      <c r="N26" s="109"/>
      <c r="O26" s="113"/>
    </row>
    <row r="27" spans="1:17" ht="70.05" customHeight="1" outlineLevel="1">
      <c r="A27" s="109" t="s">
        <v>2613</v>
      </c>
      <c r="B27" s="110" t="s">
        <v>2614</v>
      </c>
      <c r="C27" s="110" t="s">
        <v>2615</v>
      </c>
      <c r="D27" s="111" t="s">
        <v>1305</v>
      </c>
      <c r="E27" s="111" t="s">
        <v>417</v>
      </c>
      <c r="F27" s="109" t="s">
        <v>344</v>
      </c>
      <c r="G27" s="112">
        <v>46300</v>
      </c>
      <c r="H27" s="109" t="s">
        <v>2554</v>
      </c>
      <c r="I27" s="109" t="s">
        <v>346</v>
      </c>
      <c r="J27" s="109"/>
      <c r="K27" s="109"/>
      <c r="L27" s="109" t="s">
        <v>346</v>
      </c>
      <c r="M27" s="109"/>
      <c r="N27" s="109"/>
      <c r="O27" s="113"/>
    </row>
    <row r="28" spans="1:17" ht="70.05" customHeight="1" outlineLevel="1">
      <c r="A28" s="109" t="s">
        <v>2616</v>
      </c>
      <c r="B28" s="110" t="s">
        <v>2617</v>
      </c>
      <c r="C28" s="110" t="s">
        <v>2618</v>
      </c>
      <c r="D28" s="111" t="s">
        <v>1488</v>
      </c>
      <c r="E28" s="111" t="s">
        <v>2619</v>
      </c>
      <c r="F28" s="109" t="s">
        <v>344</v>
      </c>
      <c r="G28" s="112">
        <v>46300</v>
      </c>
      <c r="H28" s="109" t="s">
        <v>2554</v>
      </c>
      <c r="I28" s="109" t="s">
        <v>346</v>
      </c>
      <c r="J28" s="109"/>
      <c r="K28" s="109"/>
      <c r="L28" s="109" t="s">
        <v>346</v>
      </c>
      <c r="M28" s="109"/>
      <c r="N28" s="109"/>
      <c r="O28" s="113"/>
    </row>
    <row r="29" spans="1:17" ht="70.05" customHeight="1" outlineLevel="1">
      <c r="A29" s="109" t="s">
        <v>2620</v>
      </c>
      <c r="B29" s="110" t="s">
        <v>2617</v>
      </c>
      <c r="C29" s="110" t="s">
        <v>2621</v>
      </c>
      <c r="D29" s="111" t="s">
        <v>1845</v>
      </c>
      <c r="E29" s="111" t="s">
        <v>2622</v>
      </c>
      <c r="F29" s="109" t="s">
        <v>344</v>
      </c>
      <c r="G29" s="112">
        <v>46300</v>
      </c>
      <c r="H29" s="109" t="s">
        <v>2554</v>
      </c>
      <c r="I29" s="109" t="s">
        <v>346</v>
      </c>
      <c r="J29" s="109"/>
      <c r="K29" s="109"/>
      <c r="L29" s="109" t="s">
        <v>346</v>
      </c>
      <c r="M29" s="109"/>
      <c r="N29" s="109"/>
      <c r="O29" s="113"/>
    </row>
    <row r="30" spans="1:17" ht="70.05" customHeight="1" outlineLevel="1">
      <c r="A30" s="109" t="s">
        <v>2623</v>
      </c>
      <c r="B30" s="110" t="s">
        <v>2617</v>
      </c>
      <c r="C30" s="110" t="s">
        <v>2624</v>
      </c>
      <c r="D30" s="111" t="s">
        <v>1845</v>
      </c>
      <c r="E30" s="111" t="s">
        <v>2625</v>
      </c>
      <c r="F30" s="109" t="s">
        <v>344</v>
      </c>
      <c r="G30" s="112">
        <v>46300</v>
      </c>
      <c r="H30" s="109" t="s">
        <v>2554</v>
      </c>
      <c r="I30" s="109" t="s">
        <v>346</v>
      </c>
      <c r="J30" s="109"/>
      <c r="K30" s="109"/>
      <c r="L30" s="109" t="s">
        <v>346</v>
      </c>
      <c r="M30" s="109"/>
      <c r="N30" s="109"/>
      <c r="O30" s="113"/>
    </row>
    <row r="31" spans="1:17" ht="70.05" customHeight="1" outlineLevel="1">
      <c r="A31" s="109" t="s">
        <v>2626</v>
      </c>
      <c r="B31" s="110" t="s">
        <v>2617</v>
      </c>
      <c r="C31" s="110" t="s">
        <v>2627</v>
      </c>
      <c r="D31" s="111" t="s">
        <v>1611</v>
      </c>
      <c r="E31" s="111" t="s">
        <v>2619</v>
      </c>
      <c r="F31" s="109" t="s">
        <v>344</v>
      </c>
      <c r="G31" s="112">
        <v>46300</v>
      </c>
      <c r="H31" s="109" t="s">
        <v>2554</v>
      </c>
      <c r="I31" s="109" t="s">
        <v>346</v>
      </c>
      <c r="J31" s="109"/>
      <c r="K31" s="109"/>
      <c r="L31" s="109" t="s">
        <v>346</v>
      </c>
      <c r="M31" s="109"/>
      <c r="N31" s="109"/>
      <c r="O31" s="113"/>
    </row>
    <row r="32" spans="1:17" ht="15.75" customHeight="1">
      <c r="A32" s="60" t="s">
        <v>124</v>
      </c>
      <c r="B32" s="60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2"/>
    </row>
    <row r="33" spans="1:15" ht="70.05" customHeight="1" outlineLevel="1">
      <c r="A33" s="109" t="s">
        <v>2628</v>
      </c>
      <c r="B33" s="110" t="s">
        <v>2629</v>
      </c>
      <c r="C33" s="110" t="s">
        <v>2630</v>
      </c>
      <c r="D33" s="111" t="s">
        <v>2631</v>
      </c>
      <c r="E33" s="111" t="s">
        <v>2632</v>
      </c>
      <c r="F33" s="109" t="s">
        <v>344</v>
      </c>
      <c r="G33" s="112">
        <v>46300</v>
      </c>
      <c r="H33" s="109" t="s">
        <v>2554</v>
      </c>
      <c r="I33" s="109" t="s">
        <v>346</v>
      </c>
      <c r="J33" s="109"/>
      <c r="K33" s="109"/>
      <c r="L33" s="109" t="s">
        <v>346</v>
      </c>
      <c r="M33" s="109"/>
      <c r="N33" s="109"/>
      <c r="O33" s="113"/>
    </row>
    <row r="34" spans="1:15" ht="70.05" customHeight="1" outlineLevel="1">
      <c r="A34" s="109" t="s">
        <v>2633</v>
      </c>
      <c r="B34" s="110" t="s">
        <v>2629</v>
      </c>
      <c r="C34" s="110" t="s">
        <v>2630</v>
      </c>
      <c r="D34" s="111" t="s">
        <v>2634</v>
      </c>
      <c r="E34" s="111" t="s">
        <v>2635</v>
      </c>
      <c r="F34" s="109" t="s">
        <v>344</v>
      </c>
      <c r="G34" s="112">
        <v>46300</v>
      </c>
      <c r="H34" s="109" t="s">
        <v>2554</v>
      </c>
      <c r="I34" s="109" t="s">
        <v>346</v>
      </c>
      <c r="J34" s="109"/>
      <c r="K34" s="109"/>
      <c r="L34" s="109" t="s">
        <v>346</v>
      </c>
      <c r="M34" s="109"/>
      <c r="N34" s="109"/>
      <c r="O34" s="113"/>
    </row>
    <row r="35" spans="1:15" ht="70.05" customHeight="1" outlineLevel="1">
      <c r="A35" s="109" t="s">
        <v>2636</v>
      </c>
      <c r="B35" s="110" t="s">
        <v>2629</v>
      </c>
      <c r="C35" s="110" t="s">
        <v>2630</v>
      </c>
      <c r="D35" s="111" t="s">
        <v>2637</v>
      </c>
      <c r="E35" s="111" t="s">
        <v>2638</v>
      </c>
      <c r="F35" s="109" t="s">
        <v>344</v>
      </c>
      <c r="G35" s="112">
        <v>46300</v>
      </c>
      <c r="H35" s="109" t="s">
        <v>2554</v>
      </c>
      <c r="I35" s="109" t="s">
        <v>346</v>
      </c>
      <c r="J35" s="109"/>
      <c r="K35" s="109"/>
      <c r="L35" s="109" t="s">
        <v>346</v>
      </c>
      <c r="M35" s="109"/>
      <c r="N35" s="109"/>
      <c r="O35" s="113"/>
    </row>
    <row r="36" spans="1:15" ht="70.05" customHeight="1" outlineLevel="1">
      <c r="A36" s="109" t="s">
        <v>2639</v>
      </c>
      <c r="B36" s="110" t="s">
        <v>2629</v>
      </c>
      <c r="C36" s="110" t="s">
        <v>2630</v>
      </c>
      <c r="D36" s="111" t="s">
        <v>2640</v>
      </c>
      <c r="E36" s="111" t="s">
        <v>2641</v>
      </c>
      <c r="F36" s="109" t="s">
        <v>344</v>
      </c>
      <c r="G36" s="112">
        <v>46300</v>
      </c>
      <c r="H36" s="109" t="s">
        <v>2554</v>
      </c>
      <c r="I36" s="109" t="s">
        <v>346</v>
      </c>
      <c r="J36" s="109"/>
      <c r="K36" s="109"/>
      <c r="L36" s="109" t="s">
        <v>346</v>
      </c>
      <c r="M36" s="109"/>
      <c r="N36" s="109"/>
      <c r="O36" s="113"/>
    </row>
    <row r="37" spans="1:15" ht="70.05" customHeight="1" outlineLevel="1">
      <c r="A37" s="109" t="s">
        <v>2642</v>
      </c>
      <c r="B37" s="110" t="s">
        <v>2629</v>
      </c>
      <c r="C37" s="110" t="s">
        <v>2630</v>
      </c>
      <c r="D37" s="111" t="s">
        <v>2643</v>
      </c>
      <c r="E37" s="111" t="s">
        <v>2644</v>
      </c>
      <c r="F37" s="109" t="s">
        <v>344</v>
      </c>
      <c r="G37" s="112">
        <v>46300</v>
      </c>
      <c r="H37" s="109" t="s">
        <v>2554</v>
      </c>
      <c r="I37" s="109" t="s">
        <v>346</v>
      </c>
      <c r="J37" s="109"/>
      <c r="K37" s="109"/>
      <c r="L37" s="109" t="s">
        <v>346</v>
      </c>
      <c r="M37" s="109"/>
      <c r="N37" s="109"/>
      <c r="O37" s="113"/>
    </row>
    <row r="38" spans="1:15" ht="70.05" customHeight="1" outlineLevel="1">
      <c r="A38" s="109" t="s">
        <v>2645</v>
      </c>
      <c r="B38" s="110" t="s">
        <v>2629</v>
      </c>
      <c r="C38" s="110" t="s">
        <v>2630</v>
      </c>
      <c r="D38" s="111" t="s">
        <v>2646</v>
      </c>
      <c r="E38" s="111" t="s">
        <v>2647</v>
      </c>
      <c r="F38" s="109" t="s">
        <v>344</v>
      </c>
      <c r="G38" s="112">
        <v>46300</v>
      </c>
      <c r="H38" s="109" t="s">
        <v>2554</v>
      </c>
      <c r="I38" s="109" t="s">
        <v>346</v>
      </c>
      <c r="J38" s="109"/>
      <c r="K38" s="109"/>
      <c r="L38" s="109" t="s">
        <v>346</v>
      </c>
      <c r="M38" s="109"/>
      <c r="N38" s="109"/>
      <c r="O38" s="113"/>
    </row>
    <row r="39" spans="1:15" ht="70.05" customHeight="1" outlineLevel="1">
      <c r="A39" s="109" t="s">
        <v>2648</v>
      </c>
      <c r="B39" s="110" t="s">
        <v>2629</v>
      </c>
      <c r="C39" s="110" t="s">
        <v>2630</v>
      </c>
      <c r="D39" s="111" t="s">
        <v>2649</v>
      </c>
      <c r="E39" s="111" t="s">
        <v>2650</v>
      </c>
      <c r="F39" s="109" t="s">
        <v>344</v>
      </c>
      <c r="G39" s="112">
        <v>46300</v>
      </c>
      <c r="H39" s="109" t="s">
        <v>2554</v>
      </c>
      <c r="I39" s="109" t="s">
        <v>346</v>
      </c>
      <c r="J39" s="109"/>
      <c r="K39" s="109"/>
      <c r="L39" s="109" t="s">
        <v>346</v>
      </c>
      <c r="M39" s="109"/>
      <c r="N39" s="109"/>
      <c r="O39" s="113"/>
    </row>
    <row r="40" spans="1:15" ht="70.05" customHeight="1" outlineLevel="1">
      <c r="A40" s="109" t="s">
        <v>2651</v>
      </c>
      <c r="B40" s="110" t="s">
        <v>2629</v>
      </c>
      <c r="C40" s="110" t="s">
        <v>2630</v>
      </c>
      <c r="D40" s="111" t="s">
        <v>2652</v>
      </c>
      <c r="E40" s="111" t="s">
        <v>2653</v>
      </c>
      <c r="F40" s="109" t="s">
        <v>344</v>
      </c>
      <c r="G40" s="112">
        <v>46300</v>
      </c>
      <c r="H40" s="109" t="s">
        <v>2554</v>
      </c>
      <c r="I40" s="109" t="s">
        <v>346</v>
      </c>
      <c r="J40" s="109"/>
      <c r="K40" s="109"/>
      <c r="L40" s="109" t="s">
        <v>346</v>
      </c>
      <c r="M40" s="109"/>
      <c r="N40" s="109"/>
      <c r="O40" s="113"/>
    </row>
    <row r="41" spans="1:15" ht="70.05" customHeight="1" outlineLevel="1">
      <c r="A41" s="109" t="s">
        <v>2654</v>
      </c>
      <c r="B41" s="110" t="s">
        <v>2629</v>
      </c>
      <c r="C41" s="110" t="s">
        <v>2630</v>
      </c>
      <c r="D41" s="111" t="s">
        <v>2655</v>
      </c>
      <c r="E41" s="111" t="s">
        <v>2656</v>
      </c>
      <c r="F41" s="109" t="s">
        <v>344</v>
      </c>
      <c r="G41" s="112">
        <v>46300</v>
      </c>
      <c r="H41" s="109" t="s">
        <v>2554</v>
      </c>
      <c r="I41" s="109" t="s">
        <v>346</v>
      </c>
      <c r="J41" s="109"/>
      <c r="K41" s="109"/>
      <c r="L41" s="109" t="s">
        <v>346</v>
      </c>
      <c r="M41" s="109"/>
      <c r="N41" s="109"/>
      <c r="O41" s="113"/>
    </row>
    <row r="42" spans="1:15" ht="70.05" customHeight="1" outlineLevel="1">
      <c r="A42" s="109" t="s">
        <v>2657</v>
      </c>
      <c r="B42" s="110" t="s">
        <v>2658</v>
      </c>
      <c r="C42" s="110" t="s">
        <v>2630</v>
      </c>
      <c r="D42" s="111" t="s">
        <v>2659</v>
      </c>
      <c r="E42" s="111" t="s">
        <v>2660</v>
      </c>
      <c r="F42" s="109" t="s">
        <v>344</v>
      </c>
      <c r="G42" s="112">
        <v>46300</v>
      </c>
      <c r="H42" s="109" t="s">
        <v>2554</v>
      </c>
      <c r="I42" s="109" t="s">
        <v>346</v>
      </c>
      <c r="J42" s="109"/>
      <c r="K42" s="109"/>
      <c r="L42" s="109" t="s">
        <v>346</v>
      </c>
      <c r="M42" s="109"/>
      <c r="N42" s="109"/>
      <c r="O42" s="113"/>
    </row>
    <row r="43" spans="1:15" ht="70.05" customHeight="1" outlineLevel="1">
      <c r="A43" s="109" t="s">
        <v>2661</v>
      </c>
      <c r="B43" s="110" t="s">
        <v>2658</v>
      </c>
      <c r="C43" s="110" t="s">
        <v>2630</v>
      </c>
      <c r="D43" s="111" t="s">
        <v>2662</v>
      </c>
      <c r="E43" s="111" t="s">
        <v>2663</v>
      </c>
      <c r="F43" s="109" t="s">
        <v>344</v>
      </c>
      <c r="G43" s="112">
        <v>46300</v>
      </c>
      <c r="H43" s="109" t="s">
        <v>2554</v>
      </c>
      <c r="I43" s="109" t="s">
        <v>346</v>
      </c>
      <c r="J43" s="109"/>
      <c r="K43" s="109"/>
      <c r="L43" s="109" t="s">
        <v>346</v>
      </c>
      <c r="M43" s="109"/>
      <c r="N43" s="109"/>
      <c r="O43" s="113"/>
    </row>
    <row r="44" spans="1:15" ht="70.05" customHeight="1" outlineLevel="1">
      <c r="A44" s="109" t="s">
        <v>2664</v>
      </c>
      <c r="B44" s="110" t="s">
        <v>2665</v>
      </c>
      <c r="C44" s="110" t="s">
        <v>2666</v>
      </c>
      <c r="D44" s="111" t="s">
        <v>1611</v>
      </c>
      <c r="E44" s="111" t="s">
        <v>2667</v>
      </c>
      <c r="F44" s="109" t="s">
        <v>344</v>
      </c>
      <c r="G44" s="112">
        <v>46300</v>
      </c>
      <c r="H44" s="109" t="s">
        <v>2554</v>
      </c>
      <c r="I44" s="109" t="s">
        <v>346</v>
      </c>
      <c r="J44" s="109"/>
      <c r="K44" s="109"/>
      <c r="L44" s="109" t="s">
        <v>346</v>
      </c>
      <c r="M44" s="109"/>
      <c r="N44" s="109"/>
      <c r="O44" s="113"/>
    </row>
    <row r="45" spans="1:15" ht="70.05" customHeight="1" outlineLevel="1">
      <c r="A45" s="109" t="s">
        <v>2668</v>
      </c>
      <c r="B45" s="110" t="s">
        <v>2669</v>
      </c>
      <c r="C45" s="110" t="s">
        <v>2630</v>
      </c>
      <c r="D45" s="111" t="s">
        <v>2612</v>
      </c>
      <c r="E45" s="111" t="s">
        <v>2670</v>
      </c>
      <c r="F45" s="109" t="s">
        <v>344</v>
      </c>
      <c r="G45" s="112">
        <v>46300</v>
      </c>
      <c r="H45" s="109" t="s">
        <v>2554</v>
      </c>
      <c r="I45" s="109" t="s">
        <v>346</v>
      </c>
      <c r="J45" s="109"/>
      <c r="K45" s="109"/>
      <c r="L45" s="109" t="s">
        <v>346</v>
      </c>
      <c r="M45" s="109"/>
      <c r="N45" s="109"/>
      <c r="O45" s="113"/>
    </row>
    <row r="46" spans="1:15" ht="70.05" customHeight="1" outlineLevel="1">
      <c r="A46" s="109" t="s">
        <v>2671</v>
      </c>
      <c r="B46" s="110" t="s">
        <v>2672</v>
      </c>
      <c r="C46" s="110" t="s">
        <v>2673</v>
      </c>
      <c r="D46" s="111" t="s">
        <v>1611</v>
      </c>
      <c r="E46" s="111" t="s">
        <v>2667</v>
      </c>
      <c r="F46" s="109" t="s">
        <v>344</v>
      </c>
      <c r="G46" s="112">
        <v>46300</v>
      </c>
      <c r="H46" s="109" t="s">
        <v>2554</v>
      </c>
      <c r="I46" s="109" t="s">
        <v>346</v>
      </c>
      <c r="J46" s="109"/>
      <c r="K46" s="109"/>
      <c r="L46" s="109" t="s">
        <v>346</v>
      </c>
      <c r="M46" s="109"/>
      <c r="N46" s="109"/>
      <c r="O46" s="113"/>
    </row>
    <row r="47" spans="1:15" ht="70.05" customHeight="1" outlineLevel="1">
      <c r="A47" s="109" t="s">
        <v>2674</v>
      </c>
      <c r="B47" s="110" t="s">
        <v>2675</v>
      </c>
      <c r="C47" s="110" t="s">
        <v>2676</v>
      </c>
      <c r="D47" s="111" t="s">
        <v>2677</v>
      </c>
      <c r="E47" s="111" t="s">
        <v>2678</v>
      </c>
      <c r="F47" s="109" t="s">
        <v>344</v>
      </c>
      <c r="G47" s="112">
        <v>46300</v>
      </c>
      <c r="H47" s="109" t="s">
        <v>2554</v>
      </c>
      <c r="I47" s="109" t="s">
        <v>346</v>
      </c>
      <c r="J47" s="109"/>
      <c r="K47" s="109"/>
      <c r="L47" s="109" t="s">
        <v>346</v>
      </c>
      <c r="M47" s="109"/>
      <c r="N47" s="109"/>
      <c r="O47" s="113"/>
    </row>
    <row r="48" spans="1:15" ht="70.05" customHeight="1" outlineLevel="1">
      <c r="A48" s="109" t="s">
        <v>2679</v>
      </c>
      <c r="B48" s="110" t="s">
        <v>2675</v>
      </c>
      <c r="C48" s="110" t="s">
        <v>2676</v>
      </c>
      <c r="D48" s="111" t="s">
        <v>2680</v>
      </c>
      <c r="E48" s="111" t="s">
        <v>2681</v>
      </c>
      <c r="F48" s="109" t="s">
        <v>344</v>
      </c>
      <c r="G48" s="112">
        <v>46300</v>
      </c>
      <c r="H48" s="109" t="s">
        <v>2554</v>
      </c>
      <c r="I48" s="109" t="s">
        <v>346</v>
      </c>
      <c r="J48" s="109"/>
      <c r="K48" s="109"/>
      <c r="L48" s="109" t="s">
        <v>346</v>
      </c>
      <c r="M48" s="109"/>
      <c r="N48" s="109"/>
      <c r="O48" s="113"/>
    </row>
    <row r="49" spans="1:15" ht="70.05" customHeight="1" outlineLevel="1">
      <c r="A49" s="109" t="s">
        <v>2682</v>
      </c>
      <c r="B49" s="110" t="s">
        <v>2683</v>
      </c>
      <c r="C49" s="110" t="s">
        <v>2684</v>
      </c>
      <c r="D49" s="111" t="s">
        <v>1611</v>
      </c>
      <c r="E49" s="111" t="s">
        <v>2667</v>
      </c>
      <c r="F49" s="109" t="s">
        <v>344</v>
      </c>
      <c r="G49" s="112">
        <v>46300</v>
      </c>
      <c r="H49" s="109" t="s">
        <v>2554</v>
      </c>
      <c r="I49" s="109" t="s">
        <v>346</v>
      </c>
      <c r="J49" s="109"/>
      <c r="K49" s="109"/>
      <c r="L49" s="109" t="s">
        <v>346</v>
      </c>
      <c r="M49" s="109"/>
      <c r="N49" s="109"/>
      <c r="O49" s="113"/>
    </row>
    <row r="50" spans="1:15" ht="15.75" customHeight="1">
      <c r="A50" s="60" t="s">
        <v>127</v>
      </c>
      <c r="B50" s="60"/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2"/>
    </row>
    <row r="51" spans="1:15" ht="70.05" customHeight="1" outlineLevel="1">
      <c r="A51" s="109" t="s">
        <v>2685</v>
      </c>
      <c r="B51" s="110" t="s">
        <v>2686</v>
      </c>
      <c r="C51" s="110" t="s">
        <v>2687</v>
      </c>
      <c r="D51" s="111" t="s">
        <v>2688</v>
      </c>
      <c r="E51" s="111" t="s">
        <v>2689</v>
      </c>
      <c r="F51" s="109" t="s">
        <v>344</v>
      </c>
      <c r="G51" s="112">
        <v>46300</v>
      </c>
      <c r="H51" s="109" t="s">
        <v>2554</v>
      </c>
      <c r="I51" s="109" t="s">
        <v>346</v>
      </c>
      <c r="J51" s="109"/>
      <c r="K51" s="109"/>
      <c r="L51" s="109" t="s">
        <v>346</v>
      </c>
      <c r="M51" s="109"/>
      <c r="N51" s="109"/>
      <c r="O51" s="113"/>
    </row>
    <row r="52" spans="1:15" ht="70.05" customHeight="1" outlineLevel="1">
      <c r="A52" s="109" t="s">
        <v>2690</v>
      </c>
      <c r="B52" s="110" t="s">
        <v>2691</v>
      </c>
      <c r="C52" s="110" t="s">
        <v>2692</v>
      </c>
      <c r="D52" s="111" t="s">
        <v>2693</v>
      </c>
      <c r="E52" s="111" t="s">
        <v>2694</v>
      </c>
      <c r="F52" s="109" t="s">
        <v>344</v>
      </c>
      <c r="G52" s="112">
        <v>46300</v>
      </c>
      <c r="H52" s="109" t="s">
        <v>2554</v>
      </c>
      <c r="I52" s="109" t="s">
        <v>346</v>
      </c>
      <c r="J52" s="109"/>
      <c r="K52" s="109"/>
      <c r="L52" s="109" t="s">
        <v>346</v>
      </c>
      <c r="M52" s="109"/>
      <c r="N52" s="109"/>
      <c r="O52" s="113"/>
    </row>
    <row r="53" spans="1:15" ht="70.05" customHeight="1" outlineLevel="1">
      <c r="A53" s="109" t="s">
        <v>2695</v>
      </c>
      <c r="B53" s="110" t="s">
        <v>2696</v>
      </c>
      <c r="C53" s="110" t="s">
        <v>2697</v>
      </c>
      <c r="D53" s="111" t="s">
        <v>2698</v>
      </c>
      <c r="E53" s="111" t="s">
        <v>2699</v>
      </c>
      <c r="F53" s="109" t="s">
        <v>344</v>
      </c>
      <c r="G53" s="112">
        <v>46300</v>
      </c>
      <c r="H53" s="109" t="s">
        <v>2554</v>
      </c>
      <c r="I53" s="109" t="s">
        <v>346</v>
      </c>
      <c r="J53" s="109"/>
      <c r="K53" s="109"/>
      <c r="L53" s="109" t="s">
        <v>346</v>
      </c>
      <c r="M53" s="109"/>
      <c r="N53" s="109"/>
      <c r="O53" s="113"/>
    </row>
    <row r="54" spans="1:15" ht="70.05" customHeight="1" outlineLevel="1">
      <c r="A54" s="109" t="s">
        <v>2700</v>
      </c>
      <c r="B54" s="110" t="s">
        <v>2701</v>
      </c>
      <c r="C54" s="110" t="s">
        <v>2702</v>
      </c>
      <c r="D54" s="111" t="s">
        <v>2703</v>
      </c>
      <c r="E54" s="111" t="s">
        <v>2704</v>
      </c>
      <c r="F54" s="109" t="s">
        <v>344</v>
      </c>
      <c r="G54" s="112">
        <v>46300</v>
      </c>
      <c r="H54" s="109" t="s">
        <v>2554</v>
      </c>
      <c r="I54" s="109" t="s">
        <v>346</v>
      </c>
      <c r="J54" s="109"/>
      <c r="K54" s="109"/>
      <c r="L54" s="109" t="s">
        <v>346</v>
      </c>
      <c r="M54" s="109"/>
      <c r="N54" s="109"/>
      <c r="O54" s="113"/>
    </row>
    <row r="55" spans="1:15" ht="70.05" customHeight="1" outlineLevel="1">
      <c r="A55" s="109" t="s">
        <v>2705</v>
      </c>
      <c r="B55" s="110" t="s">
        <v>2706</v>
      </c>
      <c r="C55" s="110" t="s">
        <v>2707</v>
      </c>
      <c r="D55" s="111" t="s">
        <v>2708</v>
      </c>
      <c r="E55" s="111" t="s">
        <v>2689</v>
      </c>
      <c r="F55" s="109" t="s">
        <v>344</v>
      </c>
      <c r="G55" s="112">
        <v>46300</v>
      </c>
      <c r="H55" s="109" t="s">
        <v>2554</v>
      </c>
      <c r="I55" s="109" t="s">
        <v>346</v>
      </c>
      <c r="J55" s="109"/>
      <c r="K55" s="109"/>
      <c r="L55" s="109" t="s">
        <v>346</v>
      </c>
      <c r="M55" s="109"/>
      <c r="N55" s="109"/>
      <c r="O55" s="113"/>
    </row>
    <row r="56" spans="1:15" ht="70.05" customHeight="1" outlineLevel="1">
      <c r="A56" s="109" t="s">
        <v>2709</v>
      </c>
      <c r="B56" s="110" t="s">
        <v>2710</v>
      </c>
      <c r="C56" s="110" t="s">
        <v>2711</v>
      </c>
      <c r="D56" s="111" t="s">
        <v>2712</v>
      </c>
      <c r="E56" s="111" t="s">
        <v>2689</v>
      </c>
      <c r="F56" s="109" t="s">
        <v>344</v>
      </c>
      <c r="G56" s="112">
        <v>46300</v>
      </c>
      <c r="H56" s="109" t="s">
        <v>2554</v>
      </c>
      <c r="I56" s="109" t="s">
        <v>346</v>
      </c>
      <c r="J56" s="109"/>
      <c r="K56" s="109"/>
      <c r="L56" s="109" t="s">
        <v>346</v>
      </c>
      <c r="M56" s="109"/>
      <c r="N56" s="109"/>
      <c r="O56" s="113"/>
    </row>
    <row r="57" spans="1:15" ht="70.05" customHeight="1" outlineLevel="1">
      <c r="A57" s="109" t="s">
        <v>2713</v>
      </c>
      <c r="B57" s="110" t="s">
        <v>2714</v>
      </c>
      <c r="C57" s="110" t="s">
        <v>2715</v>
      </c>
      <c r="D57" s="111" t="s">
        <v>2716</v>
      </c>
      <c r="E57" s="111" t="s">
        <v>2717</v>
      </c>
      <c r="F57" s="109" t="s">
        <v>344</v>
      </c>
      <c r="G57" s="112">
        <v>46300</v>
      </c>
      <c r="H57" s="109" t="s">
        <v>2554</v>
      </c>
      <c r="I57" s="109" t="s">
        <v>346</v>
      </c>
      <c r="J57" s="109"/>
      <c r="K57" s="109"/>
      <c r="L57" s="109" t="s">
        <v>346</v>
      </c>
      <c r="M57" s="109"/>
      <c r="N57" s="109"/>
      <c r="O57" s="113"/>
    </row>
    <row r="58" spans="1:15" ht="70.05" customHeight="1" outlineLevel="1">
      <c r="A58" s="109" t="s">
        <v>2718</v>
      </c>
      <c r="B58" s="110" t="s">
        <v>2719</v>
      </c>
      <c r="C58" s="110" t="s">
        <v>2720</v>
      </c>
      <c r="D58" s="111" t="s">
        <v>2721</v>
      </c>
      <c r="E58" s="111" t="s">
        <v>2722</v>
      </c>
      <c r="F58" s="109" t="s">
        <v>344</v>
      </c>
      <c r="G58" s="112">
        <v>46300</v>
      </c>
      <c r="H58" s="109" t="s">
        <v>2554</v>
      </c>
      <c r="I58" s="109" t="s">
        <v>346</v>
      </c>
      <c r="J58" s="109"/>
      <c r="K58" s="109"/>
      <c r="L58" s="109" t="s">
        <v>346</v>
      </c>
      <c r="M58" s="109"/>
      <c r="N58" s="109"/>
      <c r="O58" s="113"/>
    </row>
    <row r="59" spans="1:15" ht="70.05" customHeight="1" outlineLevel="1">
      <c r="A59" s="109" t="s">
        <v>2723</v>
      </c>
      <c r="B59" s="110" t="s">
        <v>2724</v>
      </c>
      <c r="C59" s="110" t="s">
        <v>2725</v>
      </c>
      <c r="D59" s="111" t="s">
        <v>2726</v>
      </c>
      <c r="E59" s="111" t="s">
        <v>2727</v>
      </c>
      <c r="F59" s="109" t="s">
        <v>344</v>
      </c>
      <c r="G59" s="112">
        <v>46300</v>
      </c>
      <c r="H59" s="109" t="s">
        <v>2554</v>
      </c>
      <c r="I59" s="109" t="s">
        <v>346</v>
      </c>
      <c r="J59" s="109"/>
      <c r="K59" s="109"/>
      <c r="L59" s="109" t="s">
        <v>346</v>
      </c>
      <c r="M59" s="109"/>
      <c r="N59" s="109"/>
      <c r="O59" s="113"/>
    </row>
    <row r="60" spans="1:15" ht="70.05" customHeight="1" outlineLevel="1">
      <c r="A60" s="109" t="s">
        <v>2728</v>
      </c>
      <c r="B60" s="110" t="s">
        <v>2729</v>
      </c>
      <c r="C60" s="110" t="s">
        <v>2730</v>
      </c>
      <c r="D60" s="111" t="s">
        <v>2731</v>
      </c>
      <c r="E60" s="111" t="s">
        <v>2732</v>
      </c>
      <c r="F60" s="109" t="s">
        <v>344</v>
      </c>
      <c r="G60" s="112">
        <v>46300</v>
      </c>
      <c r="H60" s="109" t="s">
        <v>2554</v>
      </c>
      <c r="I60" s="109" t="s">
        <v>346</v>
      </c>
      <c r="J60" s="109"/>
      <c r="K60" s="109"/>
      <c r="L60" s="109" t="s">
        <v>346</v>
      </c>
      <c r="M60" s="109"/>
      <c r="N60" s="109"/>
      <c r="O60" s="113"/>
    </row>
    <row r="61" spans="1:15" ht="70.05" customHeight="1" outlineLevel="1">
      <c r="A61" s="109" t="s">
        <v>2733</v>
      </c>
      <c r="B61" s="110" t="s">
        <v>2734</v>
      </c>
      <c r="C61" s="110" t="s">
        <v>2735</v>
      </c>
      <c r="D61" s="111" t="s">
        <v>2736</v>
      </c>
      <c r="E61" s="111" t="s">
        <v>2737</v>
      </c>
      <c r="F61" s="109" t="s">
        <v>344</v>
      </c>
      <c r="G61" s="112">
        <v>46300</v>
      </c>
      <c r="H61" s="109" t="s">
        <v>2554</v>
      </c>
      <c r="I61" s="109" t="s">
        <v>346</v>
      </c>
      <c r="J61" s="109"/>
      <c r="K61" s="109"/>
      <c r="L61" s="109" t="s">
        <v>346</v>
      </c>
      <c r="M61" s="109"/>
      <c r="N61" s="109"/>
      <c r="O61" s="113"/>
    </row>
    <row r="62" spans="1:15" ht="70.05" customHeight="1" outlineLevel="1">
      <c r="A62" s="109" t="s">
        <v>2738</v>
      </c>
      <c r="B62" s="110" t="s">
        <v>2739</v>
      </c>
      <c r="C62" s="110" t="s">
        <v>2740</v>
      </c>
      <c r="D62" s="111" t="s">
        <v>2741</v>
      </c>
      <c r="E62" s="111" t="s">
        <v>2742</v>
      </c>
      <c r="F62" s="109" t="s">
        <v>344</v>
      </c>
      <c r="G62" s="112">
        <v>46300</v>
      </c>
      <c r="H62" s="109" t="s">
        <v>2554</v>
      </c>
      <c r="I62" s="109" t="s">
        <v>346</v>
      </c>
      <c r="J62" s="109"/>
      <c r="K62" s="109"/>
      <c r="L62" s="109" t="s">
        <v>346</v>
      </c>
      <c r="M62" s="109"/>
      <c r="N62" s="109"/>
      <c r="O62" s="113"/>
    </row>
    <row r="63" spans="1:15" ht="70.05" customHeight="1" outlineLevel="1">
      <c r="A63" s="109" t="s">
        <v>2743</v>
      </c>
      <c r="B63" s="110" t="s">
        <v>2744</v>
      </c>
      <c r="C63" s="110" t="s">
        <v>2735</v>
      </c>
      <c r="D63" s="111" t="s">
        <v>2745</v>
      </c>
      <c r="E63" s="111" t="s">
        <v>2746</v>
      </c>
      <c r="F63" s="109" t="s">
        <v>344</v>
      </c>
      <c r="G63" s="112">
        <v>46300</v>
      </c>
      <c r="H63" s="109" t="s">
        <v>2554</v>
      </c>
      <c r="I63" s="109" t="s">
        <v>346</v>
      </c>
      <c r="J63" s="109"/>
      <c r="K63" s="109"/>
      <c r="L63" s="109" t="s">
        <v>346</v>
      </c>
      <c r="M63" s="109"/>
      <c r="N63" s="109"/>
      <c r="O63" s="113"/>
    </row>
    <row r="64" spans="1:15" ht="70.05" customHeight="1" outlineLevel="1">
      <c r="A64" s="109" t="s">
        <v>2747</v>
      </c>
      <c r="B64" s="110" t="s">
        <v>2748</v>
      </c>
      <c r="C64" s="110" t="s">
        <v>2749</v>
      </c>
      <c r="D64" s="111" t="s">
        <v>2745</v>
      </c>
      <c r="E64" s="111" t="s">
        <v>2750</v>
      </c>
      <c r="F64" s="109" t="s">
        <v>344</v>
      </c>
      <c r="G64" s="112">
        <v>46300</v>
      </c>
      <c r="H64" s="109" t="s">
        <v>2554</v>
      </c>
      <c r="I64" s="109" t="s">
        <v>346</v>
      </c>
      <c r="J64" s="109"/>
      <c r="K64" s="109"/>
      <c r="L64" s="109" t="s">
        <v>346</v>
      </c>
      <c r="M64" s="109"/>
      <c r="N64" s="109"/>
      <c r="O64" s="113"/>
    </row>
    <row r="65" spans="1:15" ht="70.05" customHeight="1" outlineLevel="1">
      <c r="A65" s="109" t="s">
        <v>2751</v>
      </c>
      <c r="B65" s="110" t="s">
        <v>2744</v>
      </c>
      <c r="C65" s="110" t="s">
        <v>2735</v>
      </c>
      <c r="D65" s="111" t="s">
        <v>2752</v>
      </c>
      <c r="E65" s="111" t="s">
        <v>2753</v>
      </c>
      <c r="F65" s="109" t="s">
        <v>344</v>
      </c>
      <c r="G65" s="112">
        <v>46300</v>
      </c>
      <c r="H65" s="109" t="s">
        <v>2554</v>
      </c>
      <c r="I65" s="109" t="s">
        <v>346</v>
      </c>
      <c r="J65" s="109"/>
      <c r="K65" s="109"/>
      <c r="L65" s="109" t="s">
        <v>346</v>
      </c>
      <c r="M65" s="109"/>
      <c r="N65" s="109"/>
      <c r="O65" s="113"/>
    </row>
    <row r="66" spans="1:15" ht="70.05" customHeight="1" outlineLevel="1">
      <c r="A66" s="109" t="s">
        <v>2754</v>
      </c>
      <c r="B66" s="110" t="s">
        <v>2744</v>
      </c>
      <c r="C66" s="110" t="s">
        <v>2735</v>
      </c>
      <c r="D66" s="111" t="s">
        <v>1845</v>
      </c>
      <c r="E66" s="111" t="s">
        <v>2755</v>
      </c>
      <c r="F66" s="109" t="s">
        <v>344</v>
      </c>
      <c r="G66" s="112">
        <v>46300</v>
      </c>
      <c r="H66" s="109" t="s">
        <v>2554</v>
      </c>
      <c r="I66" s="109" t="s">
        <v>346</v>
      </c>
      <c r="J66" s="109"/>
      <c r="K66" s="109"/>
      <c r="L66" s="109" t="s">
        <v>346</v>
      </c>
      <c r="M66" s="109"/>
      <c r="N66" s="109"/>
      <c r="O66" s="113"/>
    </row>
    <row r="67" spans="1:15" ht="70.05" customHeight="1" outlineLevel="1">
      <c r="A67" s="109" t="s">
        <v>2756</v>
      </c>
      <c r="B67" s="110" t="s">
        <v>2744</v>
      </c>
      <c r="C67" s="110" t="s">
        <v>2735</v>
      </c>
      <c r="D67" s="111" t="s">
        <v>2757</v>
      </c>
      <c r="E67" s="111" t="s">
        <v>2758</v>
      </c>
      <c r="F67" s="109" t="s">
        <v>344</v>
      </c>
      <c r="G67" s="112">
        <v>46300</v>
      </c>
      <c r="H67" s="109" t="s">
        <v>2554</v>
      </c>
      <c r="I67" s="109" t="s">
        <v>346</v>
      </c>
      <c r="J67" s="109"/>
      <c r="K67" s="109"/>
      <c r="L67" s="109" t="s">
        <v>346</v>
      </c>
      <c r="M67" s="109"/>
      <c r="N67" s="109"/>
      <c r="O67" s="113"/>
    </row>
    <row r="68" spans="1:15" ht="70.05" customHeight="1" outlineLevel="1">
      <c r="A68" s="109" t="s">
        <v>2759</v>
      </c>
      <c r="B68" s="110" t="s">
        <v>2760</v>
      </c>
      <c r="C68" s="110" t="s">
        <v>2761</v>
      </c>
      <c r="D68" s="111" t="s">
        <v>1611</v>
      </c>
      <c r="E68" s="111" t="s">
        <v>2667</v>
      </c>
      <c r="F68" s="109" t="s">
        <v>344</v>
      </c>
      <c r="G68" s="112">
        <v>46300</v>
      </c>
      <c r="H68" s="109" t="s">
        <v>2554</v>
      </c>
      <c r="I68" s="109" t="s">
        <v>346</v>
      </c>
      <c r="J68" s="109"/>
      <c r="K68" s="109"/>
      <c r="L68" s="109" t="s">
        <v>346</v>
      </c>
      <c r="M68" s="109"/>
      <c r="N68" s="109"/>
      <c r="O68" s="113"/>
    </row>
    <row r="69" spans="1:15" ht="15.75" customHeight="1">
      <c r="A69" s="60" t="s">
        <v>129</v>
      </c>
      <c r="B69" s="60"/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2"/>
    </row>
    <row r="70" spans="1:15" ht="70.05" customHeight="1" outlineLevel="1">
      <c r="A70" s="109" t="s">
        <v>2762</v>
      </c>
      <c r="B70" s="110" t="s">
        <v>2763</v>
      </c>
      <c r="C70" s="110" t="s">
        <v>2764</v>
      </c>
      <c r="D70" s="111" t="s">
        <v>2765</v>
      </c>
      <c r="E70" s="111" t="s">
        <v>2766</v>
      </c>
      <c r="F70" s="109" t="s">
        <v>344</v>
      </c>
      <c r="G70" s="112">
        <v>46300</v>
      </c>
      <c r="H70" s="109" t="s">
        <v>2554</v>
      </c>
      <c r="I70" s="109" t="s">
        <v>346</v>
      </c>
      <c r="J70" s="109"/>
      <c r="K70" s="109"/>
      <c r="L70" s="109" t="s">
        <v>346</v>
      </c>
      <c r="M70" s="109"/>
      <c r="N70" s="109"/>
      <c r="O70" s="113"/>
    </row>
    <row r="71" spans="1:15" ht="70.05" customHeight="1" outlineLevel="1">
      <c r="A71" s="109" t="s">
        <v>2767</v>
      </c>
      <c r="B71" s="110" t="s">
        <v>2763</v>
      </c>
      <c r="C71" s="110" t="s">
        <v>2764</v>
      </c>
      <c r="D71" s="111" t="s">
        <v>2768</v>
      </c>
      <c r="E71" s="111" t="s">
        <v>2769</v>
      </c>
      <c r="F71" s="109" t="s">
        <v>344</v>
      </c>
      <c r="G71" s="112">
        <v>46300</v>
      </c>
      <c r="H71" s="109" t="s">
        <v>2554</v>
      </c>
      <c r="I71" s="109" t="s">
        <v>346</v>
      </c>
      <c r="J71" s="109"/>
      <c r="K71" s="109"/>
      <c r="L71" s="109" t="s">
        <v>346</v>
      </c>
      <c r="M71" s="109"/>
      <c r="N71" s="109"/>
      <c r="O71" s="113"/>
    </row>
    <row r="72" spans="1:15" ht="70.05" customHeight="1" outlineLevel="1">
      <c r="A72" s="109" t="s">
        <v>2770</v>
      </c>
      <c r="B72" s="110" t="s">
        <v>2763</v>
      </c>
      <c r="C72" s="110" t="s">
        <v>2764</v>
      </c>
      <c r="D72" s="111" t="s">
        <v>2771</v>
      </c>
      <c r="E72" s="111" t="s">
        <v>2772</v>
      </c>
      <c r="F72" s="109" t="s">
        <v>344</v>
      </c>
      <c r="G72" s="112">
        <v>46300</v>
      </c>
      <c r="H72" s="109" t="s">
        <v>2554</v>
      </c>
      <c r="I72" s="109" t="s">
        <v>346</v>
      </c>
      <c r="J72" s="109"/>
      <c r="K72" s="109"/>
      <c r="L72" s="109" t="s">
        <v>346</v>
      </c>
      <c r="M72" s="109"/>
      <c r="N72" s="109"/>
      <c r="O72" s="113"/>
    </row>
    <row r="73" spans="1:15" ht="70.05" customHeight="1" outlineLevel="1">
      <c r="A73" s="109" t="s">
        <v>2773</v>
      </c>
      <c r="B73" s="110" t="s">
        <v>2763</v>
      </c>
      <c r="C73" s="110" t="s">
        <v>2764</v>
      </c>
      <c r="D73" s="111" t="s">
        <v>2774</v>
      </c>
      <c r="E73" s="111" t="s">
        <v>2775</v>
      </c>
      <c r="F73" s="109" t="s">
        <v>344</v>
      </c>
      <c r="G73" s="112">
        <v>46300</v>
      </c>
      <c r="H73" s="109" t="s">
        <v>2554</v>
      </c>
      <c r="I73" s="109" t="s">
        <v>346</v>
      </c>
      <c r="J73" s="109"/>
      <c r="K73" s="109"/>
      <c r="L73" s="109" t="s">
        <v>346</v>
      </c>
      <c r="M73" s="109"/>
      <c r="N73" s="109"/>
      <c r="O73" s="113"/>
    </row>
    <row r="74" spans="1:15" ht="70.05" customHeight="1" outlineLevel="1">
      <c r="A74" s="109" t="s">
        <v>2776</v>
      </c>
      <c r="B74" s="110" t="s">
        <v>2763</v>
      </c>
      <c r="C74" s="110" t="s">
        <v>2764</v>
      </c>
      <c r="D74" s="111" t="s">
        <v>2774</v>
      </c>
      <c r="E74" s="111" t="s">
        <v>2777</v>
      </c>
      <c r="F74" s="109" t="s">
        <v>344</v>
      </c>
      <c r="G74" s="112">
        <v>46300</v>
      </c>
      <c r="H74" s="109" t="s">
        <v>2554</v>
      </c>
      <c r="I74" s="109" t="s">
        <v>346</v>
      </c>
      <c r="J74" s="109"/>
      <c r="K74" s="109"/>
      <c r="L74" s="109" t="s">
        <v>346</v>
      </c>
      <c r="M74" s="109"/>
      <c r="N74" s="109"/>
      <c r="O74" s="113"/>
    </row>
    <row r="75" spans="1:15" ht="70.05" customHeight="1" outlineLevel="1">
      <c r="A75" s="109" t="s">
        <v>2778</v>
      </c>
      <c r="B75" s="110" t="s">
        <v>2763</v>
      </c>
      <c r="C75" s="110" t="s">
        <v>2764</v>
      </c>
      <c r="D75" s="111" t="s">
        <v>2774</v>
      </c>
      <c r="E75" s="111" t="s">
        <v>2779</v>
      </c>
      <c r="F75" s="109" t="s">
        <v>344</v>
      </c>
      <c r="G75" s="112">
        <v>46300</v>
      </c>
      <c r="H75" s="109" t="s">
        <v>2554</v>
      </c>
      <c r="I75" s="109" t="s">
        <v>346</v>
      </c>
      <c r="J75" s="109"/>
      <c r="K75" s="109"/>
      <c r="L75" s="109" t="s">
        <v>346</v>
      </c>
      <c r="M75" s="109"/>
      <c r="N75" s="109"/>
      <c r="O75" s="113"/>
    </row>
    <row r="76" spans="1:15" ht="70.05" customHeight="1" outlineLevel="1">
      <c r="A76" s="109" t="s">
        <v>2780</v>
      </c>
      <c r="B76" s="110" t="s">
        <v>2763</v>
      </c>
      <c r="C76" s="110" t="s">
        <v>2764</v>
      </c>
      <c r="D76" s="111" t="s">
        <v>2781</v>
      </c>
      <c r="E76" s="111" t="s">
        <v>2782</v>
      </c>
      <c r="F76" s="109" t="s">
        <v>344</v>
      </c>
      <c r="G76" s="112">
        <v>46300</v>
      </c>
      <c r="H76" s="109" t="s">
        <v>2554</v>
      </c>
      <c r="I76" s="109" t="s">
        <v>346</v>
      </c>
      <c r="J76" s="109"/>
      <c r="K76" s="109"/>
      <c r="L76" s="109" t="s">
        <v>346</v>
      </c>
      <c r="M76" s="109"/>
      <c r="N76" s="109"/>
      <c r="O76" s="113"/>
    </row>
    <row r="77" spans="1:15" ht="70.05" customHeight="1" outlineLevel="1">
      <c r="A77" s="109" t="s">
        <v>2783</v>
      </c>
      <c r="B77" s="110" t="s">
        <v>2763</v>
      </c>
      <c r="C77" s="110" t="s">
        <v>2764</v>
      </c>
      <c r="D77" s="111" t="s">
        <v>2784</v>
      </c>
      <c r="E77" s="111" t="s">
        <v>2785</v>
      </c>
      <c r="F77" s="109" t="s">
        <v>344</v>
      </c>
      <c r="G77" s="112">
        <v>46300</v>
      </c>
      <c r="H77" s="109" t="s">
        <v>2554</v>
      </c>
      <c r="I77" s="109" t="s">
        <v>346</v>
      </c>
      <c r="J77" s="109"/>
      <c r="K77" s="109"/>
      <c r="L77" s="109" t="s">
        <v>346</v>
      </c>
      <c r="M77" s="109"/>
      <c r="N77" s="109"/>
      <c r="O77" s="113"/>
    </row>
    <row r="78" spans="1:15" ht="70.05" customHeight="1" outlineLevel="1">
      <c r="A78" s="109" t="s">
        <v>2786</v>
      </c>
      <c r="B78" s="110" t="s">
        <v>2763</v>
      </c>
      <c r="C78" s="110" t="s">
        <v>2764</v>
      </c>
      <c r="D78" s="111" t="s">
        <v>2787</v>
      </c>
      <c r="E78" s="111" t="s">
        <v>2788</v>
      </c>
      <c r="F78" s="109" t="s">
        <v>344</v>
      </c>
      <c r="G78" s="112">
        <v>46300</v>
      </c>
      <c r="H78" s="109" t="s">
        <v>2554</v>
      </c>
      <c r="I78" s="109" t="s">
        <v>346</v>
      </c>
      <c r="J78" s="109"/>
      <c r="K78" s="109"/>
      <c r="L78" s="109" t="s">
        <v>346</v>
      </c>
      <c r="M78" s="109"/>
      <c r="N78" s="109"/>
      <c r="O78" s="113"/>
    </row>
    <row r="79" spans="1:15" ht="70.05" customHeight="1" outlineLevel="1">
      <c r="A79" s="109" t="s">
        <v>2789</v>
      </c>
      <c r="B79" s="110" t="s">
        <v>2763</v>
      </c>
      <c r="C79" s="110" t="s">
        <v>2764</v>
      </c>
      <c r="D79" s="111" t="s">
        <v>2790</v>
      </c>
      <c r="E79" s="111" t="s">
        <v>2791</v>
      </c>
      <c r="F79" s="109" t="s">
        <v>344</v>
      </c>
      <c r="G79" s="112">
        <v>46300</v>
      </c>
      <c r="H79" s="109" t="s">
        <v>2554</v>
      </c>
      <c r="I79" s="109" t="s">
        <v>346</v>
      </c>
      <c r="J79" s="109"/>
      <c r="K79" s="109"/>
      <c r="L79" s="109" t="s">
        <v>346</v>
      </c>
      <c r="M79" s="109"/>
      <c r="N79" s="109"/>
      <c r="O79" s="113"/>
    </row>
    <row r="80" spans="1:15" ht="70.05" customHeight="1" outlineLevel="1">
      <c r="A80" s="109" t="s">
        <v>2792</v>
      </c>
      <c r="B80" s="110" t="s">
        <v>2793</v>
      </c>
      <c r="C80" s="110" t="s">
        <v>2764</v>
      </c>
      <c r="D80" s="111" t="s">
        <v>2794</v>
      </c>
      <c r="E80" s="111" t="s">
        <v>2795</v>
      </c>
      <c r="F80" s="109" t="s">
        <v>344</v>
      </c>
      <c r="G80" s="112">
        <v>46300</v>
      </c>
      <c r="H80" s="109" t="s">
        <v>2554</v>
      </c>
      <c r="I80" s="109" t="s">
        <v>346</v>
      </c>
      <c r="J80" s="109"/>
      <c r="K80" s="109"/>
      <c r="L80" s="109" t="s">
        <v>346</v>
      </c>
      <c r="M80" s="109"/>
      <c r="N80" s="109"/>
      <c r="O80" s="113"/>
    </row>
    <row r="81" spans="1:15" ht="70.05" customHeight="1" outlineLevel="1">
      <c r="A81" s="109" t="s">
        <v>2796</v>
      </c>
      <c r="B81" s="110" t="s">
        <v>2793</v>
      </c>
      <c r="C81" s="110" t="s">
        <v>2764</v>
      </c>
      <c r="D81" s="111" t="s">
        <v>2797</v>
      </c>
      <c r="E81" s="111" t="s">
        <v>2798</v>
      </c>
      <c r="F81" s="109" t="s">
        <v>344</v>
      </c>
      <c r="G81" s="112">
        <v>46300</v>
      </c>
      <c r="H81" s="109" t="s">
        <v>2554</v>
      </c>
      <c r="I81" s="109" t="s">
        <v>346</v>
      </c>
      <c r="J81" s="109"/>
      <c r="K81" s="109"/>
      <c r="L81" s="109" t="s">
        <v>346</v>
      </c>
      <c r="M81" s="109"/>
      <c r="N81" s="109"/>
      <c r="O81" s="113"/>
    </row>
    <row r="82" spans="1:15" ht="70.05" customHeight="1" outlineLevel="1">
      <c r="A82" s="109" t="s">
        <v>2799</v>
      </c>
      <c r="B82" s="110" t="s">
        <v>2793</v>
      </c>
      <c r="C82" s="110" t="s">
        <v>2764</v>
      </c>
      <c r="D82" s="111" t="s">
        <v>2800</v>
      </c>
      <c r="E82" s="111" t="s">
        <v>2801</v>
      </c>
      <c r="F82" s="109" t="s">
        <v>344</v>
      </c>
      <c r="G82" s="112">
        <v>46300</v>
      </c>
      <c r="H82" s="109" t="s">
        <v>2554</v>
      </c>
      <c r="I82" s="109" t="s">
        <v>346</v>
      </c>
      <c r="J82" s="109"/>
      <c r="K82" s="109"/>
      <c r="L82" s="109" t="s">
        <v>346</v>
      </c>
      <c r="M82" s="109"/>
      <c r="N82" s="109"/>
      <c r="O82" s="113"/>
    </row>
    <row r="83" spans="1:15" ht="70.05" customHeight="1" outlineLevel="1">
      <c r="A83" s="109" t="s">
        <v>2802</v>
      </c>
      <c r="B83" s="110" t="s">
        <v>2803</v>
      </c>
      <c r="C83" s="110" t="s">
        <v>2764</v>
      </c>
      <c r="D83" s="111" t="s">
        <v>2752</v>
      </c>
      <c r="E83" s="111" t="s">
        <v>2753</v>
      </c>
      <c r="F83" s="109" t="s">
        <v>344</v>
      </c>
      <c r="G83" s="112">
        <v>46300</v>
      </c>
      <c r="H83" s="109" t="s">
        <v>2554</v>
      </c>
      <c r="I83" s="109" t="s">
        <v>346</v>
      </c>
      <c r="J83" s="109"/>
      <c r="K83" s="109"/>
      <c r="L83" s="109" t="s">
        <v>346</v>
      </c>
      <c r="M83" s="109"/>
      <c r="N83" s="109"/>
      <c r="O83" s="113"/>
    </row>
    <row r="84" spans="1:15" ht="70.05" customHeight="1" outlineLevel="1">
      <c r="A84" s="109" t="s">
        <v>2804</v>
      </c>
      <c r="B84" s="110" t="s">
        <v>2803</v>
      </c>
      <c r="C84" s="110" t="s">
        <v>2764</v>
      </c>
      <c r="D84" s="111" t="s">
        <v>1845</v>
      </c>
      <c r="E84" s="111" t="s">
        <v>2755</v>
      </c>
      <c r="F84" s="109" t="s">
        <v>344</v>
      </c>
      <c r="G84" s="112">
        <v>46300</v>
      </c>
      <c r="H84" s="109" t="s">
        <v>2554</v>
      </c>
      <c r="I84" s="109" t="s">
        <v>346</v>
      </c>
      <c r="J84" s="109"/>
      <c r="K84" s="109"/>
      <c r="L84" s="109" t="s">
        <v>346</v>
      </c>
      <c r="M84" s="109"/>
      <c r="N84" s="109"/>
      <c r="O84" s="113"/>
    </row>
    <row r="85" spans="1:15" ht="70.05" customHeight="1" outlineLevel="1">
      <c r="A85" s="109" t="s">
        <v>2805</v>
      </c>
      <c r="B85" s="110" t="s">
        <v>2803</v>
      </c>
      <c r="C85" s="110" t="s">
        <v>2764</v>
      </c>
      <c r="D85" s="111" t="s">
        <v>2757</v>
      </c>
      <c r="E85" s="111" t="s">
        <v>2758</v>
      </c>
      <c r="F85" s="109" t="s">
        <v>344</v>
      </c>
      <c r="G85" s="112">
        <v>46300</v>
      </c>
      <c r="H85" s="109" t="s">
        <v>2554</v>
      </c>
      <c r="I85" s="109" t="s">
        <v>346</v>
      </c>
      <c r="J85" s="109"/>
      <c r="K85" s="109"/>
      <c r="L85" s="109" t="s">
        <v>346</v>
      </c>
      <c r="M85" s="109"/>
      <c r="N85" s="109"/>
      <c r="O85" s="113"/>
    </row>
    <row r="86" spans="1:15" ht="70.05" customHeight="1" outlineLevel="1">
      <c r="A86" s="109" t="s">
        <v>2806</v>
      </c>
      <c r="B86" s="110" t="s">
        <v>2807</v>
      </c>
      <c r="C86" s="110" t="s">
        <v>2808</v>
      </c>
      <c r="D86" s="111" t="s">
        <v>1611</v>
      </c>
      <c r="E86" s="111" t="s">
        <v>2667</v>
      </c>
      <c r="F86" s="109" t="s">
        <v>344</v>
      </c>
      <c r="G86" s="112">
        <v>46300</v>
      </c>
      <c r="H86" s="109" t="s">
        <v>2554</v>
      </c>
      <c r="I86" s="109" t="s">
        <v>346</v>
      </c>
      <c r="J86" s="109"/>
      <c r="K86" s="109"/>
      <c r="L86" s="109" t="s">
        <v>346</v>
      </c>
      <c r="M86" s="109"/>
      <c r="N86" s="109"/>
      <c r="O86" s="113"/>
    </row>
    <row r="87" spans="1:15" ht="70.05" customHeight="1" outlineLevel="1">
      <c r="A87" s="109" t="s">
        <v>2809</v>
      </c>
      <c r="B87" s="110" t="s">
        <v>2803</v>
      </c>
      <c r="C87" s="110" t="s">
        <v>2764</v>
      </c>
      <c r="D87" s="111" t="s">
        <v>1305</v>
      </c>
      <c r="E87" s="111" t="s">
        <v>2810</v>
      </c>
      <c r="F87" s="109" t="s">
        <v>344</v>
      </c>
      <c r="G87" s="112">
        <v>46300</v>
      </c>
      <c r="H87" s="109" t="s">
        <v>2554</v>
      </c>
      <c r="I87" s="109" t="s">
        <v>346</v>
      </c>
      <c r="J87" s="109"/>
      <c r="K87" s="109"/>
      <c r="L87" s="109" t="s">
        <v>346</v>
      </c>
      <c r="M87" s="109"/>
      <c r="N87" s="109"/>
      <c r="O87" s="113"/>
    </row>
    <row r="88" spans="1:15" ht="15.75" customHeight="1">
      <c r="A88" s="60" t="s">
        <v>131</v>
      </c>
      <c r="B88" s="60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2"/>
    </row>
    <row r="89" spans="1:15" ht="70.05" customHeight="1" outlineLevel="1">
      <c r="A89" s="109" t="s">
        <v>2811</v>
      </c>
      <c r="B89" s="110" t="s">
        <v>2812</v>
      </c>
      <c r="C89" s="110" t="s">
        <v>2813</v>
      </c>
      <c r="D89" s="111" t="s">
        <v>2814</v>
      </c>
      <c r="E89" s="111" t="s">
        <v>2815</v>
      </c>
      <c r="F89" s="109" t="s">
        <v>346</v>
      </c>
      <c r="G89" s="109"/>
      <c r="H89" s="109"/>
      <c r="I89" s="109" t="s">
        <v>346</v>
      </c>
      <c r="J89" s="109"/>
      <c r="K89" s="109"/>
      <c r="L89" s="109" t="s">
        <v>346</v>
      </c>
      <c r="M89" s="109"/>
      <c r="N89" s="109"/>
      <c r="O89" s="113" t="s">
        <v>2816</v>
      </c>
    </row>
    <row r="90" spans="1:15" ht="70.05" customHeight="1" outlineLevel="1">
      <c r="A90" s="109" t="s">
        <v>2817</v>
      </c>
      <c r="B90" s="110" t="s">
        <v>2812</v>
      </c>
      <c r="C90" s="110" t="s">
        <v>2813</v>
      </c>
      <c r="D90" s="111" t="s">
        <v>2818</v>
      </c>
      <c r="E90" s="111" t="s">
        <v>2819</v>
      </c>
      <c r="F90" s="109" t="s">
        <v>346</v>
      </c>
      <c r="G90" s="109"/>
      <c r="H90" s="109"/>
      <c r="I90" s="109" t="s">
        <v>346</v>
      </c>
      <c r="J90" s="109"/>
      <c r="K90" s="109"/>
      <c r="L90" s="109" t="s">
        <v>346</v>
      </c>
      <c r="M90" s="109"/>
      <c r="N90" s="109"/>
      <c r="O90" s="113" t="s">
        <v>2816</v>
      </c>
    </row>
    <row r="91" spans="1:15" ht="70.05" customHeight="1" outlineLevel="1">
      <c r="A91" s="109" t="s">
        <v>2820</v>
      </c>
      <c r="B91" s="110" t="s">
        <v>2821</v>
      </c>
      <c r="C91" s="110" t="s">
        <v>2822</v>
      </c>
      <c r="D91" s="111" t="s">
        <v>2823</v>
      </c>
      <c r="E91" s="111" t="s">
        <v>2815</v>
      </c>
      <c r="F91" s="109" t="s">
        <v>346</v>
      </c>
      <c r="G91" s="109"/>
      <c r="H91" s="109"/>
      <c r="I91" s="109" t="s">
        <v>346</v>
      </c>
      <c r="J91" s="109"/>
      <c r="K91" s="109"/>
      <c r="L91" s="109" t="s">
        <v>346</v>
      </c>
      <c r="M91" s="109"/>
      <c r="N91" s="109"/>
      <c r="O91" s="113" t="s">
        <v>2816</v>
      </c>
    </row>
    <row r="92" spans="1:15" ht="70.05" customHeight="1" outlineLevel="1">
      <c r="A92" s="109" t="s">
        <v>2824</v>
      </c>
      <c r="B92" s="110" t="s">
        <v>2825</v>
      </c>
      <c r="C92" s="110" t="s">
        <v>2826</v>
      </c>
      <c r="D92" s="111" t="s">
        <v>2827</v>
      </c>
      <c r="E92" s="111" t="s">
        <v>2815</v>
      </c>
      <c r="F92" s="109" t="s">
        <v>346</v>
      </c>
      <c r="G92" s="109"/>
      <c r="H92" s="109"/>
      <c r="I92" s="109" t="s">
        <v>346</v>
      </c>
      <c r="J92" s="109"/>
      <c r="K92" s="109"/>
      <c r="L92" s="109" t="s">
        <v>346</v>
      </c>
      <c r="M92" s="109"/>
      <c r="N92" s="109"/>
      <c r="O92" s="113" t="s">
        <v>2816</v>
      </c>
    </row>
    <row r="93" spans="1:15" ht="70.05" customHeight="1" outlineLevel="1">
      <c r="A93" s="109" t="s">
        <v>2828</v>
      </c>
      <c r="B93" s="110" t="s">
        <v>2829</v>
      </c>
      <c r="C93" s="110" t="s">
        <v>2830</v>
      </c>
      <c r="D93" s="111" t="s">
        <v>2831</v>
      </c>
      <c r="E93" s="111" t="s">
        <v>2832</v>
      </c>
      <c r="F93" s="109" t="s">
        <v>346</v>
      </c>
      <c r="G93" s="109"/>
      <c r="H93" s="109"/>
      <c r="I93" s="109" t="s">
        <v>346</v>
      </c>
      <c r="J93" s="109"/>
      <c r="K93" s="109"/>
      <c r="L93" s="109" t="s">
        <v>346</v>
      </c>
      <c r="M93" s="109"/>
      <c r="N93" s="109"/>
      <c r="O93" s="113" t="s">
        <v>2816</v>
      </c>
    </row>
    <row r="94" spans="1:15" ht="70.05" customHeight="1" outlineLevel="1">
      <c r="A94" s="109" t="s">
        <v>2833</v>
      </c>
      <c r="B94" s="110" t="s">
        <v>2834</v>
      </c>
      <c r="C94" s="110" t="s">
        <v>2835</v>
      </c>
      <c r="D94" s="111" t="s">
        <v>2836</v>
      </c>
      <c r="E94" s="111" t="s">
        <v>2815</v>
      </c>
      <c r="F94" s="109" t="s">
        <v>346</v>
      </c>
      <c r="G94" s="109"/>
      <c r="H94" s="109"/>
      <c r="I94" s="109" t="s">
        <v>346</v>
      </c>
      <c r="J94" s="109"/>
      <c r="K94" s="109"/>
      <c r="L94" s="109" t="s">
        <v>346</v>
      </c>
      <c r="M94" s="109"/>
      <c r="N94" s="109"/>
      <c r="O94" s="113" t="s">
        <v>2816</v>
      </c>
    </row>
    <row r="95" spans="1:15" ht="70.05" customHeight="1" outlineLevel="1">
      <c r="A95" s="109" t="s">
        <v>2837</v>
      </c>
      <c r="B95" s="110" t="s">
        <v>2838</v>
      </c>
      <c r="C95" s="110" t="s">
        <v>2839</v>
      </c>
      <c r="D95" s="111" t="s">
        <v>2840</v>
      </c>
      <c r="E95" s="111" t="s">
        <v>2815</v>
      </c>
      <c r="F95" s="109" t="s">
        <v>346</v>
      </c>
      <c r="G95" s="109"/>
      <c r="H95" s="109"/>
      <c r="I95" s="109" t="s">
        <v>346</v>
      </c>
      <c r="J95" s="109"/>
      <c r="K95" s="109"/>
      <c r="L95" s="109" t="s">
        <v>346</v>
      </c>
      <c r="M95" s="109"/>
      <c r="N95" s="109"/>
      <c r="O95" s="113" t="s">
        <v>2816</v>
      </c>
    </row>
    <row r="96" spans="1:15" ht="70.05" customHeight="1" outlineLevel="1">
      <c r="A96" s="109" t="s">
        <v>2841</v>
      </c>
      <c r="B96" s="110" t="s">
        <v>2842</v>
      </c>
      <c r="C96" s="110" t="s">
        <v>2843</v>
      </c>
      <c r="D96" s="111" t="s">
        <v>2844</v>
      </c>
      <c r="E96" s="111" t="s">
        <v>2815</v>
      </c>
      <c r="F96" s="109" t="s">
        <v>346</v>
      </c>
      <c r="G96" s="109"/>
      <c r="H96" s="109"/>
      <c r="I96" s="109" t="s">
        <v>346</v>
      </c>
      <c r="J96" s="109"/>
      <c r="K96" s="109"/>
      <c r="L96" s="109" t="s">
        <v>346</v>
      </c>
      <c r="M96" s="109"/>
      <c r="N96" s="109"/>
      <c r="O96" s="113" t="s">
        <v>2816</v>
      </c>
    </row>
    <row r="97" spans="1:15" ht="70.05" customHeight="1" outlineLevel="1">
      <c r="A97" s="109" t="s">
        <v>2845</v>
      </c>
      <c r="B97" s="110" t="s">
        <v>2846</v>
      </c>
      <c r="C97" s="110" t="s">
        <v>2847</v>
      </c>
      <c r="D97" s="111" t="s">
        <v>2848</v>
      </c>
      <c r="E97" s="111" t="s">
        <v>2815</v>
      </c>
      <c r="F97" s="109" t="s">
        <v>346</v>
      </c>
      <c r="G97" s="109"/>
      <c r="H97" s="109"/>
      <c r="I97" s="109" t="s">
        <v>346</v>
      </c>
      <c r="J97" s="109"/>
      <c r="K97" s="109"/>
      <c r="L97" s="109" t="s">
        <v>346</v>
      </c>
      <c r="M97" s="109"/>
      <c r="N97" s="109"/>
      <c r="O97" s="113" t="s">
        <v>2816</v>
      </c>
    </row>
    <row r="98" spans="1:15" ht="70.05" customHeight="1" outlineLevel="1">
      <c r="A98" s="109" t="s">
        <v>2849</v>
      </c>
      <c r="B98" s="110" t="s">
        <v>2850</v>
      </c>
      <c r="C98" s="110" t="s">
        <v>2851</v>
      </c>
      <c r="D98" s="111" t="s">
        <v>2852</v>
      </c>
      <c r="E98" s="111" t="s">
        <v>2815</v>
      </c>
      <c r="F98" s="109" t="s">
        <v>346</v>
      </c>
      <c r="G98" s="109"/>
      <c r="H98" s="109"/>
      <c r="I98" s="109" t="s">
        <v>346</v>
      </c>
      <c r="J98" s="109"/>
      <c r="K98" s="109"/>
      <c r="L98" s="109" t="s">
        <v>346</v>
      </c>
      <c r="M98" s="109"/>
      <c r="N98" s="109"/>
      <c r="O98" s="113" t="s">
        <v>2816</v>
      </c>
    </row>
    <row r="99" spans="1:15" ht="70.05" customHeight="1" outlineLevel="1">
      <c r="A99" s="109" t="s">
        <v>2853</v>
      </c>
      <c r="B99" s="110" t="s">
        <v>2854</v>
      </c>
      <c r="C99" s="110" t="s">
        <v>2855</v>
      </c>
      <c r="D99" s="111" t="s">
        <v>2856</v>
      </c>
      <c r="E99" s="111" t="s">
        <v>2815</v>
      </c>
      <c r="F99" s="109" t="s">
        <v>346</v>
      </c>
      <c r="G99" s="109"/>
      <c r="H99" s="109"/>
      <c r="I99" s="109" t="s">
        <v>346</v>
      </c>
      <c r="J99" s="109"/>
      <c r="K99" s="109"/>
      <c r="L99" s="109" t="s">
        <v>346</v>
      </c>
      <c r="M99" s="109"/>
      <c r="N99" s="109"/>
      <c r="O99" s="113" t="s">
        <v>2816</v>
      </c>
    </row>
    <row r="100" spans="1:15" ht="70.05" customHeight="1" outlineLevel="1">
      <c r="A100" s="109" t="s">
        <v>2857</v>
      </c>
      <c r="B100" s="110" t="s">
        <v>2858</v>
      </c>
      <c r="C100" s="110" t="s">
        <v>2859</v>
      </c>
      <c r="D100" s="111" t="s">
        <v>2860</v>
      </c>
      <c r="E100" s="111" t="s">
        <v>2815</v>
      </c>
      <c r="F100" s="109" t="s">
        <v>346</v>
      </c>
      <c r="G100" s="109"/>
      <c r="H100" s="109"/>
      <c r="I100" s="109" t="s">
        <v>346</v>
      </c>
      <c r="J100" s="109"/>
      <c r="K100" s="109"/>
      <c r="L100" s="109" t="s">
        <v>346</v>
      </c>
      <c r="M100" s="109"/>
      <c r="N100" s="109"/>
      <c r="O100" s="113" t="s">
        <v>2816</v>
      </c>
    </row>
    <row r="101" spans="1:15" ht="70.05" customHeight="1" outlineLevel="1">
      <c r="A101" s="109" t="s">
        <v>2861</v>
      </c>
      <c r="B101" s="110" t="s">
        <v>2862</v>
      </c>
      <c r="C101" s="110" t="s">
        <v>2863</v>
      </c>
      <c r="D101" s="111" t="s">
        <v>2864</v>
      </c>
      <c r="E101" s="111" t="s">
        <v>2815</v>
      </c>
      <c r="F101" s="109" t="s">
        <v>346</v>
      </c>
      <c r="G101" s="109"/>
      <c r="H101" s="109"/>
      <c r="I101" s="109" t="s">
        <v>346</v>
      </c>
      <c r="J101" s="109"/>
      <c r="K101" s="109"/>
      <c r="L101" s="109" t="s">
        <v>346</v>
      </c>
      <c r="M101" s="109"/>
      <c r="N101" s="109"/>
      <c r="O101" s="113" t="s">
        <v>2816</v>
      </c>
    </row>
    <row r="102" spans="1:15" ht="70.05" customHeight="1" outlineLevel="1">
      <c r="A102" s="109" t="s">
        <v>2865</v>
      </c>
      <c r="B102" s="110" t="s">
        <v>2866</v>
      </c>
      <c r="C102" s="110" t="s">
        <v>2867</v>
      </c>
      <c r="D102" s="111" t="s">
        <v>2868</v>
      </c>
      <c r="E102" s="111" t="s">
        <v>2869</v>
      </c>
      <c r="F102" s="109" t="s">
        <v>346</v>
      </c>
      <c r="G102" s="109"/>
      <c r="H102" s="109"/>
      <c r="I102" s="109" t="s">
        <v>346</v>
      </c>
      <c r="J102" s="109"/>
      <c r="K102" s="109"/>
      <c r="L102" s="109" t="s">
        <v>346</v>
      </c>
      <c r="M102" s="109"/>
      <c r="N102" s="109"/>
      <c r="O102" s="113" t="s">
        <v>2816</v>
      </c>
    </row>
    <row r="103" spans="1:15" ht="70.05" customHeight="1" outlineLevel="1">
      <c r="A103" s="109" t="s">
        <v>2870</v>
      </c>
      <c r="B103" s="110" t="s">
        <v>2866</v>
      </c>
      <c r="C103" s="110" t="s">
        <v>2867</v>
      </c>
      <c r="D103" s="111" t="s">
        <v>2752</v>
      </c>
      <c r="E103" s="111" t="s">
        <v>2871</v>
      </c>
      <c r="F103" s="109" t="s">
        <v>346</v>
      </c>
      <c r="G103" s="109"/>
      <c r="H103" s="109"/>
      <c r="I103" s="109" t="s">
        <v>346</v>
      </c>
      <c r="J103" s="109"/>
      <c r="K103" s="109"/>
      <c r="L103" s="109" t="s">
        <v>346</v>
      </c>
      <c r="M103" s="109"/>
      <c r="N103" s="109"/>
      <c r="O103" s="113" t="s">
        <v>2816</v>
      </c>
    </row>
    <row r="104" spans="1:15" ht="70.05" customHeight="1" outlineLevel="1">
      <c r="A104" s="109" t="s">
        <v>2872</v>
      </c>
      <c r="B104" s="110" t="s">
        <v>2873</v>
      </c>
      <c r="C104" s="110" t="s">
        <v>2874</v>
      </c>
      <c r="D104" s="111" t="s">
        <v>2875</v>
      </c>
      <c r="E104" s="111" t="s">
        <v>2815</v>
      </c>
      <c r="F104" s="109" t="s">
        <v>346</v>
      </c>
      <c r="G104" s="109"/>
      <c r="H104" s="109"/>
      <c r="I104" s="109" t="s">
        <v>346</v>
      </c>
      <c r="J104" s="109"/>
      <c r="K104" s="109"/>
      <c r="L104" s="109" t="s">
        <v>346</v>
      </c>
      <c r="M104" s="109"/>
      <c r="N104" s="109"/>
      <c r="O104" s="113" t="s">
        <v>2816</v>
      </c>
    </row>
    <row r="105" spans="1:15" ht="70.05" customHeight="1" outlineLevel="1">
      <c r="A105" s="109" t="s">
        <v>2876</v>
      </c>
      <c r="B105" s="110" t="s">
        <v>2877</v>
      </c>
      <c r="C105" s="110" t="s">
        <v>2878</v>
      </c>
      <c r="D105" s="111" t="s">
        <v>2879</v>
      </c>
      <c r="E105" s="111" t="s">
        <v>2815</v>
      </c>
      <c r="F105" s="109" t="s">
        <v>346</v>
      </c>
      <c r="G105" s="109"/>
      <c r="H105" s="109"/>
      <c r="I105" s="109" t="s">
        <v>346</v>
      </c>
      <c r="J105" s="109"/>
      <c r="K105" s="109"/>
      <c r="L105" s="109" t="s">
        <v>346</v>
      </c>
      <c r="M105" s="109"/>
      <c r="N105" s="109"/>
      <c r="O105" s="113" t="s">
        <v>2816</v>
      </c>
    </row>
    <row r="106" spans="1:15" ht="70.05" customHeight="1" outlineLevel="1">
      <c r="A106" s="109" t="s">
        <v>2880</v>
      </c>
      <c r="B106" s="110" t="s">
        <v>2881</v>
      </c>
      <c r="C106" s="110" t="s">
        <v>2882</v>
      </c>
      <c r="D106" s="111" t="s">
        <v>2883</v>
      </c>
      <c r="E106" s="111" t="s">
        <v>2815</v>
      </c>
      <c r="F106" s="109" t="s">
        <v>346</v>
      </c>
      <c r="G106" s="109"/>
      <c r="H106" s="109"/>
      <c r="I106" s="109" t="s">
        <v>346</v>
      </c>
      <c r="J106" s="109"/>
      <c r="K106" s="109"/>
      <c r="L106" s="109" t="s">
        <v>346</v>
      </c>
      <c r="M106" s="109"/>
      <c r="N106" s="109"/>
      <c r="O106" s="113" t="s">
        <v>2816</v>
      </c>
    </row>
    <row r="107" spans="1:15" ht="70.05" customHeight="1" outlineLevel="1">
      <c r="A107" s="109" t="s">
        <v>2884</v>
      </c>
      <c r="B107" s="110" t="s">
        <v>2885</v>
      </c>
      <c r="C107" s="110" t="s">
        <v>2886</v>
      </c>
      <c r="D107" s="111" t="s">
        <v>2887</v>
      </c>
      <c r="E107" s="111" t="s">
        <v>2815</v>
      </c>
      <c r="F107" s="109" t="s">
        <v>346</v>
      </c>
      <c r="G107" s="109"/>
      <c r="H107" s="109"/>
      <c r="I107" s="109" t="s">
        <v>346</v>
      </c>
      <c r="J107" s="109"/>
      <c r="K107" s="109"/>
      <c r="L107" s="109" t="s">
        <v>346</v>
      </c>
      <c r="M107" s="109"/>
      <c r="N107" s="109"/>
      <c r="O107" s="113" t="s">
        <v>2816</v>
      </c>
    </row>
    <row r="108" spans="1:15" ht="70.05" customHeight="1" outlineLevel="1">
      <c r="A108" s="109" t="s">
        <v>2888</v>
      </c>
      <c r="B108" s="110" t="s">
        <v>2866</v>
      </c>
      <c r="C108" s="110" t="s">
        <v>2867</v>
      </c>
      <c r="D108" s="111" t="s">
        <v>2757</v>
      </c>
      <c r="E108" s="111" t="s">
        <v>2889</v>
      </c>
      <c r="F108" s="109" t="s">
        <v>346</v>
      </c>
      <c r="G108" s="109"/>
      <c r="H108" s="109"/>
      <c r="I108" s="109" t="s">
        <v>346</v>
      </c>
      <c r="J108" s="109"/>
      <c r="K108" s="109"/>
      <c r="L108" s="109" t="s">
        <v>346</v>
      </c>
      <c r="M108" s="109"/>
      <c r="N108" s="109"/>
      <c r="O108" s="113" t="s">
        <v>2816</v>
      </c>
    </row>
    <row r="109" spans="1:15" ht="70.05" customHeight="1" outlineLevel="1">
      <c r="A109" s="109" t="s">
        <v>2890</v>
      </c>
      <c r="B109" s="110" t="s">
        <v>2866</v>
      </c>
      <c r="C109" s="110" t="s">
        <v>2867</v>
      </c>
      <c r="D109" s="111" t="s">
        <v>1845</v>
      </c>
      <c r="E109" s="111" t="s">
        <v>2891</v>
      </c>
      <c r="F109" s="109" t="s">
        <v>346</v>
      </c>
      <c r="G109" s="109"/>
      <c r="H109" s="109"/>
      <c r="I109" s="109" t="s">
        <v>346</v>
      </c>
      <c r="J109" s="109"/>
      <c r="K109" s="109"/>
      <c r="L109" s="109" t="s">
        <v>346</v>
      </c>
      <c r="M109" s="109"/>
      <c r="N109" s="109"/>
      <c r="O109" s="113" t="s">
        <v>2816</v>
      </c>
    </row>
    <row r="110" spans="1:15" ht="70.05" customHeight="1" outlineLevel="1">
      <c r="A110" s="109" t="s">
        <v>2892</v>
      </c>
      <c r="B110" s="110" t="s">
        <v>2893</v>
      </c>
      <c r="C110" s="110" t="s">
        <v>2894</v>
      </c>
      <c r="D110" s="111" t="s">
        <v>1611</v>
      </c>
      <c r="E110" s="111" t="s">
        <v>2815</v>
      </c>
      <c r="F110" s="109" t="s">
        <v>346</v>
      </c>
      <c r="G110" s="109"/>
      <c r="H110" s="109"/>
      <c r="I110" s="109" t="s">
        <v>346</v>
      </c>
      <c r="J110" s="109"/>
      <c r="K110" s="109"/>
      <c r="L110" s="109" t="s">
        <v>346</v>
      </c>
      <c r="M110" s="109"/>
      <c r="N110" s="109"/>
      <c r="O110" s="113" t="s">
        <v>2816</v>
      </c>
    </row>
    <row r="111" spans="1:15" ht="70.05" customHeight="1" outlineLevel="1">
      <c r="A111" s="109" t="s">
        <v>2895</v>
      </c>
      <c r="B111" s="110" t="s">
        <v>2896</v>
      </c>
      <c r="C111" s="110" t="s">
        <v>2897</v>
      </c>
      <c r="D111" s="111" t="s">
        <v>2898</v>
      </c>
      <c r="E111" s="111" t="s">
        <v>2899</v>
      </c>
      <c r="F111" s="109" t="s">
        <v>346</v>
      </c>
      <c r="G111" s="109"/>
      <c r="H111" s="109"/>
      <c r="I111" s="109" t="s">
        <v>346</v>
      </c>
      <c r="J111" s="109"/>
      <c r="K111" s="109"/>
      <c r="L111" s="109" t="s">
        <v>346</v>
      </c>
      <c r="M111" s="109"/>
      <c r="N111" s="109"/>
      <c r="O111" s="113" t="s">
        <v>2816</v>
      </c>
    </row>
    <row r="112" spans="1:15" ht="15.75" customHeight="1">
      <c r="A112" s="60" t="s">
        <v>134</v>
      </c>
      <c r="B112" s="60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2"/>
    </row>
    <row r="113" spans="1:15" ht="70.05" customHeight="1" outlineLevel="1">
      <c r="A113" s="109" t="s">
        <v>2900</v>
      </c>
      <c r="B113" s="110" t="s">
        <v>2901</v>
      </c>
      <c r="C113" s="110" t="s">
        <v>2902</v>
      </c>
      <c r="D113" s="111" t="s">
        <v>2903</v>
      </c>
      <c r="E113" s="111" t="s">
        <v>2904</v>
      </c>
      <c r="F113" s="109" t="s">
        <v>346</v>
      </c>
      <c r="G113" s="109"/>
      <c r="H113" s="109"/>
      <c r="I113" s="109" t="s">
        <v>346</v>
      </c>
      <c r="J113" s="109"/>
      <c r="K113" s="109"/>
      <c r="L113" s="109" t="s">
        <v>346</v>
      </c>
      <c r="M113" s="109"/>
      <c r="N113" s="109"/>
      <c r="O113" s="113" t="s">
        <v>2816</v>
      </c>
    </row>
    <row r="114" spans="1:15" ht="70.05" customHeight="1" outlineLevel="1">
      <c r="A114" s="109" t="s">
        <v>2905</v>
      </c>
      <c r="B114" s="110" t="s">
        <v>2901</v>
      </c>
      <c r="C114" s="110" t="s">
        <v>2902</v>
      </c>
      <c r="D114" s="111" t="s">
        <v>2906</v>
      </c>
      <c r="E114" s="111" t="s">
        <v>2907</v>
      </c>
      <c r="F114" s="109" t="s">
        <v>346</v>
      </c>
      <c r="G114" s="109"/>
      <c r="H114" s="109"/>
      <c r="I114" s="109" t="s">
        <v>346</v>
      </c>
      <c r="J114" s="109"/>
      <c r="K114" s="109"/>
      <c r="L114" s="109" t="s">
        <v>346</v>
      </c>
      <c r="M114" s="109"/>
      <c r="N114" s="109"/>
      <c r="O114" s="113" t="s">
        <v>2816</v>
      </c>
    </row>
    <row r="115" spans="1:15" ht="70.05" customHeight="1" outlineLevel="1">
      <c r="A115" s="109" t="s">
        <v>2908</v>
      </c>
      <c r="B115" s="110" t="s">
        <v>2901</v>
      </c>
      <c r="C115" s="110" t="s">
        <v>2902</v>
      </c>
      <c r="D115" s="111" t="s">
        <v>2909</v>
      </c>
      <c r="E115" s="111" t="s">
        <v>2910</v>
      </c>
      <c r="F115" s="109" t="s">
        <v>346</v>
      </c>
      <c r="G115" s="109"/>
      <c r="H115" s="109"/>
      <c r="I115" s="109" t="s">
        <v>346</v>
      </c>
      <c r="J115" s="109"/>
      <c r="K115" s="109"/>
      <c r="L115" s="109" t="s">
        <v>346</v>
      </c>
      <c r="M115" s="109"/>
      <c r="N115" s="109"/>
      <c r="O115" s="113" t="s">
        <v>2816</v>
      </c>
    </row>
    <row r="116" spans="1:15" ht="70.05" customHeight="1" outlineLevel="1">
      <c r="A116" s="109" t="s">
        <v>2911</v>
      </c>
      <c r="B116" s="110" t="s">
        <v>2901</v>
      </c>
      <c r="C116" s="110" t="s">
        <v>2902</v>
      </c>
      <c r="D116" s="111" t="s">
        <v>2912</v>
      </c>
      <c r="E116" s="111" t="s">
        <v>2913</v>
      </c>
      <c r="F116" s="109" t="s">
        <v>346</v>
      </c>
      <c r="G116" s="109"/>
      <c r="H116" s="109"/>
      <c r="I116" s="109" t="s">
        <v>346</v>
      </c>
      <c r="J116" s="109"/>
      <c r="K116" s="109"/>
      <c r="L116" s="109" t="s">
        <v>346</v>
      </c>
      <c r="M116" s="109"/>
      <c r="N116" s="109"/>
      <c r="O116" s="113" t="s">
        <v>2816</v>
      </c>
    </row>
    <row r="117" spans="1:15" ht="70.05" customHeight="1" outlineLevel="1">
      <c r="A117" s="109" t="s">
        <v>2914</v>
      </c>
      <c r="B117" s="110" t="s">
        <v>2901</v>
      </c>
      <c r="C117" s="110" t="s">
        <v>2902</v>
      </c>
      <c r="D117" s="111" t="s">
        <v>2912</v>
      </c>
      <c r="E117" s="111" t="s">
        <v>2915</v>
      </c>
      <c r="F117" s="109" t="s">
        <v>346</v>
      </c>
      <c r="G117" s="109"/>
      <c r="H117" s="109"/>
      <c r="I117" s="109" t="s">
        <v>346</v>
      </c>
      <c r="J117" s="109"/>
      <c r="K117" s="109"/>
      <c r="L117" s="109" t="s">
        <v>346</v>
      </c>
      <c r="M117" s="109"/>
      <c r="N117" s="109"/>
      <c r="O117" s="113" t="s">
        <v>2816</v>
      </c>
    </row>
    <row r="118" spans="1:15" ht="70.05" customHeight="1" outlineLevel="1">
      <c r="A118" s="109" t="s">
        <v>2916</v>
      </c>
      <c r="B118" s="110" t="s">
        <v>2917</v>
      </c>
      <c r="C118" s="110" t="s">
        <v>2918</v>
      </c>
      <c r="D118" s="111" t="s">
        <v>2919</v>
      </c>
      <c r="E118" s="111" t="s">
        <v>2920</v>
      </c>
      <c r="F118" s="109" t="s">
        <v>346</v>
      </c>
      <c r="G118" s="109"/>
      <c r="H118" s="109"/>
      <c r="I118" s="109" t="s">
        <v>346</v>
      </c>
      <c r="J118" s="109"/>
      <c r="K118" s="109"/>
      <c r="L118" s="109" t="s">
        <v>346</v>
      </c>
      <c r="M118" s="109"/>
      <c r="N118" s="109"/>
      <c r="O118" s="113" t="s">
        <v>2816</v>
      </c>
    </row>
    <row r="119" spans="1:15" ht="70.05" customHeight="1" outlineLevel="1">
      <c r="A119" s="109" t="s">
        <v>2921</v>
      </c>
      <c r="B119" s="110" t="s">
        <v>2917</v>
      </c>
      <c r="C119" s="110" t="s">
        <v>2918</v>
      </c>
      <c r="D119" s="111" t="s">
        <v>2922</v>
      </c>
      <c r="E119" s="111" t="s">
        <v>2923</v>
      </c>
      <c r="F119" s="109" t="s">
        <v>346</v>
      </c>
      <c r="G119" s="109"/>
      <c r="H119" s="109"/>
      <c r="I119" s="109" t="s">
        <v>346</v>
      </c>
      <c r="J119" s="109"/>
      <c r="K119" s="109"/>
      <c r="L119" s="109" t="s">
        <v>346</v>
      </c>
      <c r="M119" s="109"/>
      <c r="N119" s="109"/>
      <c r="O119" s="113" t="s">
        <v>2816</v>
      </c>
    </row>
    <row r="120" spans="1:15" ht="70.05" customHeight="1" outlineLevel="1">
      <c r="A120" s="109" t="s">
        <v>2924</v>
      </c>
      <c r="B120" s="110" t="s">
        <v>2917</v>
      </c>
      <c r="C120" s="110" t="s">
        <v>2918</v>
      </c>
      <c r="D120" s="111" t="s">
        <v>2925</v>
      </c>
      <c r="E120" s="111" t="s">
        <v>2926</v>
      </c>
      <c r="F120" s="109" t="s">
        <v>346</v>
      </c>
      <c r="G120" s="109"/>
      <c r="H120" s="109"/>
      <c r="I120" s="109" t="s">
        <v>346</v>
      </c>
      <c r="J120" s="109"/>
      <c r="K120" s="109"/>
      <c r="L120" s="109" t="s">
        <v>346</v>
      </c>
      <c r="M120" s="109"/>
      <c r="N120" s="109"/>
      <c r="O120" s="113" t="s">
        <v>2816</v>
      </c>
    </row>
    <row r="121" spans="1:15" ht="70.05" customHeight="1" outlineLevel="1">
      <c r="A121" s="109" t="s">
        <v>2927</v>
      </c>
      <c r="B121" s="110" t="s">
        <v>2917</v>
      </c>
      <c r="C121" s="110" t="s">
        <v>2918</v>
      </c>
      <c r="D121" s="111" t="s">
        <v>2928</v>
      </c>
      <c r="E121" s="111" t="s">
        <v>2929</v>
      </c>
      <c r="F121" s="109" t="s">
        <v>346</v>
      </c>
      <c r="G121" s="109"/>
      <c r="H121" s="109"/>
      <c r="I121" s="109" t="s">
        <v>346</v>
      </c>
      <c r="J121" s="109"/>
      <c r="K121" s="109"/>
      <c r="L121" s="109" t="s">
        <v>346</v>
      </c>
      <c r="M121" s="109"/>
      <c r="N121" s="109"/>
      <c r="O121" s="113" t="s">
        <v>2816</v>
      </c>
    </row>
    <row r="122" spans="1:15" ht="70.05" customHeight="1" outlineLevel="1">
      <c r="A122" s="109" t="s">
        <v>2930</v>
      </c>
      <c r="B122" s="110" t="s">
        <v>2901</v>
      </c>
      <c r="C122" s="110" t="s">
        <v>2902</v>
      </c>
      <c r="D122" s="111" t="s">
        <v>2931</v>
      </c>
      <c r="E122" s="111" t="s">
        <v>2932</v>
      </c>
      <c r="F122" s="109" t="s">
        <v>346</v>
      </c>
      <c r="G122" s="109"/>
      <c r="H122" s="109"/>
      <c r="I122" s="109" t="s">
        <v>346</v>
      </c>
      <c r="J122" s="109"/>
      <c r="K122" s="109"/>
      <c r="L122" s="109" t="s">
        <v>346</v>
      </c>
      <c r="M122" s="109"/>
      <c r="N122" s="109"/>
      <c r="O122" s="113" t="s">
        <v>2816</v>
      </c>
    </row>
    <row r="123" spans="1:15" ht="70.05" customHeight="1" outlineLevel="1">
      <c r="A123" s="109" t="s">
        <v>2933</v>
      </c>
      <c r="B123" s="110" t="s">
        <v>2934</v>
      </c>
      <c r="C123" s="110" t="s">
        <v>2935</v>
      </c>
      <c r="D123" s="111" t="s">
        <v>2936</v>
      </c>
      <c r="E123" s="111" t="s">
        <v>2923</v>
      </c>
      <c r="F123" s="109" t="s">
        <v>346</v>
      </c>
      <c r="G123" s="109"/>
      <c r="H123" s="109"/>
      <c r="I123" s="109" t="s">
        <v>346</v>
      </c>
      <c r="J123" s="109"/>
      <c r="K123" s="109"/>
      <c r="L123" s="109" t="s">
        <v>346</v>
      </c>
      <c r="M123" s="109"/>
      <c r="N123" s="109"/>
      <c r="O123" s="113" t="s">
        <v>2816</v>
      </c>
    </row>
    <row r="124" spans="1:15" ht="70.05" customHeight="1" outlineLevel="1">
      <c r="A124" s="109" t="s">
        <v>2937</v>
      </c>
      <c r="B124" s="110" t="s">
        <v>2938</v>
      </c>
      <c r="C124" s="110" t="s">
        <v>2939</v>
      </c>
      <c r="D124" s="111" t="s">
        <v>2940</v>
      </c>
      <c r="E124" s="111" t="s">
        <v>2941</v>
      </c>
      <c r="F124" s="109" t="s">
        <v>346</v>
      </c>
      <c r="G124" s="109"/>
      <c r="H124" s="109"/>
      <c r="I124" s="109" t="s">
        <v>346</v>
      </c>
      <c r="J124" s="109"/>
      <c r="K124" s="109"/>
      <c r="L124" s="109" t="s">
        <v>346</v>
      </c>
      <c r="M124" s="109"/>
      <c r="N124" s="109"/>
      <c r="O124" s="113" t="s">
        <v>2816</v>
      </c>
    </row>
    <row r="125" spans="1:15" ht="70.05" customHeight="1" outlineLevel="1">
      <c r="A125" s="109" t="s">
        <v>2942</v>
      </c>
      <c r="B125" s="110" t="s">
        <v>2943</v>
      </c>
      <c r="C125" s="110" t="s">
        <v>2902</v>
      </c>
      <c r="D125" s="111" t="s">
        <v>2944</v>
      </c>
      <c r="E125" s="111" t="s">
        <v>2945</v>
      </c>
      <c r="F125" s="109" t="s">
        <v>346</v>
      </c>
      <c r="G125" s="109"/>
      <c r="H125" s="109"/>
      <c r="I125" s="109" t="s">
        <v>346</v>
      </c>
      <c r="J125" s="109"/>
      <c r="K125" s="109"/>
      <c r="L125" s="109" t="s">
        <v>346</v>
      </c>
      <c r="M125" s="109"/>
      <c r="N125" s="109"/>
      <c r="O125" s="113" t="s">
        <v>2816</v>
      </c>
    </row>
    <row r="126" spans="1:15" ht="70.05" customHeight="1" outlineLevel="1">
      <c r="A126" s="109" t="s">
        <v>2946</v>
      </c>
      <c r="B126" s="110" t="s">
        <v>2947</v>
      </c>
      <c r="C126" s="110" t="s">
        <v>2918</v>
      </c>
      <c r="D126" s="111" t="s">
        <v>2948</v>
      </c>
      <c r="E126" s="111" t="s">
        <v>2949</v>
      </c>
      <c r="F126" s="109" t="s">
        <v>346</v>
      </c>
      <c r="G126" s="109"/>
      <c r="H126" s="109"/>
      <c r="I126" s="109" t="s">
        <v>346</v>
      </c>
      <c r="J126" s="109"/>
      <c r="K126" s="109"/>
      <c r="L126" s="109" t="s">
        <v>346</v>
      </c>
      <c r="M126" s="109"/>
      <c r="N126" s="109"/>
      <c r="O126" s="113" t="s">
        <v>2816</v>
      </c>
    </row>
    <row r="127" spans="1:15" ht="70.05" customHeight="1" outlineLevel="1">
      <c r="A127" s="109" t="s">
        <v>2950</v>
      </c>
      <c r="B127" s="110" t="s">
        <v>2951</v>
      </c>
      <c r="C127" s="110" t="s">
        <v>2952</v>
      </c>
      <c r="D127" s="111" t="s">
        <v>2898</v>
      </c>
      <c r="E127" s="111" t="s">
        <v>2899</v>
      </c>
      <c r="F127" s="109" t="s">
        <v>346</v>
      </c>
      <c r="G127" s="109"/>
      <c r="H127" s="109"/>
      <c r="I127" s="109" t="s">
        <v>346</v>
      </c>
      <c r="J127" s="109"/>
      <c r="K127" s="109"/>
      <c r="L127" s="109" t="s">
        <v>346</v>
      </c>
      <c r="M127" s="109"/>
      <c r="N127" s="109"/>
      <c r="O127" s="113" t="s">
        <v>2816</v>
      </c>
    </row>
    <row r="128" spans="1:15" ht="70.05" customHeight="1" outlineLevel="1">
      <c r="A128" s="109" t="s">
        <v>2953</v>
      </c>
      <c r="B128" s="110" t="s">
        <v>2954</v>
      </c>
      <c r="C128" s="110" t="s">
        <v>2902</v>
      </c>
      <c r="D128" s="111" t="s">
        <v>1845</v>
      </c>
      <c r="E128" s="111" t="s">
        <v>2955</v>
      </c>
      <c r="F128" s="109" t="s">
        <v>346</v>
      </c>
      <c r="G128" s="109"/>
      <c r="H128" s="109"/>
      <c r="I128" s="109" t="s">
        <v>346</v>
      </c>
      <c r="J128" s="109"/>
      <c r="K128" s="109"/>
      <c r="L128" s="109" t="s">
        <v>346</v>
      </c>
      <c r="M128" s="109"/>
      <c r="N128" s="109"/>
      <c r="O128" s="113" t="s">
        <v>2816</v>
      </c>
    </row>
    <row r="129" spans="1:15" ht="70.05" customHeight="1" outlineLevel="1">
      <c r="A129" s="109" t="s">
        <v>2956</v>
      </c>
      <c r="B129" s="110" t="s">
        <v>2954</v>
      </c>
      <c r="C129" s="110" t="s">
        <v>2902</v>
      </c>
      <c r="D129" s="111" t="s">
        <v>2757</v>
      </c>
      <c r="E129" s="111" t="s">
        <v>2957</v>
      </c>
      <c r="F129" s="109" t="s">
        <v>346</v>
      </c>
      <c r="G129" s="109"/>
      <c r="H129" s="109"/>
      <c r="I129" s="109" t="s">
        <v>346</v>
      </c>
      <c r="J129" s="109"/>
      <c r="K129" s="109"/>
      <c r="L129" s="109" t="s">
        <v>346</v>
      </c>
      <c r="M129" s="109"/>
      <c r="N129" s="109"/>
      <c r="O129" s="113" t="s">
        <v>2816</v>
      </c>
    </row>
    <row r="130" spans="1:15" ht="70.05" customHeight="1" outlineLevel="1">
      <c r="A130" s="109" t="s">
        <v>2958</v>
      </c>
      <c r="B130" s="110" t="s">
        <v>2954</v>
      </c>
      <c r="C130" s="110" t="s">
        <v>2902</v>
      </c>
      <c r="D130" s="111" t="s">
        <v>2959</v>
      </c>
      <c r="E130" s="111" t="s">
        <v>2960</v>
      </c>
      <c r="F130" s="109" t="s">
        <v>346</v>
      </c>
      <c r="G130" s="109"/>
      <c r="H130" s="109"/>
      <c r="I130" s="109" t="s">
        <v>346</v>
      </c>
      <c r="J130" s="109"/>
      <c r="K130" s="109"/>
      <c r="L130" s="109" t="s">
        <v>346</v>
      </c>
      <c r="M130" s="109"/>
      <c r="N130" s="109"/>
      <c r="O130" s="113" t="s">
        <v>2816</v>
      </c>
    </row>
    <row r="131" spans="1:15" ht="15.75" customHeight="1">
      <c r="A131" s="60" t="s">
        <v>137</v>
      </c>
      <c r="B131" s="60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2"/>
    </row>
    <row r="132" spans="1:15" ht="70.05" customHeight="1" outlineLevel="1">
      <c r="A132" s="109" t="s">
        <v>2961</v>
      </c>
      <c r="B132" s="110" t="s">
        <v>2962</v>
      </c>
      <c r="C132" s="110" t="s">
        <v>2963</v>
      </c>
      <c r="D132" s="111" t="s">
        <v>2964</v>
      </c>
      <c r="E132" s="111" t="s">
        <v>2965</v>
      </c>
      <c r="F132" s="109" t="s">
        <v>346</v>
      </c>
      <c r="G132" s="109"/>
      <c r="H132" s="109"/>
      <c r="I132" s="109" t="s">
        <v>346</v>
      </c>
      <c r="J132" s="109"/>
      <c r="K132" s="109"/>
      <c r="L132" s="109" t="s">
        <v>346</v>
      </c>
      <c r="M132" s="109"/>
      <c r="N132" s="109"/>
      <c r="O132" s="113" t="s">
        <v>2816</v>
      </c>
    </row>
    <row r="133" spans="1:15" ht="70.05" customHeight="1" outlineLevel="1">
      <c r="A133" s="109" t="s">
        <v>2966</v>
      </c>
      <c r="B133" s="110" t="s">
        <v>2967</v>
      </c>
      <c r="C133" s="110" t="s">
        <v>2968</v>
      </c>
      <c r="D133" s="111" t="s">
        <v>2969</v>
      </c>
      <c r="E133" s="111" t="s">
        <v>2965</v>
      </c>
      <c r="F133" s="109" t="s">
        <v>346</v>
      </c>
      <c r="G133" s="109"/>
      <c r="H133" s="109"/>
      <c r="I133" s="109" t="s">
        <v>346</v>
      </c>
      <c r="J133" s="109"/>
      <c r="K133" s="109"/>
      <c r="L133" s="109" t="s">
        <v>346</v>
      </c>
      <c r="M133" s="109"/>
      <c r="N133" s="109"/>
      <c r="O133" s="113" t="s">
        <v>2816</v>
      </c>
    </row>
    <row r="134" spans="1:15" ht="70.05" customHeight="1" outlineLevel="1">
      <c r="A134" s="109" t="s">
        <v>2970</v>
      </c>
      <c r="B134" s="110" t="s">
        <v>2971</v>
      </c>
      <c r="C134" s="110" t="s">
        <v>2972</v>
      </c>
      <c r="D134" s="111" t="s">
        <v>2973</v>
      </c>
      <c r="E134" s="111" t="s">
        <v>2965</v>
      </c>
      <c r="F134" s="109" t="s">
        <v>346</v>
      </c>
      <c r="G134" s="109"/>
      <c r="H134" s="109"/>
      <c r="I134" s="109" t="s">
        <v>346</v>
      </c>
      <c r="J134" s="109"/>
      <c r="K134" s="109"/>
      <c r="L134" s="109" t="s">
        <v>346</v>
      </c>
      <c r="M134" s="109"/>
      <c r="N134" s="109"/>
      <c r="O134" s="113" t="s">
        <v>2816</v>
      </c>
    </row>
    <row r="135" spans="1:15" ht="70.05" customHeight="1" outlineLevel="1">
      <c r="A135" s="109" t="s">
        <v>2974</v>
      </c>
      <c r="B135" s="110" t="s">
        <v>2975</v>
      </c>
      <c r="C135" s="110" t="s">
        <v>2976</v>
      </c>
      <c r="D135" s="111" t="s">
        <v>2977</v>
      </c>
      <c r="E135" s="111" t="s">
        <v>2965</v>
      </c>
      <c r="F135" s="109" t="s">
        <v>346</v>
      </c>
      <c r="G135" s="109"/>
      <c r="H135" s="109"/>
      <c r="I135" s="109" t="s">
        <v>346</v>
      </c>
      <c r="J135" s="109"/>
      <c r="K135" s="109"/>
      <c r="L135" s="109" t="s">
        <v>346</v>
      </c>
      <c r="M135" s="109"/>
      <c r="N135" s="109"/>
      <c r="O135" s="113" t="s">
        <v>2816</v>
      </c>
    </row>
    <row r="136" spans="1:15" ht="70.05" customHeight="1" outlineLevel="1">
      <c r="A136" s="109" t="s">
        <v>2978</v>
      </c>
      <c r="B136" s="110" t="s">
        <v>2979</v>
      </c>
      <c r="C136" s="110" t="s">
        <v>2980</v>
      </c>
      <c r="D136" s="111" t="s">
        <v>2981</v>
      </c>
      <c r="E136" s="111" t="s">
        <v>2965</v>
      </c>
      <c r="F136" s="109" t="s">
        <v>346</v>
      </c>
      <c r="G136" s="109"/>
      <c r="H136" s="109"/>
      <c r="I136" s="109" t="s">
        <v>346</v>
      </c>
      <c r="J136" s="109"/>
      <c r="K136" s="109"/>
      <c r="L136" s="109" t="s">
        <v>346</v>
      </c>
      <c r="M136" s="109"/>
      <c r="N136" s="109"/>
      <c r="O136" s="113" t="s">
        <v>2816</v>
      </c>
    </row>
    <row r="137" spans="1:15" ht="70.05" customHeight="1" outlineLevel="1">
      <c r="A137" s="109" t="s">
        <v>2982</v>
      </c>
      <c r="B137" s="110" t="s">
        <v>2983</v>
      </c>
      <c r="C137" s="110" t="s">
        <v>2984</v>
      </c>
      <c r="D137" s="111" t="s">
        <v>2985</v>
      </c>
      <c r="E137" s="111" t="s">
        <v>2986</v>
      </c>
      <c r="F137" s="109" t="s">
        <v>346</v>
      </c>
      <c r="G137" s="109"/>
      <c r="H137" s="109"/>
      <c r="I137" s="109" t="s">
        <v>346</v>
      </c>
      <c r="J137" s="109"/>
      <c r="K137" s="109"/>
      <c r="L137" s="109" t="s">
        <v>346</v>
      </c>
      <c r="M137" s="109"/>
      <c r="N137" s="109"/>
      <c r="O137" s="113" t="s">
        <v>2816</v>
      </c>
    </row>
    <row r="138" spans="1:15" ht="70.05" customHeight="1" outlineLevel="1">
      <c r="A138" s="109" t="s">
        <v>2987</v>
      </c>
      <c r="B138" s="110" t="s">
        <v>2988</v>
      </c>
      <c r="C138" s="110" t="s">
        <v>2989</v>
      </c>
      <c r="D138" s="111" t="s">
        <v>2990</v>
      </c>
      <c r="E138" s="111" t="s">
        <v>2965</v>
      </c>
      <c r="F138" s="109" t="s">
        <v>346</v>
      </c>
      <c r="G138" s="109"/>
      <c r="H138" s="109"/>
      <c r="I138" s="109" t="s">
        <v>346</v>
      </c>
      <c r="J138" s="109"/>
      <c r="K138" s="109"/>
      <c r="L138" s="109" t="s">
        <v>346</v>
      </c>
      <c r="M138" s="109"/>
      <c r="N138" s="109"/>
      <c r="O138" s="113" t="s">
        <v>2816</v>
      </c>
    </row>
    <row r="139" spans="1:15" ht="70.05" customHeight="1" outlineLevel="1">
      <c r="A139" s="109" t="s">
        <v>2991</v>
      </c>
      <c r="B139" s="110" t="s">
        <v>2992</v>
      </c>
      <c r="C139" s="110" t="s">
        <v>2993</v>
      </c>
      <c r="D139" s="111" t="s">
        <v>2994</v>
      </c>
      <c r="E139" s="111" t="s">
        <v>2965</v>
      </c>
      <c r="F139" s="109" t="s">
        <v>346</v>
      </c>
      <c r="G139" s="109"/>
      <c r="H139" s="109"/>
      <c r="I139" s="109" t="s">
        <v>346</v>
      </c>
      <c r="J139" s="109"/>
      <c r="K139" s="109"/>
      <c r="L139" s="109" t="s">
        <v>346</v>
      </c>
      <c r="M139" s="109"/>
      <c r="N139" s="109"/>
      <c r="O139" s="113" t="s">
        <v>2816</v>
      </c>
    </row>
    <row r="140" spans="1:15" ht="70.05" customHeight="1" outlineLevel="1">
      <c r="A140" s="109" t="s">
        <v>2995</v>
      </c>
      <c r="B140" s="110" t="s">
        <v>2996</v>
      </c>
      <c r="C140" s="110" t="s">
        <v>2997</v>
      </c>
      <c r="D140" s="111" t="s">
        <v>2998</v>
      </c>
      <c r="E140" s="111" t="s">
        <v>2965</v>
      </c>
      <c r="F140" s="109" t="s">
        <v>346</v>
      </c>
      <c r="G140" s="109"/>
      <c r="H140" s="109"/>
      <c r="I140" s="109" t="s">
        <v>346</v>
      </c>
      <c r="J140" s="109"/>
      <c r="K140" s="109"/>
      <c r="L140" s="109" t="s">
        <v>346</v>
      </c>
      <c r="M140" s="109"/>
      <c r="N140" s="109"/>
      <c r="O140" s="113" t="s">
        <v>2816</v>
      </c>
    </row>
    <row r="141" spans="1:15" ht="70.05" customHeight="1" outlineLevel="1">
      <c r="A141" s="109" t="s">
        <v>2999</v>
      </c>
      <c r="B141" s="110" t="s">
        <v>3000</v>
      </c>
      <c r="C141" s="110" t="s">
        <v>3001</v>
      </c>
      <c r="D141" s="111" t="s">
        <v>3002</v>
      </c>
      <c r="E141" s="111" t="s">
        <v>2965</v>
      </c>
      <c r="F141" s="109" t="s">
        <v>346</v>
      </c>
      <c r="G141" s="109"/>
      <c r="H141" s="109"/>
      <c r="I141" s="109" t="s">
        <v>346</v>
      </c>
      <c r="J141" s="109"/>
      <c r="K141" s="109"/>
      <c r="L141" s="109" t="s">
        <v>346</v>
      </c>
      <c r="M141" s="109"/>
      <c r="N141" s="109"/>
      <c r="O141" s="113" t="s">
        <v>2816</v>
      </c>
    </row>
    <row r="142" spans="1:15" ht="70.05" customHeight="1" outlineLevel="1">
      <c r="A142" s="109" t="s">
        <v>3003</v>
      </c>
      <c r="B142" s="110" t="s">
        <v>3004</v>
      </c>
      <c r="C142" s="110" t="s">
        <v>3005</v>
      </c>
      <c r="D142" s="111" t="s">
        <v>3006</v>
      </c>
      <c r="E142" s="111" t="s">
        <v>2965</v>
      </c>
      <c r="F142" s="109" t="s">
        <v>346</v>
      </c>
      <c r="G142" s="109"/>
      <c r="H142" s="109"/>
      <c r="I142" s="109" t="s">
        <v>346</v>
      </c>
      <c r="J142" s="109"/>
      <c r="K142" s="109"/>
      <c r="L142" s="109" t="s">
        <v>346</v>
      </c>
      <c r="M142" s="109"/>
      <c r="N142" s="109"/>
      <c r="O142" s="113" t="s">
        <v>2816</v>
      </c>
    </row>
    <row r="143" spans="1:15" ht="70.05" customHeight="1" outlineLevel="1">
      <c r="A143" s="109" t="s">
        <v>3007</v>
      </c>
      <c r="B143" s="110" t="s">
        <v>3008</v>
      </c>
      <c r="C143" s="110" t="s">
        <v>3009</v>
      </c>
      <c r="D143" s="111" t="s">
        <v>3010</v>
      </c>
      <c r="E143" s="111" t="s">
        <v>2965</v>
      </c>
      <c r="F143" s="109" t="s">
        <v>346</v>
      </c>
      <c r="G143" s="109"/>
      <c r="H143" s="109"/>
      <c r="I143" s="109" t="s">
        <v>346</v>
      </c>
      <c r="J143" s="109"/>
      <c r="K143" s="109"/>
      <c r="L143" s="109" t="s">
        <v>346</v>
      </c>
      <c r="M143" s="109"/>
      <c r="N143" s="109"/>
      <c r="O143" s="113" t="s">
        <v>2816</v>
      </c>
    </row>
    <row r="144" spans="1:15" ht="70.05" customHeight="1" outlineLevel="1">
      <c r="A144" s="109" t="s">
        <v>3011</v>
      </c>
      <c r="B144" s="110" t="s">
        <v>3012</v>
      </c>
      <c r="C144" s="110" t="s">
        <v>3013</v>
      </c>
      <c r="D144" s="111" t="s">
        <v>3014</v>
      </c>
      <c r="E144" s="111" t="s">
        <v>2965</v>
      </c>
      <c r="F144" s="109" t="s">
        <v>346</v>
      </c>
      <c r="G144" s="109"/>
      <c r="H144" s="109"/>
      <c r="I144" s="109" t="s">
        <v>346</v>
      </c>
      <c r="J144" s="109"/>
      <c r="K144" s="109"/>
      <c r="L144" s="109" t="s">
        <v>346</v>
      </c>
      <c r="M144" s="109"/>
      <c r="N144" s="109"/>
      <c r="O144" s="113" t="s">
        <v>2816</v>
      </c>
    </row>
    <row r="145" spans="1:15" ht="70.05" customHeight="1" outlineLevel="1">
      <c r="A145" s="109" t="s">
        <v>3015</v>
      </c>
      <c r="B145" s="110" t="s">
        <v>3016</v>
      </c>
      <c r="C145" s="110" t="s">
        <v>3017</v>
      </c>
      <c r="D145" s="111" t="s">
        <v>3018</v>
      </c>
      <c r="E145" s="111" t="s">
        <v>2965</v>
      </c>
      <c r="F145" s="109" t="s">
        <v>346</v>
      </c>
      <c r="G145" s="109"/>
      <c r="H145" s="109"/>
      <c r="I145" s="109" t="s">
        <v>346</v>
      </c>
      <c r="J145" s="109"/>
      <c r="K145" s="109"/>
      <c r="L145" s="109" t="s">
        <v>346</v>
      </c>
      <c r="M145" s="109"/>
      <c r="N145" s="109"/>
      <c r="O145" s="113" t="s">
        <v>2816</v>
      </c>
    </row>
    <row r="146" spans="1:15" ht="70.05" customHeight="1" outlineLevel="1">
      <c r="A146" s="109" t="s">
        <v>3019</v>
      </c>
      <c r="B146" s="110" t="s">
        <v>3020</v>
      </c>
      <c r="C146" s="110" t="s">
        <v>3021</v>
      </c>
      <c r="D146" s="111" t="s">
        <v>3022</v>
      </c>
      <c r="E146" s="111" t="s">
        <v>2965</v>
      </c>
      <c r="F146" s="109" t="s">
        <v>346</v>
      </c>
      <c r="G146" s="109"/>
      <c r="H146" s="109"/>
      <c r="I146" s="109" t="s">
        <v>346</v>
      </c>
      <c r="J146" s="109"/>
      <c r="K146" s="109"/>
      <c r="L146" s="109" t="s">
        <v>346</v>
      </c>
      <c r="M146" s="109"/>
      <c r="N146" s="109"/>
      <c r="O146" s="113" t="s">
        <v>2816</v>
      </c>
    </row>
    <row r="147" spans="1:15" ht="70.05" customHeight="1" outlineLevel="1">
      <c r="A147" s="109" t="s">
        <v>3023</v>
      </c>
      <c r="B147" s="110" t="s">
        <v>3024</v>
      </c>
      <c r="C147" s="110" t="s">
        <v>3025</v>
      </c>
      <c r="D147" s="111" t="s">
        <v>3026</v>
      </c>
      <c r="E147" s="111" t="s">
        <v>2965</v>
      </c>
      <c r="F147" s="109" t="s">
        <v>346</v>
      </c>
      <c r="G147" s="109"/>
      <c r="H147" s="109"/>
      <c r="I147" s="109" t="s">
        <v>346</v>
      </c>
      <c r="J147" s="109"/>
      <c r="K147" s="109"/>
      <c r="L147" s="109" t="s">
        <v>346</v>
      </c>
      <c r="M147" s="109"/>
      <c r="N147" s="109"/>
      <c r="O147" s="113" t="s">
        <v>2816</v>
      </c>
    </row>
    <row r="148" spans="1:15" ht="70.05" customHeight="1" outlineLevel="1">
      <c r="A148" s="109" t="s">
        <v>3027</v>
      </c>
      <c r="B148" s="110" t="s">
        <v>3028</v>
      </c>
      <c r="C148" s="110" t="s">
        <v>3029</v>
      </c>
      <c r="D148" s="111" t="s">
        <v>2883</v>
      </c>
      <c r="E148" s="111" t="s">
        <v>2965</v>
      </c>
      <c r="F148" s="109" t="s">
        <v>346</v>
      </c>
      <c r="G148" s="109"/>
      <c r="H148" s="109"/>
      <c r="I148" s="109" t="s">
        <v>346</v>
      </c>
      <c r="J148" s="109"/>
      <c r="K148" s="109"/>
      <c r="L148" s="109" t="s">
        <v>346</v>
      </c>
      <c r="M148" s="109"/>
      <c r="N148" s="109"/>
      <c r="O148" s="113" t="s">
        <v>2816</v>
      </c>
    </row>
    <row r="149" spans="1:15" ht="70.05" customHeight="1" outlineLevel="1">
      <c r="A149" s="109" t="s">
        <v>3030</v>
      </c>
      <c r="B149" s="110" t="s">
        <v>3031</v>
      </c>
      <c r="C149" s="110" t="s">
        <v>3032</v>
      </c>
      <c r="D149" s="111" t="s">
        <v>2887</v>
      </c>
      <c r="E149" s="111" t="s">
        <v>2965</v>
      </c>
      <c r="F149" s="109" t="s">
        <v>346</v>
      </c>
      <c r="G149" s="109"/>
      <c r="H149" s="109"/>
      <c r="I149" s="109" t="s">
        <v>346</v>
      </c>
      <c r="J149" s="109"/>
      <c r="K149" s="109"/>
      <c r="L149" s="109" t="s">
        <v>346</v>
      </c>
      <c r="M149" s="109"/>
      <c r="N149" s="109"/>
      <c r="O149" s="113" t="s">
        <v>2816</v>
      </c>
    </row>
    <row r="150" spans="1:15" ht="70.05" customHeight="1" outlineLevel="1">
      <c r="A150" s="109" t="s">
        <v>3033</v>
      </c>
      <c r="B150" s="110" t="s">
        <v>3031</v>
      </c>
      <c r="C150" s="110" t="s">
        <v>3034</v>
      </c>
      <c r="D150" s="111" t="s">
        <v>3035</v>
      </c>
      <c r="E150" s="111" t="s">
        <v>2965</v>
      </c>
      <c r="F150" s="109" t="s">
        <v>346</v>
      </c>
      <c r="G150" s="109"/>
      <c r="H150" s="109"/>
      <c r="I150" s="109" t="s">
        <v>346</v>
      </c>
      <c r="J150" s="109"/>
      <c r="K150" s="109"/>
      <c r="L150" s="109" t="s">
        <v>346</v>
      </c>
      <c r="M150" s="109"/>
      <c r="N150" s="109"/>
      <c r="O150" s="113" t="s">
        <v>2816</v>
      </c>
    </row>
    <row r="151" spans="1:15" ht="70.05" customHeight="1" outlineLevel="1">
      <c r="A151" s="109" t="s">
        <v>3036</v>
      </c>
      <c r="B151" s="110" t="s">
        <v>3031</v>
      </c>
      <c r="C151" s="110" t="s">
        <v>2963</v>
      </c>
      <c r="D151" s="111" t="s">
        <v>2757</v>
      </c>
      <c r="E151" s="111" t="s">
        <v>3037</v>
      </c>
      <c r="F151" s="109" t="s">
        <v>346</v>
      </c>
      <c r="G151" s="109"/>
      <c r="H151" s="109"/>
      <c r="I151" s="109" t="s">
        <v>346</v>
      </c>
      <c r="J151" s="109"/>
      <c r="K151" s="109"/>
      <c r="L151" s="109" t="s">
        <v>346</v>
      </c>
      <c r="M151" s="109"/>
      <c r="N151" s="109"/>
      <c r="O151" s="113" t="s">
        <v>2816</v>
      </c>
    </row>
    <row r="152" spans="1:15" ht="70.05" customHeight="1" outlineLevel="1">
      <c r="A152" s="109" t="s">
        <v>3038</v>
      </c>
      <c r="B152" s="110" t="s">
        <v>3031</v>
      </c>
      <c r="C152" s="110" t="s">
        <v>2963</v>
      </c>
      <c r="D152" s="111" t="s">
        <v>2757</v>
      </c>
      <c r="E152" s="111" t="s">
        <v>3039</v>
      </c>
      <c r="F152" s="109" t="s">
        <v>346</v>
      </c>
      <c r="G152" s="109"/>
      <c r="H152" s="109"/>
      <c r="I152" s="109" t="s">
        <v>346</v>
      </c>
      <c r="J152" s="109"/>
      <c r="K152" s="109"/>
      <c r="L152" s="109" t="s">
        <v>346</v>
      </c>
      <c r="M152" s="109"/>
      <c r="N152" s="109"/>
      <c r="O152" s="113" t="s">
        <v>2816</v>
      </c>
    </row>
    <row r="153" spans="1:15" ht="70.05" customHeight="1" outlineLevel="1">
      <c r="A153" s="109" t="s">
        <v>3040</v>
      </c>
      <c r="B153" s="110" t="s">
        <v>3031</v>
      </c>
      <c r="C153" s="110" t="s">
        <v>2963</v>
      </c>
      <c r="D153" s="111" t="s">
        <v>2757</v>
      </c>
      <c r="E153" s="111" t="s">
        <v>3041</v>
      </c>
      <c r="F153" s="109" t="s">
        <v>346</v>
      </c>
      <c r="G153" s="109"/>
      <c r="H153" s="109"/>
      <c r="I153" s="109" t="s">
        <v>346</v>
      </c>
      <c r="J153" s="109"/>
      <c r="K153" s="109"/>
      <c r="L153" s="109" t="s">
        <v>346</v>
      </c>
      <c r="M153" s="109"/>
      <c r="N153" s="109"/>
      <c r="O153" s="113" t="s">
        <v>2816</v>
      </c>
    </row>
    <row r="154" spans="1:15" ht="70.05" customHeight="1" outlineLevel="1">
      <c r="A154" s="109" t="s">
        <v>3042</v>
      </c>
      <c r="B154" s="110" t="s">
        <v>3031</v>
      </c>
      <c r="C154" s="110" t="s">
        <v>3043</v>
      </c>
      <c r="D154" s="111" t="s">
        <v>1611</v>
      </c>
      <c r="E154" s="111" t="s">
        <v>417</v>
      </c>
      <c r="F154" s="109" t="s">
        <v>346</v>
      </c>
      <c r="G154" s="109"/>
      <c r="H154" s="109"/>
      <c r="I154" s="109" t="s">
        <v>346</v>
      </c>
      <c r="J154" s="109"/>
      <c r="K154" s="109"/>
      <c r="L154" s="109" t="s">
        <v>346</v>
      </c>
      <c r="M154" s="109"/>
      <c r="N154" s="109"/>
      <c r="O154" s="113" t="s">
        <v>2816</v>
      </c>
    </row>
    <row r="155" spans="1:15" ht="15.75" customHeight="1">
      <c r="A155" s="60" t="s">
        <v>140</v>
      </c>
      <c r="B155" s="60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2"/>
    </row>
    <row r="156" spans="1:15" ht="70.05" customHeight="1" outlineLevel="1">
      <c r="A156" s="109" t="s">
        <v>3044</v>
      </c>
      <c r="B156" s="110" t="s">
        <v>3045</v>
      </c>
      <c r="C156" s="110" t="s">
        <v>3046</v>
      </c>
      <c r="D156" s="111" t="s">
        <v>3047</v>
      </c>
      <c r="E156" s="111" t="s">
        <v>3048</v>
      </c>
      <c r="F156" s="109" t="s">
        <v>346</v>
      </c>
      <c r="G156" s="109"/>
      <c r="H156" s="109"/>
      <c r="I156" s="109" t="s">
        <v>346</v>
      </c>
      <c r="J156" s="109"/>
      <c r="K156" s="109"/>
      <c r="L156" s="109" t="s">
        <v>346</v>
      </c>
      <c r="M156" s="109"/>
      <c r="N156" s="109"/>
      <c r="O156" s="113" t="s">
        <v>2816</v>
      </c>
    </row>
    <row r="157" spans="1:15" ht="70.05" customHeight="1" outlineLevel="1">
      <c r="A157" s="109" t="s">
        <v>3049</v>
      </c>
      <c r="B157" s="110" t="s">
        <v>3050</v>
      </c>
      <c r="C157" s="110" t="s">
        <v>3051</v>
      </c>
      <c r="D157" s="111" t="s">
        <v>3052</v>
      </c>
      <c r="E157" s="111" t="s">
        <v>3048</v>
      </c>
      <c r="F157" s="109" t="s">
        <v>346</v>
      </c>
      <c r="G157" s="109"/>
      <c r="H157" s="109"/>
      <c r="I157" s="109" t="s">
        <v>346</v>
      </c>
      <c r="J157" s="109"/>
      <c r="K157" s="109"/>
      <c r="L157" s="109" t="s">
        <v>346</v>
      </c>
      <c r="M157" s="109"/>
      <c r="N157" s="109"/>
      <c r="O157" s="113" t="s">
        <v>2816</v>
      </c>
    </row>
    <row r="158" spans="1:15" ht="70.05" customHeight="1" outlineLevel="1">
      <c r="A158" s="109" t="s">
        <v>3053</v>
      </c>
      <c r="B158" s="110" t="s">
        <v>3050</v>
      </c>
      <c r="C158" s="110" t="s">
        <v>3051</v>
      </c>
      <c r="D158" s="111" t="s">
        <v>3054</v>
      </c>
      <c r="E158" s="111" t="s">
        <v>3055</v>
      </c>
      <c r="F158" s="109" t="s">
        <v>346</v>
      </c>
      <c r="G158" s="109"/>
      <c r="H158" s="109"/>
      <c r="I158" s="109" t="s">
        <v>346</v>
      </c>
      <c r="J158" s="109"/>
      <c r="K158" s="109"/>
      <c r="L158" s="109" t="s">
        <v>346</v>
      </c>
      <c r="M158" s="109"/>
      <c r="N158" s="109"/>
      <c r="O158" s="113" t="s">
        <v>2816</v>
      </c>
    </row>
    <row r="159" spans="1:15" ht="70.05" customHeight="1" outlineLevel="1">
      <c r="A159" s="109" t="s">
        <v>3056</v>
      </c>
      <c r="B159" s="110" t="s">
        <v>3057</v>
      </c>
      <c r="C159" s="110" t="s">
        <v>3058</v>
      </c>
      <c r="D159" s="111" t="s">
        <v>3059</v>
      </c>
      <c r="E159" s="111" t="s">
        <v>3048</v>
      </c>
      <c r="F159" s="109" t="s">
        <v>346</v>
      </c>
      <c r="G159" s="109"/>
      <c r="H159" s="109"/>
      <c r="I159" s="109" t="s">
        <v>346</v>
      </c>
      <c r="J159" s="109"/>
      <c r="K159" s="109"/>
      <c r="L159" s="109" t="s">
        <v>346</v>
      </c>
      <c r="M159" s="109"/>
      <c r="N159" s="109"/>
      <c r="O159" s="113" t="s">
        <v>2816</v>
      </c>
    </row>
    <row r="160" spans="1:15" ht="70.05" customHeight="1" outlineLevel="1">
      <c r="A160" s="109" t="s">
        <v>3060</v>
      </c>
      <c r="B160" s="110" t="s">
        <v>3057</v>
      </c>
      <c r="C160" s="110" t="s">
        <v>3058</v>
      </c>
      <c r="D160" s="111" t="s">
        <v>3059</v>
      </c>
      <c r="E160" s="111" t="s">
        <v>3055</v>
      </c>
      <c r="F160" s="109" t="s">
        <v>346</v>
      </c>
      <c r="G160" s="109"/>
      <c r="H160" s="109"/>
      <c r="I160" s="109" t="s">
        <v>346</v>
      </c>
      <c r="J160" s="109"/>
      <c r="K160" s="109"/>
      <c r="L160" s="109" t="s">
        <v>346</v>
      </c>
      <c r="M160" s="109"/>
      <c r="N160" s="109"/>
      <c r="O160" s="113" t="s">
        <v>2816</v>
      </c>
    </row>
    <row r="161" spans="1:15" ht="70.05" customHeight="1" outlineLevel="1">
      <c r="A161" s="109" t="s">
        <v>3061</v>
      </c>
      <c r="B161" s="110" t="s">
        <v>3045</v>
      </c>
      <c r="C161" s="110" t="s">
        <v>3046</v>
      </c>
      <c r="D161" s="111" t="s">
        <v>3062</v>
      </c>
      <c r="E161" s="111" t="s">
        <v>3063</v>
      </c>
      <c r="F161" s="109" t="s">
        <v>346</v>
      </c>
      <c r="G161" s="109"/>
      <c r="H161" s="109"/>
      <c r="I161" s="109" t="s">
        <v>346</v>
      </c>
      <c r="J161" s="109"/>
      <c r="K161" s="109"/>
      <c r="L161" s="109" t="s">
        <v>346</v>
      </c>
      <c r="M161" s="109"/>
      <c r="N161" s="109"/>
      <c r="O161" s="113" t="s">
        <v>2816</v>
      </c>
    </row>
    <row r="162" spans="1:15" ht="70.05" customHeight="1" outlineLevel="1">
      <c r="A162" s="109" t="s">
        <v>3064</v>
      </c>
      <c r="B162" s="110" t="s">
        <v>3065</v>
      </c>
      <c r="C162" s="110" t="s">
        <v>3066</v>
      </c>
      <c r="D162" s="111" t="s">
        <v>3067</v>
      </c>
      <c r="E162" s="111" t="s">
        <v>3048</v>
      </c>
      <c r="F162" s="109" t="s">
        <v>346</v>
      </c>
      <c r="G162" s="109"/>
      <c r="H162" s="109"/>
      <c r="I162" s="109" t="s">
        <v>346</v>
      </c>
      <c r="J162" s="109"/>
      <c r="K162" s="109"/>
      <c r="L162" s="109" t="s">
        <v>346</v>
      </c>
      <c r="M162" s="109"/>
      <c r="N162" s="109"/>
      <c r="O162" s="113" t="s">
        <v>2816</v>
      </c>
    </row>
    <row r="163" spans="1:15" ht="70.05" customHeight="1" outlineLevel="1">
      <c r="A163" s="109" t="s">
        <v>3068</v>
      </c>
      <c r="B163" s="110" t="s">
        <v>3050</v>
      </c>
      <c r="C163" s="110" t="s">
        <v>3051</v>
      </c>
      <c r="D163" s="111" t="s">
        <v>3069</v>
      </c>
      <c r="E163" s="111" t="s">
        <v>3070</v>
      </c>
      <c r="F163" s="109" t="s">
        <v>346</v>
      </c>
      <c r="G163" s="109"/>
      <c r="H163" s="109"/>
      <c r="I163" s="109" t="s">
        <v>346</v>
      </c>
      <c r="J163" s="109"/>
      <c r="K163" s="109"/>
      <c r="L163" s="109" t="s">
        <v>346</v>
      </c>
      <c r="M163" s="109"/>
      <c r="N163" s="109"/>
      <c r="O163" s="113" t="s">
        <v>2816</v>
      </c>
    </row>
    <row r="164" spans="1:15" ht="70.05" customHeight="1" outlineLevel="1">
      <c r="A164" s="109" t="s">
        <v>3071</v>
      </c>
      <c r="B164" s="110" t="s">
        <v>3072</v>
      </c>
      <c r="C164" s="110" t="s">
        <v>3073</v>
      </c>
      <c r="D164" s="111" t="s">
        <v>3074</v>
      </c>
      <c r="E164" s="111" t="s">
        <v>3075</v>
      </c>
      <c r="F164" s="109" t="s">
        <v>346</v>
      </c>
      <c r="G164" s="109"/>
      <c r="H164" s="109"/>
      <c r="I164" s="109" t="s">
        <v>346</v>
      </c>
      <c r="J164" s="109"/>
      <c r="K164" s="109"/>
      <c r="L164" s="109" t="s">
        <v>346</v>
      </c>
      <c r="M164" s="109"/>
      <c r="N164" s="109"/>
      <c r="O164" s="113" t="s">
        <v>2816</v>
      </c>
    </row>
    <row r="165" spans="1:15" ht="70.05" customHeight="1" outlineLevel="1">
      <c r="A165" s="109" t="s">
        <v>3076</v>
      </c>
      <c r="B165" s="110" t="s">
        <v>3077</v>
      </c>
      <c r="C165" s="110" t="s">
        <v>3078</v>
      </c>
      <c r="D165" s="111" t="s">
        <v>3079</v>
      </c>
      <c r="E165" s="111" t="s">
        <v>3080</v>
      </c>
      <c r="F165" s="109" t="s">
        <v>346</v>
      </c>
      <c r="G165" s="109"/>
      <c r="H165" s="109"/>
      <c r="I165" s="109" t="s">
        <v>346</v>
      </c>
      <c r="J165" s="109"/>
      <c r="K165" s="109"/>
      <c r="L165" s="109" t="s">
        <v>346</v>
      </c>
      <c r="M165" s="109"/>
      <c r="N165" s="109"/>
      <c r="O165" s="113" t="s">
        <v>2816</v>
      </c>
    </row>
    <row r="166" spans="1:15" ht="70.05" customHeight="1" outlineLevel="1">
      <c r="A166" s="109" t="s">
        <v>3081</v>
      </c>
      <c r="B166" s="110" t="s">
        <v>3082</v>
      </c>
      <c r="C166" s="110" t="s">
        <v>3083</v>
      </c>
      <c r="D166" s="111" t="s">
        <v>3084</v>
      </c>
      <c r="E166" s="111" t="s">
        <v>3048</v>
      </c>
      <c r="F166" s="109" t="s">
        <v>346</v>
      </c>
      <c r="G166" s="109"/>
      <c r="H166" s="109"/>
      <c r="I166" s="109" t="s">
        <v>346</v>
      </c>
      <c r="J166" s="109"/>
      <c r="K166" s="109"/>
      <c r="L166" s="109" t="s">
        <v>346</v>
      </c>
      <c r="M166" s="109"/>
      <c r="N166" s="109"/>
      <c r="O166" s="113" t="s">
        <v>2816</v>
      </c>
    </row>
    <row r="167" spans="1:15" ht="70.05" customHeight="1" outlineLevel="1">
      <c r="A167" s="109" t="s">
        <v>3085</v>
      </c>
      <c r="B167" s="110" t="s">
        <v>3086</v>
      </c>
      <c r="C167" s="110" t="s">
        <v>3051</v>
      </c>
      <c r="D167" s="111" t="s">
        <v>3087</v>
      </c>
      <c r="E167" s="111" t="s">
        <v>3088</v>
      </c>
      <c r="F167" s="109" t="s">
        <v>346</v>
      </c>
      <c r="G167" s="109"/>
      <c r="H167" s="109"/>
      <c r="I167" s="109" t="s">
        <v>346</v>
      </c>
      <c r="J167" s="109"/>
      <c r="K167" s="109"/>
      <c r="L167" s="109" t="s">
        <v>346</v>
      </c>
      <c r="M167" s="109"/>
      <c r="N167" s="109"/>
      <c r="O167" s="113" t="s">
        <v>2816</v>
      </c>
    </row>
    <row r="168" spans="1:15" ht="70.05" customHeight="1" outlineLevel="1">
      <c r="A168" s="109" t="s">
        <v>3089</v>
      </c>
      <c r="B168" s="110" t="s">
        <v>3082</v>
      </c>
      <c r="C168" s="110" t="s">
        <v>3083</v>
      </c>
      <c r="D168" s="111" t="s">
        <v>3090</v>
      </c>
      <c r="E168" s="111" t="s">
        <v>3055</v>
      </c>
      <c r="F168" s="109" t="s">
        <v>346</v>
      </c>
      <c r="G168" s="109"/>
      <c r="H168" s="109"/>
      <c r="I168" s="109" t="s">
        <v>346</v>
      </c>
      <c r="J168" s="109"/>
      <c r="K168" s="109"/>
      <c r="L168" s="109" t="s">
        <v>346</v>
      </c>
      <c r="M168" s="109"/>
      <c r="N168" s="109"/>
      <c r="O168" s="113" t="s">
        <v>2816</v>
      </c>
    </row>
    <row r="169" spans="1:15" ht="70.05" customHeight="1" outlineLevel="1">
      <c r="A169" s="109" t="s">
        <v>3091</v>
      </c>
      <c r="B169" s="110" t="s">
        <v>3092</v>
      </c>
      <c r="C169" s="110" t="s">
        <v>3083</v>
      </c>
      <c r="D169" s="111" t="s">
        <v>3093</v>
      </c>
      <c r="E169" s="111" t="s">
        <v>3094</v>
      </c>
      <c r="F169" s="109" t="s">
        <v>346</v>
      </c>
      <c r="G169" s="109"/>
      <c r="H169" s="109"/>
      <c r="I169" s="109" t="s">
        <v>346</v>
      </c>
      <c r="J169" s="109"/>
      <c r="K169" s="109"/>
      <c r="L169" s="109" t="s">
        <v>346</v>
      </c>
      <c r="M169" s="109"/>
      <c r="N169" s="109"/>
      <c r="O169" s="113" t="s">
        <v>2816</v>
      </c>
    </row>
    <row r="170" spans="1:15" ht="70.05" customHeight="1" outlineLevel="1">
      <c r="A170" s="109" t="s">
        <v>3095</v>
      </c>
      <c r="B170" s="110" t="s">
        <v>3096</v>
      </c>
      <c r="C170" s="110" t="s">
        <v>3046</v>
      </c>
      <c r="D170" s="111" t="s">
        <v>3093</v>
      </c>
      <c r="E170" s="111" t="s">
        <v>3097</v>
      </c>
      <c r="F170" s="109" t="s">
        <v>346</v>
      </c>
      <c r="G170" s="109"/>
      <c r="H170" s="109"/>
      <c r="I170" s="109" t="s">
        <v>346</v>
      </c>
      <c r="J170" s="109"/>
      <c r="K170" s="109"/>
      <c r="L170" s="109" t="s">
        <v>346</v>
      </c>
      <c r="M170" s="109"/>
      <c r="N170" s="109"/>
      <c r="O170" s="113" t="s">
        <v>2816</v>
      </c>
    </row>
    <row r="171" spans="1:15" ht="70.05" customHeight="1" outlineLevel="1">
      <c r="A171" s="109" t="s">
        <v>3098</v>
      </c>
      <c r="B171" s="110" t="s">
        <v>3099</v>
      </c>
      <c r="C171" s="110" t="s">
        <v>3051</v>
      </c>
      <c r="D171" s="111" t="s">
        <v>3093</v>
      </c>
      <c r="E171" s="111" t="s">
        <v>3097</v>
      </c>
      <c r="F171" s="109" t="s">
        <v>346</v>
      </c>
      <c r="G171" s="109"/>
      <c r="H171" s="109"/>
      <c r="I171" s="109" t="s">
        <v>346</v>
      </c>
      <c r="J171" s="109"/>
      <c r="K171" s="109"/>
      <c r="L171" s="109" t="s">
        <v>346</v>
      </c>
      <c r="M171" s="109"/>
      <c r="N171" s="109"/>
      <c r="O171" s="113" t="s">
        <v>2816</v>
      </c>
    </row>
    <row r="172" spans="1:15" ht="70.05" customHeight="1" outlineLevel="1">
      <c r="A172" s="109" t="s">
        <v>3100</v>
      </c>
      <c r="B172" s="110" t="s">
        <v>3099</v>
      </c>
      <c r="C172" s="110" t="s">
        <v>3051</v>
      </c>
      <c r="D172" s="111" t="s">
        <v>2757</v>
      </c>
      <c r="E172" s="111" t="s">
        <v>3101</v>
      </c>
      <c r="F172" s="109" t="s">
        <v>346</v>
      </c>
      <c r="G172" s="109"/>
      <c r="H172" s="109"/>
      <c r="I172" s="109" t="s">
        <v>346</v>
      </c>
      <c r="J172" s="109"/>
      <c r="K172" s="109"/>
      <c r="L172" s="109" t="s">
        <v>346</v>
      </c>
      <c r="M172" s="109"/>
      <c r="N172" s="109"/>
      <c r="O172" s="113" t="s">
        <v>2816</v>
      </c>
    </row>
    <row r="173" spans="1:15" ht="70.05" customHeight="1" outlineLevel="1">
      <c r="A173" s="109" t="s">
        <v>3102</v>
      </c>
      <c r="B173" s="110" t="s">
        <v>3103</v>
      </c>
      <c r="C173" s="110" t="s">
        <v>3104</v>
      </c>
      <c r="D173" s="111" t="s">
        <v>3105</v>
      </c>
      <c r="E173" s="111" t="s">
        <v>3080</v>
      </c>
      <c r="F173" s="109" t="s">
        <v>346</v>
      </c>
      <c r="G173" s="109"/>
      <c r="H173" s="109"/>
      <c r="I173" s="109" t="s">
        <v>346</v>
      </c>
      <c r="J173" s="109"/>
      <c r="K173" s="109"/>
      <c r="L173" s="109" t="s">
        <v>346</v>
      </c>
      <c r="M173" s="109"/>
      <c r="N173" s="109"/>
      <c r="O173" s="113" t="s">
        <v>2816</v>
      </c>
    </row>
    <row r="174" spans="1:15" ht="70.05" customHeight="1" outlineLevel="1">
      <c r="A174" s="109" t="s">
        <v>3106</v>
      </c>
      <c r="B174" s="110" t="s">
        <v>3107</v>
      </c>
      <c r="C174" s="110" t="s">
        <v>3108</v>
      </c>
      <c r="D174" s="111" t="s">
        <v>3109</v>
      </c>
      <c r="E174" s="111" t="s">
        <v>3080</v>
      </c>
      <c r="F174" s="109" t="s">
        <v>346</v>
      </c>
      <c r="G174" s="109"/>
      <c r="H174" s="109"/>
      <c r="I174" s="109" t="s">
        <v>346</v>
      </c>
      <c r="J174" s="109"/>
      <c r="K174" s="109"/>
      <c r="L174" s="109" t="s">
        <v>346</v>
      </c>
      <c r="M174" s="109"/>
      <c r="N174" s="109"/>
      <c r="O174" s="113" t="s">
        <v>2816</v>
      </c>
    </row>
    <row r="175" spans="1:15" ht="70.05" customHeight="1" outlineLevel="1">
      <c r="A175" s="109" t="s">
        <v>3110</v>
      </c>
      <c r="B175" s="110" t="s">
        <v>3096</v>
      </c>
      <c r="C175" s="110" t="s">
        <v>3046</v>
      </c>
      <c r="D175" s="111" t="s">
        <v>1845</v>
      </c>
      <c r="E175" s="111" t="s">
        <v>3111</v>
      </c>
      <c r="F175" s="109" t="s">
        <v>346</v>
      </c>
      <c r="G175" s="109"/>
      <c r="H175" s="109"/>
      <c r="I175" s="109" t="s">
        <v>346</v>
      </c>
      <c r="J175" s="109"/>
      <c r="K175" s="109"/>
      <c r="L175" s="109" t="s">
        <v>346</v>
      </c>
      <c r="M175" s="109"/>
      <c r="N175" s="109"/>
      <c r="O175" s="113" t="s">
        <v>2816</v>
      </c>
    </row>
    <row r="176" spans="1:15" ht="70.05" customHeight="1" outlineLevel="1">
      <c r="A176" s="109" t="s">
        <v>3112</v>
      </c>
      <c r="B176" s="110" t="s">
        <v>3113</v>
      </c>
      <c r="C176" s="110" t="s">
        <v>3114</v>
      </c>
      <c r="D176" s="111" t="s">
        <v>3115</v>
      </c>
      <c r="E176" s="111" t="s">
        <v>417</v>
      </c>
      <c r="F176" s="109" t="s">
        <v>346</v>
      </c>
      <c r="G176" s="109"/>
      <c r="H176" s="109"/>
      <c r="I176" s="109" t="s">
        <v>346</v>
      </c>
      <c r="J176" s="109"/>
      <c r="K176" s="109"/>
      <c r="L176" s="109" t="s">
        <v>346</v>
      </c>
      <c r="M176" s="109"/>
      <c r="N176" s="109"/>
      <c r="O176" s="113" t="s">
        <v>2816</v>
      </c>
    </row>
    <row r="177" spans="1:15" ht="15.75" customHeight="1">
      <c r="A177" s="60" t="s">
        <v>143</v>
      </c>
      <c r="B177" s="60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2"/>
    </row>
    <row r="178" spans="1:15" ht="70.05" customHeight="1" outlineLevel="1">
      <c r="A178" s="109" t="s">
        <v>3116</v>
      </c>
      <c r="B178" s="110" t="s">
        <v>3117</v>
      </c>
      <c r="C178" s="110" t="s">
        <v>3118</v>
      </c>
      <c r="D178" s="111" t="s">
        <v>3119</v>
      </c>
      <c r="E178" s="111" t="s">
        <v>3120</v>
      </c>
      <c r="F178" s="109" t="s">
        <v>346</v>
      </c>
      <c r="G178" s="109"/>
      <c r="H178" s="109"/>
      <c r="I178" s="109" t="s">
        <v>346</v>
      </c>
      <c r="J178" s="109"/>
      <c r="K178" s="109"/>
      <c r="L178" s="109" t="s">
        <v>346</v>
      </c>
      <c r="M178" s="109"/>
      <c r="N178" s="109"/>
      <c r="O178" s="113" t="s">
        <v>2816</v>
      </c>
    </row>
    <row r="179" spans="1:15" ht="70.05" customHeight="1" outlineLevel="1">
      <c r="A179" s="109" t="s">
        <v>3121</v>
      </c>
      <c r="B179" s="110" t="s">
        <v>3122</v>
      </c>
      <c r="C179" s="110" t="s">
        <v>3123</v>
      </c>
      <c r="D179" s="111" t="s">
        <v>1435</v>
      </c>
      <c r="E179" s="111" t="s">
        <v>3120</v>
      </c>
      <c r="F179" s="109" t="s">
        <v>346</v>
      </c>
      <c r="G179" s="109"/>
      <c r="H179" s="109"/>
      <c r="I179" s="109" t="s">
        <v>346</v>
      </c>
      <c r="J179" s="109"/>
      <c r="K179" s="109"/>
      <c r="L179" s="109" t="s">
        <v>346</v>
      </c>
      <c r="M179" s="109"/>
      <c r="N179" s="109"/>
      <c r="O179" s="113" t="s">
        <v>2816</v>
      </c>
    </row>
    <row r="180" spans="1:15" ht="70.05" customHeight="1" outlineLevel="1">
      <c r="A180" s="109" t="s">
        <v>3124</v>
      </c>
      <c r="B180" s="110" t="s">
        <v>3125</v>
      </c>
      <c r="C180" s="110" t="s">
        <v>3126</v>
      </c>
      <c r="D180" s="111" t="s">
        <v>3127</v>
      </c>
      <c r="E180" s="111" t="s">
        <v>3120</v>
      </c>
      <c r="F180" s="109" t="s">
        <v>346</v>
      </c>
      <c r="G180" s="109"/>
      <c r="H180" s="109"/>
      <c r="I180" s="109" t="s">
        <v>346</v>
      </c>
      <c r="J180" s="109"/>
      <c r="K180" s="109"/>
      <c r="L180" s="109" t="s">
        <v>346</v>
      </c>
      <c r="M180" s="109"/>
      <c r="N180" s="109"/>
      <c r="O180" s="113" t="s">
        <v>2816</v>
      </c>
    </row>
    <row r="181" spans="1:15" ht="70.05" customHeight="1" outlineLevel="1">
      <c r="A181" s="109" t="s">
        <v>3128</v>
      </c>
      <c r="B181" s="110" t="s">
        <v>3129</v>
      </c>
      <c r="C181" s="110" t="s">
        <v>3130</v>
      </c>
      <c r="D181" s="111" t="s">
        <v>3131</v>
      </c>
      <c r="E181" s="111" t="s">
        <v>3120</v>
      </c>
      <c r="F181" s="109" t="s">
        <v>346</v>
      </c>
      <c r="G181" s="109"/>
      <c r="H181" s="109"/>
      <c r="I181" s="109" t="s">
        <v>346</v>
      </c>
      <c r="J181" s="109"/>
      <c r="K181" s="109"/>
      <c r="L181" s="109" t="s">
        <v>346</v>
      </c>
      <c r="M181" s="109"/>
      <c r="N181" s="109"/>
      <c r="O181" s="113" t="s">
        <v>2816</v>
      </c>
    </row>
    <row r="182" spans="1:15" ht="70.05" customHeight="1" outlineLevel="1">
      <c r="A182" s="109" t="s">
        <v>3132</v>
      </c>
      <c r="B182" s="110" t="s">
        <v>3133</v>
      </c>
      <c r="C182" s="110" t="s">
        <v>3134</v>
      </c>
      <c r="D182" s="111" t="s">
        <v>3135</v>
      </c>
      <c r="E182" s="111" t="s">
        <v>3120</v>
      </c>
      <c r="F182" s="109" t="s">
        <v>346</v>
      </c>
      <c r="G182" s="109"/>
      <c r="H182" s="109"/>
      <c r="I182" s="109" t="s">
        <v>346</v>
      </c>
      <c r="J182" s="109"/>
      <c r="K182" s="109"/>
      <c r="L182" s="109" t="s">
        <v>346</v>
      </c>
      <c r="M182" s="109"/>
      <c r="N182" s="109"/>
      <c r="O182" s="113" t="s">
        <v>2816</v>
      </c>
    </row>
    <row r="183" spans="1:15" ht="70.05" customHeight="1" outlineLevel="1">
      <c r="A183" s="109" t="s">
        <v>3136</v>
      </c>
      <c r="B183" s="110" t="s">
        <v>3137</v>
      </c>
      <c r="C183" s="110" t="s">
        <v>3138</v>
      </c>
      <c r="D183" s="111" t="s">
        <v>3139</v>
      </c>
      <c r="E183" s="111" t="s">
        <v>3120</v>
      </c>
      <c r="F183" s="109" t="s">
        <v>346</v>
      </c>
      <c r="G183" s="109"/>
      <c r="H183" s="109"/>
      <c r="I183" s="109" t="s">
        <v>346</v>
      </c>
      <c r="J183" s="109"/>
      <c r="K183" s="109"/>
      <c r="L183" s="109" t="s">
        <v>346</v>
      </c>
      <c r="M183" s="109"/>
      <c r="N183" s="109"/>
      <c r="O183" s="113" t="s">
        <v>2816</v>
      </c>
    </row>
    <row r="184" spans="1:15" ht="70.05" customHeight="1" outlineLevel="1">
      <c r="A184" s="109" t="s">
        <v>3140</v>
      </c>
      <c r="B184" s="110" t="s">
        <v>3141</v>
      </c>
      <c r="C184" s="110" t="s">
        <v>3142</v>
      </c>
      <c r="D184" s="111" t="s">
        <v>3143</v>
      </c>
      <c r="E184" s="111" t="s">
        <v>3120</v>
      </c>
      <c r="F184" s="109" t="s">
        <v>346</v>
      </c>
      <c r="G184" s="109"/>
      <c r="H184" s="109"/>
      <c r="I184" s="109" t="s">
        <v>346</v>
      </c>
      <c r="J184" s="109"/>
      <c r="K184" s="109"/>
      <c r="L184" s="109" t="s">
        <v>346</v>
      </c>
      <c r="M184" s="109"/>
      <c r="N184" s="109"/>
      <c r="O184" s="113" t="s">
        <v>2816</v>
      </c>
    </row>
    <row r="185" spans="1:15" ht="70.05" customHeight="1" outlineLevel="1">
      <c r="A185" s="109" t="s">
        <v>3144</v>
      </c>
      <c r="B185" s="110" t="s">
        <v>3145</v>
      </c>
      <c r="C185" s="110" t="s">
        <v>3146</v>
      </c>
      <c r="D185" s="111" t="s">
        <v>3147</v>
      </c>
      <c r="E185" s="111" t="s">
        <v>3120</v>
      </c>
      <c r="F185" s="109" t="s">
        <v>346</v>
      </c>
      <c r="G185" s="109"/>
      <c r="H185" s="109"/>
      <c r="I185" s="109" t="s">
        <v>346</v>
      </c>
      <c r="J185" s="109"/>
      <c r="K185" s="109"/>
      <c r="L185" s="109" t="s">
        <v>346</v>
      </c>
      <c r="M185" s="109"/>
      <c r="N185" s="109"/>
      <c r="O185" s="113" t="s">
        <v>2816</v>
      </c>
    </row>
    <row r="186" spans="1:15" ht="70.05" customHeight="1" outlineLevel="1">
      <c r="A186" s="109" t="s">
        <v>3148</v>
      </c>
      <c r="B186" s="110" t="s">
        <v>3149</v>
      </c>
      <c r="C186" s="110" t="s">
        <v>3150</v>
      </c>
      <c r="D186" s="111" t="s">
        <v>3151</v>
      </c>
      <c r="E186" s="111" t="s">
        <v>3120</v>
      </c>
      <c r="F186" s="109" t="s">
        <v>346</v>
      </c>
      <c r="G186" s="109"/>
      <c r="H186" s="109"/>
      <c r="I186" s="109" t="s">
        <v>346</v>
      </c>
      <c r="J186" s="109"/>
      <c r="K186" s="109"/>
      <c r="L186" s="109" t="s">
        <v>346</v>
      </c>
      <c r="M186" s="109"/>
      <c r="N186" s="109"/>
      <c r="O186" s="113" t="s">
        <v>2816</v>
      </c>
    </row>
    <row r="187" spans="1:15" ht="70.05" customHeight="1" outlineLevel="1">
      <c r="A187" s="109" t="s">
        <v>3152</v>
      </c>
      <c r="B187" s="110" t="s">
        <v>3153</v>
      </c>
      <c r="C187" s="110" t="s">
        <v>3154</v>
      </c>
      <c r="D187" s="111" t="s">
        <v>3155</v>
      </c>
      <c r="E187" s="111" t="s">
        <v>3120</v>
      </c>
      <c r="F187" s="109" t="s">
        <v>346</v>
      </c>
      <c r="G187" s="109"/>
      <c r="H187" s="109"/>
      <c r="I187" s="109" t="s">
        <v>346</v>
      </c>
      <c r="J187" s="109"/>
      <c r="K187" s="109"/>
      <c r="L187" s="109" t="s">
        <v>346</v>
      </c>
      <c r="M187" s="109"/>
      <c r="N187" s="109"/>
      <c r="O187" s="113" t="s">
        <v>2816</v>
      </c>
    </row>
    <row r="188" spans="1:15" ht="70.05" customHeight="1" outlineLevel="1">
      <c r="A188" s="109" t="s">
        <v>3156</v>
      </c>
      <c r="B188" s="110" t="s">
        <v>3157</v>
      </c>
      <c r="C188" s="110" t="s">
        <v>3158</v>
      </c>
      <c r="D188" s="111" t="s">
        <v>3159</v>
      </c>
      <c r="E188" s="111" t="s">
        <v>3120</v>
      </c>
      <c r="F188" s="109" t="s">
        <v>346</v>
      </c>
      <c r="G188" s="109"/>
      <c r="H188" s="109"/>
      <c r="I188" s="109" t="s">
        <v>346</v>
      </c>
      <c r="J188" s="109"/>
      <c r="K188" s="109"/>
      <c r="L188" s="109" t="s">
        <v>346</v>
      </c>
      <c r="M188" s="109"/>
      <c r="N188" s="109"/>
      <c r="O188" s="113" t="s">
        <v>2816</v>
      </c>
    </row>
    <row r="189" spans="1:15" ht="70.05" customHeight="1" outlineLevel="1">
      <c r="A189" s="109" t="s">
        <v>3160</v>
      </c>
      <c r="B189" s="110" t="s">
        <v>3161</v>
      </c>
      <c r="C189" s="110" t="s">
        <v>3162</v>
      </c>
      <c r="D189" s="111" t="s">
        <v>3163</v>
      </c>
      <c r="E189" s="111" t="s">
        <v>3164</v>
      </c>
      <c r="F189" s="109" t="s">
        <v>346</v>
      </c>
      <c r="G189" s="109"/>
      <c r="H189" s="109"/>
      <c r="I189" s="109" t="s">
        <v>346</v>
      </c>
      <c r="J189" s="109"/>
      <c r="K189" s="109"/>
      <c r="L189" s="109" t="s">
        <v>346</v>
      </c>
      <c r="M189" s="109"/>
      <c r="N189" s="109"/>
      <c r="O189" s="113" t="s">
        <v>2816</v>
      </c>
    </row>
    <row r="190" spans="1:15" ht="70.05" customHeight="1" outlineLevel="1">
      <c r="A190" s="109" t="s">
        <v>3165</v>
      </c>
      <c r="B190" s="110" t="s">
        <v>3161</v>
      </c>
      <c r="C190" s="110" t="s">
        <v>3162</v>
      </c>
      <c r="D190" s="111" t="s">
        <v>3163</v>
      </c>
      <c r="E190" s="111" t="s">
        <v>3166</v>
      </c>
      <c r="F190" s="109" t="s">
        <v>346</v>
      </c>
      <c r="G190" s="109"/>
      <c r="H190" s="109"/>
      <c r="I190" s="109" t="s">
        <v>346</v>
      </c>
      <c r="J190" s="109"/>
      <c r="K190" s="109"/>
      <c r="L190" s="109" t="s">
        <v>346</v>
      </c>
      <c r="M190" s="109"/>
      <c r="N190" s="109"/>
      <c r="O190" s="113" t="s">
        <v>2816</v>
      </c>
    </row>
    <row r="191" spans="1:15" ht="70.05" customHeight="1" outlineLevel="1">
      <c r="A191" s="109" t="s">
        <v>3167</v>
      </c>
      <c r="B191" s="110" t="s">
        <v>3161</v>
      </c>
      <c r="C191" s="110" t="s">
        <v>3162</v>
      </c>
      <c r="D191" s="111" t="s">
        <v>3163</v>
      </c>
      <c r="E191" s="111" t="s">
        <v>3168</v>
      </c>
      <c r="F191" s="109" t="s">
        <v>346</v>
      </c>
      <c r="G191" s="109"/>
      <c r="H191" s="109"/>
      <c r="I191" s="109" t="s">
        <v>346</v>
      </c>
      <c r="J191" s="109"/>
      <c r="K191" s="109"/>
      <c r="L191" s="109" t="s">
        <v>346</v>
      </c>
      <c r="M191" s="109"/>
      <c r="N191" s="109"/>
      <c r="O191" s="113" t="s">
        <v>2816</v>
      </c>
    </row>
    <row r="192" spans="1:15" ht="70.05" customHeight="1" outlineLevel="1">
      <c r="A192" s="109" t="s">
        <v>3169</v>
      </c>
      <c r="B192" s="110" t="s">
        <v>3161</v>
      </c>
      <c r="C192" s="110" t="s">
        <v>3162</v>
      </c>
      <c r="D192" s="111" t="s">
        <v>3163</v>
      </c>
      <c r="E192" s="111" t="s">
        <v>3170</v>
      </c>
      <c r="F192" s="109" t="s">
        <v>346</v>
      </c>
      <c r="G192" s="109"/>
      <c r="H192" s="109"/>
      <c r="I192" s="109" t="s">
        <v>346</v>
      </c>
      <c r="J192" s="109"/>
      <c r="K192" s="109"/>
      <c r="L192" s="109" t="s">
        <v>346</v>
      </c>
      <c r="M192" s="109"/>
      <c r="N192" s="109"/>
      <c r="O192" s="113" t="s">
        <v>2816</v>
      </c>
    </row>
    <row r="193" spans="1:15" ht="70.05" customHeight="1" outlineLevel="1">
      <c r="A193" s="109" t="s">
        <v>3171</v>
      </c>
      <c r="B193" s="110" t="s">
        <v>3172</v>
      </c>
      <c r="C193" s="110" t="s">
        <v>3173</v>
      </c>
      <c r="D193" s="111" t="s">
        <v>3174</v>
      </c>
      <c r="E193" s="111" t="s">
        <v>3175</v>
      </c>
      <c r="F193" s="109" t="s">
        <v>346</v>
      </c>
      <c r="G193" s="109"/>
      <c r="H193" s="109"/>
      <c r="I193" s="109" t="s">
        <v>346</v>
      </c>
      <c r="J193" s="109"/>
      <c r="K193" s="109"/>
      <c r="L193" s="109" t="s">
        <v>346</v>
      </c>
      <c r="M193" s="109"/>
      <c r="N193" s="109"/>
      <c r="O193" s="113" t="s">
        <v>2816</v>
      </c>
    </row>
    <row r="194" spans="1:15" ht="70.05" customHeight="1" outlineLevel="1">
      <c r="A194" s="109" t="s">
        <v>3176</v>
      </c>
      <c r="B194" s="110" t="s">
        <v>3161</v>
      </c>
      <c r="C194" s="110" t="s">
        <v>3162</v>
      </c>
      <c r="D194" s="111" t="s">
        <v>2757</v>
      </c>
      <c r="E194" s="111" t="s">
        <v>3177</v>
      </c>
      <c r="F194" s="109" t="s">
        <v>346</v>
      </c>
      <c r="G194" s="109"/>
      <c r="H194" s="109"/>
      <c r="I194" s="109" t="s">
        <v>346</v>
      </c>
      <c r="J194" s="109"/>
      <c r="K194" s="109"/>
      <c r="L194" s="109" t="s">
        <v>346</v>
      </c>
      <c r="M194" s="109"/>
      <c r="N194" s="109"/>
      <c r="O194" s="113" t="s">
        <v>2816</v>
      </c>
    </row>
    <row r="195" spans="1:15" ht="70.05" customHeight="1" outlineLevel="1">
      <c r="A195" s="109" t="s">
        <v>3178</v>
      </c>
      <c r="B195" s="110" t="s">
        <v>3161</v>
      </c>
      <c r="C195" s="110" t="s">
        <v>3162</v>
      </c>
      <c r="D195" s="111" t="s">
        <v>2757</v>
      </c>
      <c r="E195" s="111" t="s">
        <v>3048</v>
      </c>
      <c r="F195" s="109" t="s">
        <v>346</v>
      </c>
      <c r="G195" s="109"/>
      <c r="H195" s="109"/>
      <c r="I195" s="109" t="s">
        <v>346</v>
      </c>
      <c r="J195" s="109"/>
      <c r="K195" s="109"/>
      <c r="L195" s="109" t="s">
        <v>346</v>
      </c>
      <c r="M195" s="109"/>
      <c r="N195" s="109"/>
      <c r="O195" s="113" t="s">
        <v>2816</v>
      </c>
    </row>
    <row r="196" spans="1:15" ht="70.05" customHeight="1" outlineLevel="1">
      <c r="A196" s="109" t="s">
        <v>3179</v>
      </c>
      <c r="B196" s="110" t="s">
        <v>3180</v>
      </c>
      <c r="C196" s="110" t="s">
        <v>3181</v>
      </c>
      <c r="D196" s="111" t="s">
        <v>3022</v>
      </c>
      <c r="E196" s="111" t="s">
        <v>3182</v>
      </c>
      <c r="F196" s="109" t="s">
        <v>346</v>
      </c>
      <c r="G196" s="109"/>
      <c r="H196" s="109"/>
      <c r="I196" s="109" t="s">
        <v>346</v>
      </c>
      <c r="J196" s="109"/>
      <c r="K196" s="109"/>
      <c r="L196" s="109" t="s">
        <v>346</v>
      </c>
      <c r="M196" s="109"/>
      <c r="N196" s="109"/>
      <c r="O196" s="113" t="s">
        <v>2816</v>
      </c>
    </row>
    <row r="197" spans="1:15" ht="70.05" customHeight="1" outlineLevel="1">
      <c r="A197" s="109" t="s">
        <v>3183</v>
      </c>
      <c r="B197" s="110" t="s">
        <v>3184</v>
      </c>
      <c r="C197" s="110" t="s">
        <v>3185</v>
      </c>
      <c r="D197" s="111" t="s">
        <v>3018</v>
      </c>
      <c r="E197" s="111" t="s">
        <v>3182</v>
      </c>
      <c r="F197" s="109" t="s">
        <v>346</v>
      </c>
      <c r="G197" s="109"/>
      <c r="H197" s="109"/>
      <c r="I197" s="109" t="s">
        <v>346</v>
      </c>
      <c r="J197" s="109"/>
      <c r="K197" s="109"/>
      <c r="L197" s="109" t="s">
        <v>346</v>
      </c>
      <c r="M197" s="109"/>
      <c r="N197" s="109"/>
      <c r="O197" s="113" t="s">
        <v>2816</v>
      </c>
    </row>
    <row r="198" spans="1:15" ht="70.05" customHeight="1" outlineLevel="1">
      <c r="A198" s="109" t="s">
        <v>3186</v>
      </c>
      <c r="B198" s="110" t="s">
        <v>3187</v>
      </c>
      <c r="C198" s="110" t="s">
        <v>3188</v>
      </c>
      <c r="D198" s="111" t="s">
        <v>3115</v>
      </c>
      <c r="E198" s="111" t="s">
        <v>3189</v>
      </c>
      <c r="F198" s="109" t="s">
        <v>346</v>
      </c>
      <c r="G198" s="109"/>
      <c r="H198" s="109"/>
      <c r="I198" s="109" t="s">
        <v>346</v>
      </c>
      <c r="J198" s="109"/>
      <c r="K198" s="109"/>
      <c r="L198" s="109" t="s">
        <v>346</v>
      </c>
      <c r="M198" s="109"/>
      <c r="N198" s="109"/>
      <c r="O198" s="113" t="s">
        <v>2816</v>
      </c>
    </row>
    <row r="199" spans="1:15" ht="70.05" customHeight="1" outlineLevel="1">
      <c r="A199" s="109" t="s">
        <v>3190</v>
      </c>
      <c r="B199" s="110" t="s">
        <v>3161</v>
      </c>
      <c r="C199" s="110" t="s">
        <v>3162</v>
      </c>
      <c r="D199" s="111" t="s">
        <v>1845</v>
      </c>
      <c r="E199" s="111" t="s">
        <v>3111</v>
      </c>
      <c r="F199" s="109" t="s">
        <v>346</v>
      </c>
      <c r="G199" s="109"/>
      <c r="H199" s="109"/>
      <c r="I199" s="109" t="s">
        <v>346</v>
      </c>
      <c r="J199" s="109"/>
      <c r="K199" s="109"/>
      <c r="L199" s="109" t="s">
        <v>346</v>
      </c>
      <c r="M199" s="109"/>
      <c r="N199" s="109"/>
      <c r="O199" s="113" t="s">
        <v>2816</v>
      </c>
    </row>
    <row r="200" spans="1:15" ht="15.75" customHeight="1">
      <c r="A200" s="60" t="s">
        <v>145</v>
      </c>
      <c r="B200" s="60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2"/>
    </row>
    <row r="201" spans="1:15" ht="70.05" customHeight="1" outlineLevel="1">
      <c r="A201" s="109" t="s">
        <v>3191</v>
      </c>
      <c r="B201" s="110" t="s">
        <v>3192</v>
      </c>
      <c r="C201" s="110" t="s">
        <v>3193</v>
      </c>
      <c r="D201" s="111" t="s">
        <v>3194</v>
      </c>
      <c r="E201" s="111" t="s">
        <v>3120</v>
      </c>
      <c r="F201" s="109" t="s">
        <v>346</v>
      </c>
      <c r="G201" s="109"/>
      <c r="H201" s="109"/>
      <c r="I201" s="109" t="s">
        <v>346</v>
      </c>
      <c r="J201" s="109"/>
      <c r="K201" s="109"/>
      <c r="L201" s="109" t="s">
        <v>346</v>
      </c>
      <c r="M201" s="109"/>
      <c r="N201" s="109"/>
      <c r="O201" s="113" t="s">
        <v>2816</v>
      </c>
    </row>
    <row r="202" spans="1:15" ht="70.05" customHeight="1" outlineLevel="1">
      <c r="A202" s="109" t="s">
        <v>3195</v>
      </c>
      <c r="B202" s="110" t="s">
        <v>3196</v>
      </c>
      <c r="C202" s="110" t="s">
        <v>3197</v>
      </c>
      <c r="D202" s="111" t="s">
        <v>3198</v>
      </c>
      <c r="E202" s="111" t="s">
        <v>3120</v>
      </c>
      <c r="F202" s="109" t="s">
        <v>346</v>
      </c>
      <c r="G202" s="109"/>
      <c r="H202" s="109"/>
      <c r="I202" s="109" t="s">
        <v>346</v>
      </c>
      <c r="J202" s="109"/>
      <c r="K202" s="109"/>
      <c r="L202" s="109" t="s">
        <v>346</v>
      </c>
      <c r="M202" s="109"/>
      <c r="N202" s="109"/>
      <c r="O202" s="113" t="s">
        <v>2816</v>
      </c>
    </row>
    <row r="203" spans="1:15" ht="70.05" customHeight="1" outlineLevel="1">
      <c r="A203" s="109" t="s">
        <v>3199</v>
      </c>
      <c r="B203" s="110" t="s">
        <v>3200</v>
      </c>
      <c r="C203" s="110" t="s">
        <v>3201</v>
      </c>
      <c r="D203" s="111" t="s">
        <v>3202</v>
      </c>
      <c r="E203" s="111" t="s">
        <v>3120</v>
      </c>
      <c r="F203" s="109" t="s">
        <v>346</v>
      </c>
      <c r="G203" s="109"/>
      <c r="H203" s="109"/>
      <c r="I203" s="109" t="s">
        <v>346</v>
      </c>
      <c r="J203" s="109"/>
      <c r="K203" s="109"/>
      <c r="L203" s="109" t="s">
        <v>346</v>
      </c>
      <c r="M203" s="109"/>
      <c r="N203" s="109"/>
      <c r="O203" s="113" t="s">
        <v>2816</v>
      </c>
    </row>
    <row r="204" spans="1:15" ht="70.05" customHeight="1" outlineLevel="1">
      <c r="A204" s="109" t="s">
        <v>3203</v>
      </c>
      <c r="B204" s="110" t="s">
        <v>3204</v>
      </c>
      <c r="C204" s="110" t="s">
        <v>3205</v>
      </c>
      <c r="D204" s="111" t="s">
        <v>3206</v>
      </c>
      <c r="E204" s="111" t="s">
        <v>3120</v>
      </c>
      <c r="F204" s="109" t="s">
        <v>346</v>
      </c>
      <c r="G204" s="109"/>
      <c r="H204" s="109"/>
      <c r="I204" s="109" t="s">
        <v>346</v>
      </c>
      <c r="J204" s="109"/>
      <c r="K204" s="109"/>
      <c r="L204" s="109" t="s">
        <v>346</v>
      </c>
      <c r="M204" s="109"/>
      <c r="N204" s="109"/>
      <c r="O204" s="113" t="s">
        <v>2816</v>
      </c>
    </row>
    <row r="205" spans="1:15" ht="70.05" customHeight="1" outlineLevel="1">
      <c r="A205" s="109" t="s">
        <v>3207</v>
      </c>
      <c r="B205" s="110" t="s">
        <v>3208</v>
      </c>
      <c r="C205" s="110" t="s">
        <v>3209</v>
      </c>
      <c r="D205" s="111" t="s">
        <v>3210</v>
      </c>
      <c r="E205" s="111" t="s">
        <v>3120</v>
      </c>
      <c r="F205" s="109" t="s">
        <v>346</v>
      </c>
      <c r="G205" s="109"/>
      <c r="H205" s="109"/>
      <c r="I205" s="109" t="s">
        <v>346</v>
      </c>
      <c r="J205" s="109"/>
      <c r="K205" s="109"/>
      <c r="L205" s="109" t="s">
        <v>346</v>
      </c>
      <c r="M205" s="109"/>
      <c r="N205" s="109"/>
      <c r="O205" s="113" t="s">
        <v>2816</v>
      </c>
    </row>
    <row r="206" spans="1:15" ht="70.05" customHeight="1" outlineLevel="1">
      <c r="A206" s="109" t="s">
        <v>3211</v>
      </c>
      <c r="B206" s="110" t="s">
        <v>3192</v>
      </c>
      <c r="C206" s="110" t="s">
        <v>3193</v>
      </c>
      <c r="D206" s="111" t="s">
        <v>3212</v>
      </c>
      <c r="E206" s="111" t="s">
        <v>3213</v>
      </c>
      <c r="F206" s="109" t="s">
        <v>346</v>
      </c>
      <c r="G206" s="109"/>
      <c r="H206" s="109"/>
      <c r="I206" s="109" t="s">
        <v>346</v>
      </c>
      <c r="J206" s="109"/>
      <c r="K206" s="109"/>
      <c r="L206" s="109" t="s">
        <v>346</v>
      </c>
      <c r="M206" s="109"/>
      <c r="N206" s="109"/>
      <c r="O206" s="113" t="s">
        <v>2816</v>
      </c>
    </row>
    <row r="207" spans="1:15" ht="70.05" customHeight="1" outlineLevel="1">
      <c r="A207" s="109" t="s">
        <v>3214</v>
      </c>
      <c r="B207" s="110" t="s">
        <v>3192</v>
      </c>
      <c r="C207" s="110" t="s">
        <v>3193</v>
      </c>
      <c r="D207" s="111" t="s">
        <v>3215</v>
      </c>
      <c r="E207" s="111" t="s">
        <v>3170</v>
      </c>
      <c r="F207" s="109" t="s">
        <v>346</v>
      </c>
      <c r="G207" s="109"/>
      <c r="H207" s="109"/>
      <c r="I207" s="109" t="s">
        <v>346</v>
      </c>
      <c r="J207" s="109"/>
      <c r="K207" s="109"/>
      <c r="L207" s="109" t="s">
        <v>346</v>
      </c>
      <c r="M207" s="109"/>
      <c r="N207" s="109"/>
      <c r="O207" s="113" t="s">
        <v>2816</v>
      </c>
    </row>
    <row r="208" spans="1:15" ht="70.05" customHeight="1" outlineLevel="1">
      <c r="A208" s="109" t="s">
        <v>3216</v>
      </c>
      <c r="B208" s="110" t="s">
        <v>3217</v>
      </c>
      <c r="C208" s="110" t="s">
        <v>3218</v>
      </c>
      <c r="D208" s="111" t="s">
        <v>3219</v>
      </c>
      <c r="E208" s="111" t="s">
        <v>3120</v>
      </c>
      <c r="F208" s="109" t="s">
        <v>346</v>
      </c>
      <c r="G208" s="109"/>
      <c r="H208" s="109"/>
      <c r="I208" s="109" t="s">
        <v>346</v>
      </c>
      <c r="J208" s="109"/>
      <c r="K208" s="109"/>
      <c r="L208" s="109" t="s">
        <v>346</v>
      </c>
      <c r="M208" s="109"/>
      <c r="N208" s="109"/>
      <c r="O208" s="113" t="s">
        <v>2816</v>
      </c>
    </row>
    <row r="209" spans="1:15" ht="70.05" customHeight="1" outlineLevel="1">
      <c r="A209" s="109" t="s">
        <v>3220</v>
      </c>
      <c r="B209" s="110" t="s">
        <v>3221</v>
      </c>
      <c r="C209" s="110" t="s">
        <v>3193</v>
      </c>
      <c r="D209" s="111" t="s">
        <v>3222</v>
      </c>
      <c r="E209" s="111" t="s">
        <v>3223</v>
      </c>
      <c r="F209" s="109" t="s">
        <v>346</v>
      </c>
      <c r="G209" s="109"/>
      <c r="H209" s="109"/>
      <c r="I209" s="109" t="s">
        <v>346</v>
      </c>
      <c r="J209" s="109"/>
      <c r="K209" s="109"/>
      <c r="L209" s="109" t="s">
        <v>346</v>
      </c>
      <c r="M209" s="109"/>
      <c r="N209" s="109"/>
      <c r="O209" s="113" t="s">
        <v>2816</v>
      </c>
    </row>
    <row r="210" spans="1:15" ht="70.05" customHeight="1" outlineLevel="1">
      <c r="A210" s="109" t="s">
        <v>3224</v>
      </c>
      <c r="B210" s="110" t="s">
        <v>3221</v>
      </c>
      <c r="C210" s="110" t="s">
        <v>3193</v>
      </c>
      <c r="D210" s="111" t="s">
        <v>3225</v>
      </c>
      <c r="E210" s="111" t="s">
        <v>3226</v>
      </c>
      <c r="F210" s="109" t="s">
        <v>346</v>
      </c>
      <c r="G210" s="109"/>
      <c r="H210" s="109"/>
      <c r="I210" s="109" t="s">
        <v>346</v>
      </c>
      <c r="J210" s="109"/>
      <c r="K210" s="109"/>
      <c r="L210" s="109" t="s">
        <v>346</v>
      </c>
      <c r="M210" s="109"/>
      <c r="N210" s="109"/>
      <c r="O210" s="113" t="s">
        <v>2816</v>
      </c>
    </row>
    <row r="211" spans="1:15" ht="70.05" customHeight="1" outlineLevel="1">
      <c r="A211" s="109" t="s">
        <v>3227</v>
      </c>
      <c r="B211" s="110" t="s">
        <v>3221</v>
      </c>
      <c r="C211" s="110" t="s">
        <v>3193</v>
      </c>
      <c r="D211" s="111" t="s">
        <v>3228</v>
      </c>
      <c r="E211" s="111" t="s">
        <v>3229</v>
      </c>
      <c r="F211" s="109" t="s">
        <v>346</v>
      </c>
      <c r="G211" s="109"/>
      <c r="H211" s="109"/>
      <c r="I211" s="109" t="s">
        <v>346</v>
      </c>
      <c r="J211" s="109"/>
      <c r="K211" s="109"/>
      <c r="L211" s="109" t="s">
        <v>346</v>
      </c>
      <c r="M211" s="109"/>
      <c r="N211" s="109"/>
      <c r="O211" s="113" t="s">
        <v>2816</v>
      </c>
    </row>
    <row r="212" spans="1:15" ht="70.05" customHeight="1" outlineLevel="1">
      <c r="A212" s="109" t="s">
        <v>3230</v>
      </c>
      <c r="B212" s="110" t="s">
        <v>3231</v>
      </c>
      <c r="C212" s="110" t="s">
        <v>3193</v>
      </c>
      <c r="D212" s="111" t="s">
        <v>3232</v>
      </c>
      <c r="E212" s="111" t="s">
        <v>3164</v>
      </c>
      <c r="F212" s="109" t="s">
        <v>346</v>
      </c>
      <c r="G212" s="109"/>
      <c r="H212" s="109"/>
      <c r="I212" s="109" t="s">
        <v>346</v>
      </c>
      <c r="J212" s="109"/>
      <c r="K212" s="109"/>
      <c r="L212" s="109" t="s">
        <v>346</v>
      </c>
      <c r="M212" s="109"/>
      <c r="N212" s="109"/>
      <c r="O212" s="113" t="s">
        <v>2816</v>
      </c>
    </row>
    <row r="213" spans="1:15" ht="70.05" customHeight="1" outlineLevel="1">
      <c r="A213" s="109" t="s">
        <v>3233</v>
      </c>
      <c r="B213" s="110" t="s">
        <v>3231</v>
      </c>
      <c r="C213" s="110" t="s">
        <v>3193</v>
      </c>
      <c r="D213" s="111" t="s">
        <v>3232</v>
      </c>
      <c r="E213" s="111" t="s">
        <v>3166</v>
      </c>
      <c r="F213" s="109" t="s">
        <v>346</v>
      </c>
      <c r="G213" s="109"/>
      <c r="H213" s="109"/>
      <c r="I213" s="109" t="s">
        <v>346</v>
      </c>
      <c r="J213" s="109"/>
      <c r="K213" s="109"/>
      <c r="L213" s="109" t="s">
        <v>346</v>
      </c>
      <c r="M213" s="109"/>
      <c r="N213" s="109"/>
      <c r="O213" s="113" t="s">
        <v>2816</v>
      </c>
    </row>
    <row r="214" spans="1:15" ht="70.05" customHeight="1" outlineLevel="1">
      <c r="A214" s="109" t="s">
        <v>3234</v>
      </c>
      <c r="B214" s="110" t="s">
        <v>3231</v>
      </c>
      <c r="C214" s="110" t="s">
        <v>3193</v>
      </c>
      <c r="D214" s="111" t="s">
        <v>3232</v>
      </c>
      <c r="E214" s="111" t="s">
        <v>3168</v>
      </c>
      <c r="F214" s="109" t="s">
        <v>346</v>
      </c>
      <c r="G214" s="109"/>
      <c r="H214" s="109"/>
      <c r="I214" s="109" t="s">
        <v>346</v>
      </c>
      <c r="J214" s="109"/>
      <c r="K214" s="109"/>
      <c r="L214" s="109" t="s">
        <v>346</v>
      </c>
      <c r="M214" s="109"/>
      <c r="N214" s="109"/>
      <c r="O214" s="113" t="s">
        <v>2816</v>
      </c>
    </row>
    <row r="215" spans="1:15" ht="70.05" customHeight="1" outlineLevel="1">
      <c r="A215" s="109" t="s">
        <v>3235</v>
      </c>
      <c r="B215" s="110" t="s">
        <v>3231</v>
      </c>
      <c r="C215" s="110" t="s">
        <v>3193</v>
      </c>
      <c r="D215" s="111" t="s">
        <v>2757</v>
      </c>
      <c r="E215" s="111" t="s">
        <v>3177</v>
      </c>
      <c r="F215" s="109" t="s">
        <v>346</v>
      </c>
      <c r="G215" s="109"/>
      <c r="H215" s="109"/>
      <c r="I215" s="109" t="s">
        <v>346</v>
      </c>
      <c r="J215" s="109"/>
      <c r="K215" s="109"/>
      <c r="L215" s="109" t="s">
        <v>346</v>
      </c>
      <c r="M215" s="109"/>
      <c r="N215" s="109"/>
      <c r="O215" s="113" t="s">
        <v>2816</v>
      </c>
    </row>
    <row r="216" spans="1:15" ht="70.05" customHeight="1" outlineLevel="1">
      <c r="A216" s="109" t="s">
        <v>3236</v>
      </c>
      <c r="B216" s="110" t="s">
        <v>3231</v>
      </c>
      <c r="C216" s="110" t="s">
        <v>3193</v>
      </c>
      <c r="D216" s="111" t="s">
        <v>2757</v>
      </c>
      <c r="E216" s="111" t="s">
        <v>3048</v>
      </c>
      <c r="F216" s="109" t="s">
        <v>346</v>
      </c>
      <c r="G216" s="109"/>
      <c r="H216" s="109"/>
      <c r="I216" s="109" t="s">
        <v>346</v>
      </c>
      <c r="J216" s="109"/>
      <c r="K216" s="109"/>
      <c r="L216" s="109" t="s">
        <v>346</v>
      </c>
      <c r="M216" s="109"/>
      <c r="N216" s="109"/>
      <c r="O216" s="113" t="s">
        <v>2816</v>
      </c>
    </row>
    <row r="217" spans="1:15" ht="70.05" customHeight="1" outlineLevel="1">
      <c r="A217" s="109" t="s">
        <v>3237</v>
      </c>
      <c r="B217" s="110" t="s">
        <v>3231</v>
      </c>
      <c r="C217" s="110" t="s">
        <v>3193</v>
      </c>
      <c r="D217" s="111" t="s">
        <v>1845</v>
      </c>
      <c r="E217" s="111" t="s">
        <v>3111</v>
      </c>
      <c r="F217" s="109" t="s">
        <v>346</v>
      </c>
      <c r="G217" s="109"/>
      <c r="H217" s="109"/>
      <c r="I217" s="109" t="s">
        <v>346</v>
      </c>
      <c r="J217" s="109"/>
      <c r="K217" s="109"/>
      <c r="L217" s="109" t="s">
        <v>346</v>
      </c>
      <c r="M217" s="109"/>
      <c r="N217" s="109"/>
      <c r="O217" s="113" t="s">
        <v>2816</v>
      </c>
    </row>
    <row r="218" spans="1:15" ht="70.05" customHeight="1" outlineLevel="1">
      <c r="A218" s="109" t="s">
        <v>3238</v>
      </c>
      <c r="B218" s="110" t="s">
        <v>3239</v>
      </c>
      <c r="C218" s="110" t="s">
        <v>3240</v>
      </c>
      <c r="D218" s="111" t="s">
        <v>3115</v>
      </c>
      <c r="E218" s="111" t="s">
        <v>417</v>
      </c>
      <c r="F218" s="109" t="s">
        <v>346</v>
      </c>
      <c r="G218" s="109"/>
      <c r="H218" s="109"/>
      <c r="I218" s="109" t="s">
        <v>346</v>
      </c>
      <c r="J218" s="109"/>
      <c r="K218" s="109"/>
      <c r="L218" s="109" t="s">
        <v>346</v>
      </c>
      <c r="M218" s="109"/>
      <c r="N218" s="109"/>
      <c r="O218" s="113" t="s">
        <v>2816</v>
      </c>
    </row>
    <row r="219" spans="1:15" ht="70.05" customHeight="1" outlineLevel="1">
      <c r="A219" s="109" t="s">
        <v>3241</v>
      </c>
      <c r="B219" s="110" t="s">
        <v>3242</v>
      </c>
      <c r="C219" s="110" t="s">
        <v>3243</v>
      </c>
      <c r="D219" s="111" t="s">
        <v>3115</v>
      </c>
      <c r="E219" s="111" t="s">
        <v>417</v>
      </c>
      <c r="F219" s="109" t="s">
        <v>346</v>
      </c>
      <c r="G219" s="109"/>
      <c r="H219" s="109"/>
      <c r="I219" s="109" t="s">
        <v>346</v>
      </c>
      <c r="J219" s="109"/>
      <c r="K219" s="109"/>
      <c r="L219" s="109" t="s">
        <v>346</v>
      </c>
      <c r="M219" s="109"/>
      <c r="N219" s="109"/>
      <c r="O219" s="113" t="s">
        <v>2816</v>
      </c>
    </row>
  </sheetData>
  <mergeCells count="3">
    <mergeCell ref="B3:E3"/>
    <mergeCell ref="B2:E2"/>
    <mergeCell ref="B4:E4"/>
  </mergeCells>
  <dataValidations count="1">
    <dataValidation type="list" allowBlank="1" sqref="F12:F219 I12:I219 L12:L219" xr:uid="{00000000-0002-0000-0600-000000000000}">
      <formula1>$R$2:$R$5</formula1>
    </dataValidation>
  </dataValidations>
  <pageMargins left="0.74791666666666667" right="0.25" top="0.75" bottom="0.98402777777777772" header="0.5" footer="0.5"/>
  <pageSetup paperSize="9" firstPageNumber="0" orientation="landscape" horizontalDpi="300" verticalDpi="30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R708"/>
  <sheetViews>
    <sheetView workbookViewId="0"/>
  </sheetViews>
  <sheetFormatPr defaultColWidth="9" defaultRowHeight="13.2" outlineLevelRow="1" outlineLevelCol="1"/>
  <cols>
    <col min="1" max="1" width="17" style="1" customWidth="1"/>
    <col min="2" max="2" width="34.44140625" style="1" customWidth="1"/>
    <col min="3" max="3" width="34.109375" style="1" customWidth="1"/>
    <col min="4" max="4" width="34.6640625" style="1" customWidth="1"/>
    <col min="5" max="5" width="28.33203125" style="1" customWidth="1"/>
    <col min="6" max="6" width="9.33203125" style="1" customWidth="1"/>
    <col min="7" max="7" width="10.6640625" style="1" customWidth="1" outlineLevel="1"/>
    <col min="8" max="8" width="7" style="1" bestFit="1" customWidth="1" outlineLevel="1"/>
    <col min="9" max="9" width="9.33203125" style="1" customWidth="1"/>
    <col min="10" max="10" width="10.6640625" style="1" customWidth="1" outlineLevel="1"/>
    <col min="11" max="11" width="7" style="1" bestFit="1" customWidth="1" outlineLevel="1"/>
    <col min="12" max="12" width="9.33203125" style="1" customWidth="1"/>
    <col min="13" max="13" width="10.6640625" style="1" customWidth="1" outlineLevel="1"/>
    <col min="14" max="14" width="7" style="1" bestFit="1" customWidth="1" outlineLevel="1"/>
    <col min="15" max="15" width="28.6640625" style="1" customWidth="1"/>
    <col min="16" max="16" width="10.109375" style="1" customWidth="1"/>
    <col min="17" max="17" width="8.109375" style="23" customWidth="1"/>
    <col min="18" max="18" width="7.6640625" style="1" hidden="1" customWidth="1"/>
    <col min="19" max="20" width="9" style="1" customWidth="1"/>
    <col min="21" max="16384" width="9" style="1"/>
  </cols>
  <sheetData>
    <row r="1" spans="1:18" ht="13.95" customHeight="1" thickBot="1"/>
    <row r="2" spans="1:18" s="25" customFormat="1" ht="15" customHeight="1">
      <c r="A2" s="73" t="s">
        <v>353</v>
      </c>
      <c r="B2" s="130" t="s">
        <v>148</v>
      </c>
      <c r="C2" s="131"/>
      <c r="D2" s="131"/>
      <c r="E2" s="132"/>
      <c r="F2" s="63"/>
      <c r="G2" s="57"/>
      <c r="H2" s="9"/>
      <c r="I2" s="63"/>
      <c r="J2" s="57"/>
      <c r="K2" s="9"/>
      <c r="L2" s="63"/>
      <c r="M2" s="57"/>
      <c r="N2" s="9"/>
      <c r="O2" s="9"/>
      <c r="P2" s="9"/>
      <c r="Q2" s="24"/>
      <c r="R2" s="25" t="s">
        <v>344</v>
      </c>
    </row>
    <row r="3" spans="1:18" s="25" customFormat="1" ht="13.95" customHeight="1">
      <c r="A3" s="74" t="s">
        <v>354</v>
      </c>
      <c r="B3" s="127" t="s">
        <v>3244</v>
      </c>
      <c r="C3" s="128"/>
      <c r="D3" s="128"/>
      <c r="E3" s="129"/>
      <c r="F3" s="63"/>
      <c r="G3" s="57"/>
      <c r="H3" s="9"/>
      <c r="I3" s="63"/>
      <c r="J3" s="57"/>
      <c r="K3" s="9"/>
      <c r="L3" s="63"/>
      <c r="M3" s="57"/>
      <c r="N3" s="9"/>
      <c r="O3" s="9"/>
      <c r="P3" s="9"/>
      <c r="Q3" s="24"/>
      <c r="R3" s="25" t="s">
        <v>345</v>
      </c>
    </row>
    <row r="4" spans="1:18" s="25" customFormat="1" ht="18" customHeight="1">
      <c r="A4" s="74" t="s">
        <v>356</v>
      </c>
      <c r="B4" s="127">
        <f>COUNTA(F12:F1000)</f>
        <v>662</v>
      </c>
      <c r="C4" s="128"/>
      <c r="D4" s="128"/>
      <c r="E4" s="129"/>
      <c r="F4" s="63"/>
      <c r="G4" s="57"/>
      <c r="H4" s="9"/>
      <c r="I4" s="63"/>
      <c r="J4" s="57"/>
      <c r="K4" s="9"/>
      <c r="L4" s="63"/>
      <c r="M4" s="57"/>
      <c r="N4" s="9"/>
      <c r="O4" s="9"/>
      <c r="P4" s="9"/>
      <c r="Q4" s="24"/>
      <c r="R4" s="25" t="s">
        <v>346</v>
      </c>
    </row>
    <row r="5" spans="1:18" s="25" customFormat="1" ht="19.5" customHeight="1">
      <c r="A5" s="67" t="s">
        <v>357</v>
      </c>
      <c r="B5" s="65" t="s">
        <v>344</v>
      </c>
      <c r="C5" s="65" t="s">
        <v>345</v>
      </c>
      <c r="D5" s="65" t="s">
        <v>346</v>
      </c>
      <c r="E5" s="68" t="s">
        <v>347</v>
      </c>
      <c r="F5" s="58"/>
      <c r="G5" s="58"/>
      <c r="H5" s="26"/>
      <c r="I5" s="58"/>
      <c r="J5" s="58"/>
      <c r="K5" s="26"/>
      <c r="L5" s="58"/>
      <c r="M5" s="58"/>
      <c r="N5" s="26"/>
      <c r="O5" s="26"/>
      <c r="P5" s="26"/>
      <c r="Q5" s="27"/>
      <c r="R5" s="25" t="s">
        <v>347</v>
      </c>
    </row>
    <row r="6" spans="1:18" s="25" customFormat="1" ht="15" customHeight="1">
      <c r="A6" s="67" t="s">
        <v>358</v>
      </c>
      <c r="B6" s="66">
        <f>COUNTIF($F$10:$F$998,B$5)</f>
        <v>151</v>
      </c>
      <c r="C6" s="66">
        <f>COUNTIF($F$10:$F$998,C$5)</f>
        <v>0</v>
      </c>
      <c r="D6" s="66">
        <f>COUNTIF($F$10:$F$998,D$5)</f>
        <v>511</v>
      </c>
      <c r="E6" s="72">
        <f>COUNTIF($F$10:$F$998,E$5)</f>
        <v>0</v>
      </c>
      <c r="F6" s="59"/>
      <c r="G6" s="59"/>
      <c r="H6" s="26"/>
      <c r="I6" s="59"/>
      <c r="J6" s="59"/>
      <c r="K6" s="26"/>
      <c r="L6" s="59"/>
      <c r="M6" s="59"/>
      <c r="N6" s="26"/>
      <c r="O6" s="26"/>
      <c r="P6" s="26"/>
      <c r="Q6" s="27"/>
    </row>
    <row r="7" spans="1:18" s="25" customFormat="1" ht="15" customHeight="1">
      <c r="A7" s="67" t="s">
        <v>359</v>
      </c>
      <c r="B7" s="66">
        <f>COUNTIF($I$10:$I$998,B$5)</f>
        <v>0</v>
      </c>
      <c r="C7" s="66">
        <f>COUNTIF($I$10:$I$998,C$5)</f>
        <v>0</v>
      </c>
      <c r="D7" s="66">
        <f>COUNTIF($I$10:$I$998,D$5)</f>
        <v>662</v>
      </c>
      <c r="E7" s="72">
        <f>COUNTIF($I$10:$I$998,E$5)</f>
        <v>0</v>
      </c>
      <c r="F7" s="59"/>
      <c r="G7" s="59"/>
      <c r="H7" s="26"/>
      <c r="I7" s="59"/>
      <c r="J7" s="59"/>
      <c r="K7" s="26"/>
      <c r="L7" s="59"/>
      <c r="M7" s="59"/>
      <c r="N7" s="26"/>
      <c r="O7" s="26"/>
      <c r="P7" s="26"/>
      <c r="Q7" s="27"/>
    </row>
    <row r="8" spans="1:18" s="25" customFormat="1" ht="15" customHeight="1" thickBot="1">
      <c r="A8" s="69" t="s">
        <v>360</v>
      </c>
      <c r="B8" s="70">
        <f>COUNTIF($L$10:$L$998,B$5)</f>
        <v>0</v>
      </c>
      <c r="C8" s="70">
        <f>COUNTIF($L$10:$L$998,C$5)</f>
        <v>0</v>
      </c>
      <c r="D8" s="70">
        <f>COUNTIF($L$10:$L$998,D$5)</f>
        <v>662</v>
      </c>
      <c r="E8" s="71">
        <f>COUNTIF($L$10:$L$998,E$5)</f>
        <v>0</v>
      </c>
      <c r="F8" s="59"/>
      <c r="G8" s="59"/>
      <c r="H8" s="26"/>
      <c r="I8" s="59"/>
      <c r="J8" s="59"/>
      <c r="K8" s="26"/>
      <c r="L8" s="59"/>
      <c r="M8" s="59"/>
      <c r="N8" s="26"/>
      <c r="O8" s="26"/>
      <c r="P8" s="26"/>
      <c r="Q8" s="27"/>
    </row>
    <row r="9" spans="1:18" s="25" customFormat="1" ht="15" customHeight="1">
      <c r="A9" s="26"/>
      <c r="B9" s="26"/>
      <c r="C9" s="26"/>
      <c r="D9" s="26"/>
      <c r="E9" s="26"/>
      <c r="F9" s="28"/>
      <c r="G9" s="26"/>
      <c r="H9" s="26"/>
      <c r="I9" s="28"/>
      <c r="J9" s="26"/>
      <c r="K9" s="26"/>
      <c r="L9" s="28"/>
      <c r="M9" s="26"/>
      <c r="N9" s="26"/>
      <c r="O9" s="26"/>
      <c r="P9" s="26"/>
      <c r="Q9" s="27"/>
    </row>
    <row r="10" spans="1:18" s="25" customFormat="1" ht="25.5" customHeight="1">
      <c r="A10" s="64" t="s">
        <v>361</v>
      </c>
      <c r="B10" s="64" t="s">
        <v>362</v>
      </c>
      <c r="C10" s="64" t="s">
        <v>363</v>
      </c>
      <c r="D10" s="64" t="s">
        <v>364</v>
      </c>
      <c r="E10" s="64" t="s">
        <v>365</v>
      </c>
      <c r="F10" s="64" t="s">
        <v>358</v>
      </c>
      <c r="G10" s="64" t="s">
        <v>366</v>
      </c>
      <c r="H10" s="64" t="s">
        <v>367</v>
      </c>
      <c r="I10" s="64" t="s">
        <v>359</v>
      </c>
      <c r="J10" s="64" t="s">
        <v>366</v>
      </c>
      <c r="K10" s="64" t="s">
        <v>367</v>
      </c>
      <c r="L10" s="64" t="s">
        <v>360</v>
      </c>
      <c r="M10" s="64" t="s">
        <v>366</v>
      </c>
      <c r="N10" s="64" t="s">
        <v>367</v>
      </c>
      <c r="O10" s="64" t="s">
        <v>368</v>
      </c>
      <c r="Q10" s="29"/>
    </row>
    <row r="11" spans="1:18" s="25" customFormat="1" ht="15.75" customHeight="1">
      <c r="A11" s="60" t="s">
        <v>147</v>
      </c>
      <c r="B11" s="60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2"/>
      <c r="Q11" s="30"/>
    </row>
    <row r="12" spans="1:18" s="32" customFormat="1" ht="70.05" customHeight="1" outlineLevel="1">
      <c r="A12" s="109" t="s">
        <v>3245</v>
      </c>
      <c r="B12" s="110" t="s">
        <v>3246</v>
      </c>
      <c r="C12" s="110" t="s">
        <v>3247</v>
      </c>
      <c r="D12" s="111" t="s">
        <v>3248</v>
      </c>
      <c r="E12" s="111" t="s">
        <v>3249</v>
      </c>
      <c r="F12" s="109" t="s">
        <v>346</v>
      </c>
      <c r="G12" s="109"/>
      <c r="H12" s="109"/>
      <c r="I12" s="109" t="s">
        <v>346</v>
      </c>
      <c r="J12" s="109"/>
      <c r="K12" s="109"/>
      <c r="L12" s="109" t="s">
        <v>346</v>
      </c>
      <c r="M12" s="109"/>
      <c r="N12" s="109"/>
      <c r="O12" s="113" t="s">
        <v>2816</v>
      </c>
      <c r="Q12" s="31"/>
    </row>
    <row r="13" spans="1:18" ht="70.05" customHeight="1" outlineLevel="1">
      <c r="A13" s="109" t="s">
        <v>3250</v>
      </c>
      <c r="B13" s="110" t="s">
        <v>3251</v>
      </c>
      <c r="C13" s="110" t="s">
        <v>3252</v>
      </c>
      <c r="D13" s="111" t="s">
        <v>3248</v>
      </c>
      <c r="E13" s="111" t="s">
        <v>3253</v>
      </c>
      <c r="F13" s="109" t="s">
        <v>346</v>
      </c>
      <c r="G13" s="109"/>
      <c r="H13" s="109"/>
      <c r="I13" s="109" t="s">
        <v>346</v>
      </c>
      <c r="J13" s="109"/>
      <c r="K13" s="109"/>
      <c r="L13" s="109" t="s">
        <v>346</v>
      </c>
      <c r="M13" s="109"/>
      <c r="N13" s="109"/>
      <c r="O13" s="113" t="s">
        <v>2816</v>
      </c>
      <c r="Q13" s="31"/>
    </row>
    <row r="14" spans="1:18" ht="70.05" customHeight="1" outlineLevel="1">
      <c r="A14" s="109" t="s">
        <v>3254</v>
      </c>
      <c r="B14" s="110" t="s">
        <v>3255</v>
      </c>
      <c r="C14" s="110" t="s">
        <v>3256</v>
      </c>
      <c r="D14" s="111" t="s">
        <v>3248</v>
      </c>
      <c r="E14" s="111" t="s">
        <v>3257</v>
      </c>
      <c r="F14" s="109" t="s">
        <v>346</v>
      </c>
      <c r="G14" s="109"/>
      <c r="H14" s="109"/>
      <c r="I14" s="109" t="s">
        <v>346</v>
      </c>
      <c r="J14" s="109"/>
      <c r="K14" s="109"/>
      <c r="L14" s="109" t="s">
        <v>346</v>
      </c>
      <c r="M14" s="109"/>
      <c r="N14" s="109"/>
      <c r="O14" s="113" t="s">
        <v>2816</v>
      </c>
      <c r="Q14" s="31"/>
    </row>
    <row r="15" spans="1:18" s="25" customFormat="1" ht="70.05" customHeight="1" outlineLevel="1">
      <c r="A15" s="109" t="s">
        <v>3258</v>
      </c>
      <c r="B15" s="110" t="s">
        <v>3259</v>
      </c>
      <c r="C15" s="110" t="s">
        <v>3260</v>
      </c>
      <c r="D15" s="111" t="s">
        <v>3261</v>
      </c>
      <c r="E15" s="111" t="s">
        <v>3262</v>
      </c>
      <c r="F15" s="109" t="s">
        <v>346</v>
      </c>
      <c r="G15" s="109"/>
      <c r="H15" s="109"/>
      <c r="I15" s="109" t="s">
        <v>346</v>
      </c>
      <c r="J15" s="109"/>
      <c r="K15" s="109"/>
      <c r="L15" s="109" t="s">
        <v>346</v>
      </c>
      <c r="M15" s="109"/>
      <c r="N15" s="109"/>
      <c r="O15" s="113" t="s">
        <v>2816</v>
      </c>
      <c r="Q15" s="30"/>
    </row>
    <row r="16" spans="1:18" ht="70.05" customHeight="1" outlineLevel="1">
      <c r="A16" s="109" t="s">
        <v>3263</v>
      </c>
      <c r="B16" s="110" t="s">
        <v>3264</v>
      </c>
      <c r="C16" s="110" t="s">
        <v>3265</v>
      </c>
      <c r="D16" s="111" t="s">
        <v>3266</v>
      </c>
      <c r="E16" s="111" t="s">
        <v>3262</v>
      </c>
      <c r="F16" s="109" t="s">
        <v>346</v>
      </c>
      <c r="G16" s="109"/>
      <c r="H16" s="109"/>
      <c r="I16" s="109" t="s">
        <v>346</v>
      </c>
      <c r="J16" s="109"/>
      <c r="K16" s="109"/>
      <c r="L16" s="109" t="s">
        <v>346</v>
      </c>
      <c r="M16" s="109"/>
      <c r="N16" s="109"/>
      <c r="O16" s="113" t="s">
        <v>2816</v>
      </c>
      <c r="Q16" s="31"/>
    </row>
    <row r="17" spans="1:17" ht="70.05" customHeight="1" outlineLevel="1">
      <c r="A17" s="109" t="s">
        <v>3267</v>
      </c>
      <c r="B17" s="110" t="s">
        <v>3268</v>
      </c>
      <c r="C17" s="110" t="s">
        <v>3269</v>
      </c>
      <c r="D17" s="111" t="s">
        <v>3270</v>
      </c>
      <c r="E17" s="111" t="s">
        <v>3249</v>
      </c>
      <c r="F17" s="109" t="s">
        <v>346</v>
      </c>
      <c r="G17" s="109"/>
      <c r="H17" s="109"/>
      <c r="I17" s="109" t="s">
        <v>346</v>
      </c>
      <c r="J17" s="109"/>
      <c r="K17" s="109"/>
      <c r="L17" s="109" t="s">
        <v>346</v>
      </c>
      <c r="M17" s="109"/>
      <c r="N17" s="109"/>
      <c r="O17" s="113" t="s">
        <v>2816</v>
      </c>
    </row>
    <row r="18" spans="1:17" s="25" customFormat="1" ht="70.05" customHeight="1" outlineLevel="1">
      <c r="A18" s="109" t="s">
        <v>3271</v>
      </c>
      <c r="B18" s="110" t="s">
        <v>3272</v>
      </c>
      <c r="C18" s="110" t="s">
        <v>3273</v>
      </c>
      <c r="D18" s="111" t="s">
        <v>3270</v>
      </c>
      <c r="E18" s="111" t="s">
        <v>3249</v>
      </c>
      <c r="F18" s="109" t="s">
        <v>346</v>
      </c>
      <c r="G18" s="109"/>
      <c r="H18" s="109"/>
      <c r="I18" s="109" t="s">
        <v>346</v>
      </c>
      <c r="J18" s="109"/>
      <c r="K18" s="109"/>
      <c r="L18" s="109" t="s">
        <v>346</v>
      </c>
      <c r="M18" s="109"/>
      <c r="N18" s="109"/>
      <c r="O18" s="113" t="s">
        <v>2816</v>
      </c>
      <c r="Q18" s="30"/>
    </row>
    <row r="19" spans="1:17" ht="70.05" customHeight="1" outlineLevel="1">
      <c r="A19" s="109" t="s">
        <v>3274</v>
      </c>
      <c r="B19" s="110" t="s">
        <v>3275</v>
      </c>
      <c r="C19" s="110" t="s">
        <v>3276</v>
      </c>
      <c r="D19" s="111" t="s">
        <v>3270</v>
      </c>
      <c r="E19" s="111" t="s">
        <v>3249</v>
      </c>
      <c r="F19" s="109" t="s">
        <v>346</v>
      </c>
      <c r="G19" s="109"/>
      <c r="H19" s="109"/>
      <c r="I19" s="109" t="s">
        <v>346</v>
      </c>
      <c r="J19" s="109"/>
      <c r="K19" s="109"/>
      <c r="L19" s="109" t="s">
        <v>346</v>
      </c>
      <c r="M19" s="109"/>
      <c r="N19" s="109"/>
      <c r="O19" s="113" t="s">
        <v>2816</v>
      </c>
      <c r="Q19" s="31"/>
    </row>
    <row r="20" spans="1:17" ht="70.05" customHeight="1" outlineLevel="1">
      <c r="A20" s="109" t="s">
        <v>3277</v>
      </c>
      <c r="B20" s="110" t="s">
        <v>3278</v>
      </c>
      <c r="C20" s="110" t="s">
        <v>3279</v>
      </c>
      <c r="D20" s="111" t="s">
        <v>3270</v>
      </c>
      <c r="E20" s="111" t="s">
        <v>3249</v>
      </c>
      <c r="F20" s="109" t="s">
        <v>346</v>
      </c>
      <c r="G20" s="109"/>
      <c r="H20" s="109"/>
      <c r="I20" s="109" t="s">
        <v>346</v>
      </c>
      <c r="J20" s="109"/>
      <c r="K20" s="109"/>
      <c r="L20" s="109" t="s">
        <v>346</v>
      </c>
      <c r="M20" s="109"/>
      <c r="N20" s="109"/>
      <c r="O20" s="113" t="s">
        <v>2816</v>
      </c>
    </row>
    <row r="21" spans="1:17" ht="70.05" customHeight="1" outlineLevel="1">
      <c r="A21" s="109" t="s">
        <v>3280</v>
      </c>
      <c r="B21" s="110" t="s">
        <v>3281</v>
      </c>
      <c r="C21" s="110" t="s">
        <v>3282</v>
      </c>
      <c r="D21" s="111" t="s">
        <v>3270</v>
      </c>
      <c r="E21" s="111" t="s">
        <v>3249</v>
      </c>
      <c r="F21" s="109" t="s">
        <v>346</v>
      </c>
      <c r="G21" s="109"/>
      <c r="H21" s="109"/>
      <c r="I21" s="109" t="s">
        <v>346</v>
      </c>
      <c r="J21" s="109"/>
      <c r="K21" s="109"/>
      <c r="L21" s="109" t="s">
        <v>346</v>
      </c>
      <c r="M21" s="109"/>
      <c r="N21" s="109"/>
      <c r="O21" s="113" t="s">
        <v>2816</v>
      </c>
    </row>
    <row r="22" spans="1:17" ht="70.05" customHeight="1" outlineLevel="1">
      <c r="A22" s="109" t="s">
        <v>3283</v>
      </c>
      <c r="B22" s="110" t="s">
        <v>3284</v>
      </c>
      <c r="C22" s="110" t="s">
        <v>3285</v>
      </c>
      <c r="D22" s="111" t="s">
        <v>3270</v>
      </c>
      <c r="E22" s="111" t="s">
        <v>3249</v>
      </c>
      <c r="F22" s="109" t="s">
        <v>346</v>
      </c>
      <c r="G22" s="109"/>
      <c r="H22" s="109"/>
      <c r="I22" s="109" t="s">
        <v>346</v>
      </c>
      <c r="J22" s="109"/>
      <c r="K22" s="109"/>
      <c r="L22" s="109" t="s">
        <v>346</v>
      </c>
      <c r="M22" s="109"/>
      <c r="N22" s="109"/>
      <c r="O22" s="113" t="s">
        <v>2816</v>
      </c>
    </row>
    <row r="23" spans="1:17" ht="70.05" customHeight="1" outlineLevel="1">
      <c r="A23" s="109" t="s">
        <v>3286</v>
      </c>
      <c r="B23" s="110" t="s">
        <v>3287</v>
      </c>
      <c r="C23" s="110" t="s">
        <v>3288</v>
      </c>
      <c r="D23" s="111" t="s">
        <v>3289</v>
      </c>
      <c r="E23" s="111" t="s">
        <v>3290</v>
      </c>
      <c r="F23" s="109" t="s">
        <v>346</v>
      </c>
      <c r="G23" s="109"/>
      <c r="H23" s="109"/>
      <c r="I23" s="109" t="s">
        <v>346</v>
      </c>
      <c r="J23" s="109"/>
      <c r="K23" s="109"/>
      <c r="L23" s="109" t="s">
        <v>346</v>
      </c>
      <c r="M23" s="109"/>
      <c r="N23" s="109"/>
      <c r="O23" s="113" t="s">
        <v>2816</v>
      </c>
    </row>
    <row r="24" spans="1:17" ht="70.05" customHeight="1" outlineLevel="1">
      <c r="A24" s="109" t="s">
        <v>3291</v>
      </c>
      <c r="B24" s="110" t="s">
        <v>3287</v>
      </c>
      <c r="C24" s="110" t="s">
        <v>3288</v>
      </c>
      <c r="D24" s="111" t="s">
        <v>3289</v>
      </c>
      <c r="E24" s="111" t="s">
        <v>3292</v>
      </c>
      <c r="F24" s="109" t="s">
        <v>346</v>
      </c>
      <c r="G24" s="109"/>
      <c r="H24" s="109"/>
      <c r="I24" s="109" t="s">
        <v>346</v>
      </c>
      <c r="J24" s="109"/>
      <c r="K24" s="109"/>
      <c r="L24" s="109" t="s">
        <v>346</v>
      </c>
      <c r="M24" s="109"/>
      <c r="N24" s="109"/>
      <c r="O24" s="113" t="s">
        <v>2816</v>
      </c>
    </row>
    <row r="25" spans="1:17" ht="70.05" customHeight="1" outlineLevel="1">
      <c r="A25" s="109" t="s">
        <v>3293</v>
      </c>
      <c r="B25" s="110" t="s">
        <v>3287</v>
      </c>
      <c r="C25" s="110" t="s">
        <v>3288</v>
      </c>
      <c r="D25" s="111" t="s">
        <v>3294</v>
      </c>
      <c r="E25" s="111" t="s">
        <v>3295</v>
      </c>
      <c r="F25" s="109" t="s">
        <v>346</v>
      </c>
      <c r="G25" s="109"/>
      <c r="H25" s="109"/>
      <c r="I25" s="109" t="s">
        <v>346</v>
      </c>
      <c r="J25" s="109"/>
      <c r="K25" s="109"/>
      <c r="L25" s="109" t="s">
        <v>346</v>
      </c>
      <c r="M25" s="109"/>
      <c r="N25" s="109"/>
      <c r="O25" s="113" t="s">
        <v>2816</v>
      </c>
    </row>
    <row r="26" spans="1:17" ht="70.05" customHeight="1" outlineLevel="1">
      <c r="A26" s="109" t="s">
        <v>3296</v>
      </c>
      <c r="B26" s="110" t="s">
        <v>3287</v>
      </c>
      <c r="C26" s="110" t="s">
        <v>3288</v>
      </c>
      <c r="D26" s="111" t="s">
        <v>3294</v>
      </c>
      <c r="E26" s="111" t="s">
        <v>3297</v>
      </c>
      <c r="F26" s="109" t="s">
        <v>346</v>
      </c>
      <c r="G26" s="109"/>
      <c r="H26" s="109"/>
      <c r="I26" s="109" t="s">
        <v>346</v>
      </c>
      <c r="J26" s="109"/>
      <c r="K26" s="109"/>
      <c r="L26" s="109" t="s">
        <v>346</v>
      </c>
      <c r="M26" s="109"/>
      <c r="N26" s="109"/>
      <c r="O26" s="113" t="s">
        <v>2816</v>
      </c>
    </row>
    <row r="27" spans="1:17" ht="70.05" customHeight="1" outlineLevel="1">
      <c r="A27" s="109" t="s">
        <v>3298</v>
      </c>
      <c r="B27" s="110" t="s">
        <v>3287</v>
      </c>
      <c r="C27" s="110" t="s">
        <v>3288</v>
      </c>
      <c r="D27" s="111" t="s">
        <v>3299</v>
      </c>
      <c r="E27" s="111" t="s">
        <v>3300</v>
      </c>
      <c r="F27" s="109" t="s">
        <v>346</v>
      </c>
      <c r="G27" s="109"/>
      <c r="H27" s="109"/>
      <c r="I27" s="109" t="s">
        <v>346</v>
      </c>
      <c r="J27" s="109"/>
      <c r="K27" s="109"/>
      <c r="L27" s="109" t="s">
        <v>346</v>
      </c>
      <c r="M27" s="109"/>
      <c r="N27" s="109"/>
      <c r="O27" s="113" t="s">
        <v>2816</v>
      </c>
    </row>
    <row r="28" spans="1:17" ht="70.05" customHeight="1" outlineLevel="1">
      <c r="A28" s="109" t="s">
        <v>3301</v>
      </c>
      <c r="B28" s="110" t="s">
        <v>3287</v>
      </c>
      <c r="C28" s="110" t="s">
        <v>3288</v>
      </c>
      <c r="D28" s="111" t="s">
        <v>3302</v>
      </c>
      <c r="E28" s="111" t="s">
        <v>3303</v>
      </c>
      <c r="F28" s="109" t="s">
        <v>346</v>
      </c>
      <c r="G28" s="109"/>
      <c r="H28" s="109"/>
      <c r="I28" s="109" t="s">
        <v>346</v>
      </c>
      <c r="J28" s="109"/>
      <c r="K28" s="109"/>
      <c r="L28" s="109" t="s">
        <v>346</v>
      </c>
      <c r="M28" s="109"/>
      <c r="N28" s="109"/>
      <c r="O28" s="113" t="s">
        <v>2816</v>
      </c>
    </row>
    <row r="29" spans="1:17" ht="70.05" customHeight="1" outlineLevel="1">
      <c r="A29" s="109" t="s">
        <v>3304</v>
      </c>
      <c r="B29" s="110" t="s">
        <v>3305</v>
      </c>
      <c r="C29" s="110" t="s">
        <v>3306</v>
      </c>
      <c r="D29" s="111" t="s">
        <v>3307</v>
      </c>
      <c r="E29" s="111" t="s">
        <v>3308</v>
      </c>
      <c r="F29" s="109" t="s">
        <v>346</v>
      </c>
      <c r="G29" s="109"/>
      <c r="H29" s="109"/>
      <c r="I29" s="109" t="s">
        <v>346</v>
      </c>
      <c r="J29" s="109"/>
      <c r="K29" s="109"/>
      <c r="L29" s="109" t="s">
        <v>346</v>
      </c>
      <c r="M29" s="109"/>
      <c r="N29" s="109"/>
      <c r="O29" s="113" t="s">
        <v>2816</v>
      </c>
    </row>
    <row r="30" spans="1:17" ht="15.75" customHeight="1">
      <c r="A30" s="60" t="s">
        <v>151</v>
      </c>
      <c r="B30" s="60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2"/>
    </row>
    <row r="31" spans="1:17" ht="70.05" customHeight="1" outlineLevel="1">
      <c r="A31" s="109" t="s">
        <v>3309</v>
      </c>
      <c r="B31" s="110" t="s">
        <v>3310</v>
      </c>
      <c r="C31" s="110" t="s">
        <v>3311</v>
      </c>
      <c r="D31" s="111" t="s">
        <v>3312</v>
      </c>
      <c r="E31" s="111" t="s">
        <v>3313</v>
      </c>
      <c r="F31" s="109" t="s">
        <v>346</v>
      </c>
      <c r="G31" s="109"/>
      <c r="H31" s="109"/>
      <c r="I31" s="109" t="s">
        <v>346</v>
      </c>
      <c r="J31" s="109"/>
      <c r="K31" s="109"/>
      <c r="L31" s="109" t="s">
        <v>346</v>
      </c>
      <c r="M31" s="109"/>
      <c r="N31" s="109"/>
      <c r="O31" s="113" t="s">
        <v>2816</v>
      </c>
    </row>
    <row r="32" spans="1:17" ht="70.05" customHeight="1" outlineLevel="1">
      <c r="A32" s="109" t="s">
        <v>3314</v>
      </c>
      <c r="B32" s="110" t="s">
        <v>3315</v>
      </c>
      <c r="C32" s="110" t="s">
        <v>3316</v>
      </c>
      <c r="D32" s="111" t="s">
        <v>3317</v>
      </c>
      <c r="E32" s="111" t="s">
        <v>3313</v>
      </c>
      <c r="F32" s="109" t="s">
        <v>346</v>
      </c>
      <c r="G32" s="109"/>
      <c r="H32" s="109"/>
      <c r="I32" s="109" t="s">
        <v>346</v>
      </c>
      <c r="J32" s="109"/>
      <c r="K32" s="109"/>
      <c r="L32" s="109" t="s">
        <v>346</v>
      </c>
      <c r="M32" s="109"/>
      <c r="N32" s="109"/>
      <c r="O32" s="113" t="s">
        <v>2816</v>
      </c>
    </row>
    <row r="33" spans="1:15" ht="70.05" customHeight="1" outlineLevel="1">
      <c r="A33" s="109" t="s">
        <v>3318</v>
      </c>
      <c r="B33" s="110" t="s">
        <v>3319</v>
      </c>
      <c r="C33" s="110" t="s">
        <v>3320</v>
      </c>
      <c r="D33" s="111" t="s">
        <v>3321</v>
      </c>
      <c r="E33" s="111" t="s">
        <v>3313</v>
      </c>
      <c r="F33" s="109" t="s">
        <v>346</v>
      </c>
      <c r="G33" s="109"/>
      <c r="H33" s="109"/>
      <c r="I33" s="109" t="s">
        <v>346</v>
      </c>
      <c r="J33" s="109"/>
      <c r="K33" s="109"/>
      <c r="L33" s="109" t="s">
        <v>346</v>
      </c>
      <c r="M33" s="109"/>
      <c r="N33" s="109"/>
      <c r="O33" s="113" t="s">
        <v>2816</v>
      </c>
    </row>
    <row r="34" spans="1:15" ht="70.05" customHeight="1" outlineLevel="1">
      <c r="A34" s="109" t="s">
        <v>3322</v>
      </c>
      <c r="B34" s="110" t="s">
        <v>3323</v>
      </c>
      <c r="C34" s="110" t="s">
        <v>3324</v>
      </c>
      <c r="D34" s="111" t="s">
        <v>3325</v>
      </c>
      <c r="E34" s="111" t="s">
        <v>3313</v>
      </c>
      <c r="F34" s="109" t="s">
        <v>346</v>
      </c>
      <c r="G34" s="109"/>
      <c r="H34" s="109"/>
      <c r="I34" s="109" t="s">
        <v>346</v>
      </c>
      <c r="J34" s="109"/>
      <c r="K34" s="109"/>
      <c r="L34" s="109" t="s">
        <v>346</v>
      </c>
      <c r="M34" s="109"/>
      <c r="N34" s="109"/>
      <c r="O34" s="113" t="s">
        <v>2816</v>
      </c>
    </row>
    <row r="35" spans="1:15" ht="70.05" customHeight="1" outlineLevel="1">
      <c r="A35" s="109" t="s">
        <v>3326</v>
      </c>
      <c r="B35" s="110" t="s">
        <v>3327</v>
      </c>
      <c r="C35" s="110" t="s">
        <v>3328</v>
      </c>
      <c r="D35" s="111" t="s">
        <v>3329</v>
      </c>
      <c r="E35" s="111" t="s">
        <v>3313</v>
      </c>
      <c r="F35" s="109" t="s">
        <v>346</v>
      </c>
      <c r="G35" s="109"/>
      <c r="H35" s="109"/>
      <c r="I35" s="109" t="s">
        <v>346</v>
      </c>
      <c r="J35" s="109"/>
      <c r="K35" s="109"/>
      <c r="L35" s="109" t="s">
        <v>346</v>
      </c>
      <c r="M35" s="109"/>
      <c r="N35" s="109"/>
      <c r="O35" s="113" t="s">
        <v>2816</v>
      </c>
    </row>
    <row r="36" spans="1:15" ht="70.05" customHeight="1" outlineLevel="1">
      <c r="A36" s="109" t="s">
        <v>3330</v>
      </c>
      <c r="B36" s="110" t="s">
        <v>3331</v>
      </c>
      <c r="C36" s="110" t="s">
        <v>3332</v>
      </c>
      <c r="D36" s="111" t="s">
        <v>3333</v>
      </c>
      <c r="E36" s="111" t="s">
        <v>3334</v>
      </c>
      <c r="F36" s="109" t="s">
        <v>346</v>
      </c>
      <c r="G36" s="109"/>
      <c r="H36" s="109"/>
      <c r="I36" s="109" t="s">
        <v>346</v>
      </c>
      <c r="J36" s="109"/>
      <c r="K36" s="109"/>
      <c r="L36" s="109" t="s">
        <v>346</v>
      </c>
      <c r="M36" s="109"/>
      <c r="N36" s="109"/>
      <c r="O36" s="113" t="s">
        <v>2816</v>
      </c>
    </row>
    <row r="37" spans="1:15" ht="70.05" customHeight="1" outlineLevel="1">
      <c r="A37" s="109" t="s">
        <v>3335</v>
      </c>
      <c r="B37" s="110" t="s">
        <v>3336</v>
      </c>
      <c r="C37" s="110" t="s">
        <v>3337</v>
      </c>
      <c r="D37" s="111" t="s">
        <v>3338</v>
      </c>
      <c r="E37" s="111" t="s">
        <v>3339</v>
      </c>
      <c r="F37" s="109" t="s">
        <v>346</v>
      </c>
      <c r="G37" s="109"/>
      <c r="H37" s="109"/>
      <c r="I37" s="109" t="s">
        <v>346</v>
      </c>
      <c r="J37" s="109"/>
      <c r="K37" s="109"/>
      <c r="L37" s="109" t="s">
        <v>346</v>
      </c>
      <c r="M37" s="109"/>
      <c r="N37" s="109"/>
      <c r="O37" s="113" t="s">
        <v>2816</v>
      </c>
    </row>
    <row r="38" spans="1:15" ht="70.05" customHeight="1" outlineLevel="1">
      <c r="A38" s="109" t="s">
        <v>3340</v>
      </c>
      <c r="B38" s="110" t="s">
        <v>3341</v>
      </c>
      <c r="C38" s="110" t="s">
        <v>3342</v>
      </c>
      <c r="D38" s="111" t="s">
        <v>3343</v>
      </c>
      <c r="E38" s="111" t="s">
        <v>3292</v>
      </c>
      <c r="F38" s="109" t="s">
        <v>346</v>
      </c>
      <c r="G38" s="109"/>
      <c r="H38" s="109"/>
      <c r="I38" s="109" t="s">
        <v>346</v>
      </c>
      <c r="J38" s="109"/>
      <c r="K38" s="109"/>
      <c r="L38" s="109" t="s">
        <v>346</v>
      </c>
      <c r="M38" s="109"/>
      <c r="N38" s="109"/>
      <c r="O38" s="113" t="s">
        <v>2816</v>
      </c>
    </row>
    <row r="39" spans="1:15" ht="70.05" customHeight="1" outlineLevel="1">
      <c r="A39" s="109" t="s">
        <v>3344</v>
      </c>
      <c r="B39" s="110" t="s">
        <v>3345</v>
      </c>
      <c r="C39" s="110" t="s">
        <v>3346</v>
      </c>
      <c r="D39" s="111" t="s">
        <v>3343</v>
      </c>
      <c r="E39" s="111" t="s">
        <v>3292</v>
      </c>
      <c r="F39" s="109" t="s">
        <v>346</v>
      </c>
      <c r="G39" s="109"/>
      <c r="H39" s="109"/>
      <c r="I39" s="109" t="s">
        <v>346</v>
      </c>
      <c r="J39" s="109"/>
      <c r="K39" s="109"/>
      <c r="L39" s="109" t="s">
        <v>346</v>
      </c>
      <c r="M39" s="109"/>
      <c r="N39" s="109"/>
      <c r="O39" s="113" t="s">
        <v>2816</v>
      </c>
    </row>
    <row r="40" spans="1:15" ht="70.05" customHeight="1" outlineLevel="1">
      <c r="A40" s="109" t="s">
        <v>3347</v>
      </c>
      <c r="B40" s="110" t="s">
        <v>3348</v>
      </c>
      <c r="C40" s="110" t="s">
        <v>3349</v>
      </c>
      <c r="D40" s="111" t="s">
        <v>3343</v>
      </c>
      <c r="E40" s="111" t="s">
        <v>3292</v>
      </c>
      <c r="F40" s="109" t="s">
        <v>346</v>
      </c>
      <c r="G40" s="109"/>
      <c r="H40" s="109"/>
      <c r="I40" s="109" t="s">
        <v>346</v>
      </c>
      <c r="J40" s="109"/>
      <c r="K40" s="109"/>
      <c r="L40" s="109" t="s">
        <v>346</v>
      </c>
      <c r="M40" s="109"/>
      <c r="N40" s="109"/>
      <c r="O40" s="113" t="s">
        <v>2816</v>
      </c>
    </row>
    <row r="41" spans="1:15" ht="70.05" customHeight="1" outlineLevel="1">
      <c r="A41" s="109" t="s">
        <v>3350</v>
      </c>
      <c r="B41" s="110" t="s">
        <v>3351</v>
      </c>
      <c r="C41" s="110" t="s">
        <v>3352</v>
      </c>
      <c r="D41" s="111" t="s">
        <v>3307</v>
      </c>
      <c r="E41" s="111" t="s">
        <v>3292</v>
      </c>
      <c r="F41" s="109" t="s">
        <v>346</v>
      </c>
      <c r="G41" s="109"/>
      <c r="H41" s="109"/>
      <c r="I41" s="109" t="s">
        <v>346</v>
      </c>
      <c r="J41" s="109"/>
      <c r="K41" s="109"/>
      <c r="L41" s="109" t="s">
        <v>346</v>
      </c>
      <c r="M41" s="109"/>
      <c r="N41" s="109"/>
      <c r="O41" s="113" t="s">
        <v>2816</v>
      </c>
    </row>
    <row r="42" spans="1:15" ht="70.05" customHeight="1" outlineLevel="1">
      <c r="A42" s="109" t="s">
        <v>3353</v>
      </c>
      <c r="B42" s="110" t="s">
        <v>3354</v>
      </c>
      <c r="C42" s="110" t="s">
        <v>3355</v>
      </c>
      <c r="D42" s="111" t="s">
        <v>3356</v>
      </c>
      <c r="E42" s="111" t="s">
        <v>3292</v>
      </c>
      <c r="F42" s="109" t="s">
        <v>346</v>
      </c>
      <c r="G42" s="109"/>
      <c r="H42" s="109"/>
      <c r="I42" s="109" t="s">
        <v>346</v>
      </c>
      <c r="J42" s="109"/>
      <c r="K42" s="109"/>
      <c r="L42" s="109" t="s">
        <v>346</v>
      </c>
      <c r="M42" s="109"/>
      <c r="N42" s="109"/>
      <c r="O42" s="113" t="s">
        <v>2816</v>
      </c>
    </row>
    <row r="43" spans="1:15" ht="70.05" customHeight="1" outlineLevel="1">
      <c r="A43" s="109" t="s">
        <v>3357</v>
      </c>
      <c r="B43" s="110" t="s">
        <v>3358</v>
      </c>
      <c r="C43" s="110" t="s">
        <v>3359</v>
      </c>
      <c r="D43" s="111" t="s">
        <v>3343</v>
      </c>
      <c r="E43" s="111" t="s">
        <v>3292</v>
      </c>
      <c r="F43" s="109" t="s">
        <v>346</v>
      </c>
      <c r="G43" s="109"/>
      <c r="H43" s="109"/>
      <c r="I43" s="109" t="s">
        <v>346</v>
      </c>
      <c r="J43" s="109"/>
      <c r="K43" s="109"/>
      <c r="L43" s="109" t="s">
        <v>346</v>
      </c>
      <c r="M43" s="109"/>
      <c r="N43" s="109"/>
      <c r="O43" s="113" t="s">
        <v>2816</v>
      </c>
    </row>
    <row r="44" spans="1:15" ht="70.05" customHeight="1" outlineLevel="1">
      <c r="A44" s="109" t="s">
        <v>3360</v>
      </c>
      <c r="B44" s="110" t="s">
        <v>3361</v>
      </c>
      <c r="C44" s="110" t="s">
        <v>3328</v>
      </c>
      <c r="D44" s="111" t="s">
        <v>3362</v>
      </c>
      <c r="E44" s="111" t="s">
        <v>3308</v>
      </c>
      <c r="F44" s="109" t="s">
        <v>346</v>
      </c>
      <c r="G44" s="109"/>
      <c r="H44" s="109"/>
      <c r="I44" s="109" t="s">
        <v>346</v>
      </c>
      <c r="J44" s="109"/>
      <c r="K44" s="109"/>
      <c r="L44" s="109" t="s">
        <v>346</v>
      </c>
      <c r="M44" s="109"/>
      <c r="N44" s="109"/>
      <c r="O44" s="113" t="s">
        <v>2816</v>
      </c>
    </row>
    <row r="45" spans="1:15" ht="70.05" customHeight="1" outlineLevel="1">
      <c r="A45" s="109" t="s">
        <v>3363</v>
      </c>
      <c r="B45" s="110" t="s">
        <v>3361</v>
      </c>
      <c r="C45" s="110" t="s">
        <v>3328</v>
      </c>
      <c r="D45" s="111" t="s">
        <v>3294</v>
      </c>
      <c r="E45" s="111" t="s">
        <v>3364</v>
      </c>
      <c r="F45" s="109" t="s">
        <v>346</v>
      </c>
      <c r="G45" s="109"/>
      <c r="H45" s="109"/>
      <c r="I45" s="109" t="s">
        <v>346</v>
      </c>
      <c r="J45" s="109"/>
      <c r="K45" s="109"/>
      <c r="L45" s="109" t="s">
        <v>346</v>
      </c>
      <c r="M45" s="109"/>
      <c r="N45" s="109"/>
      <c r="O45" s="113" t="s">
        <v>2816</v>
      </c>
    </row>
    <row r="46" spans="1:15" ht="70.05" customHeight="1" outlineLevel="1">
      <c r="A46" s="109" t="s">
        <v>3365</v>
      </c>
      <c r="B46" s="110" t="s">
        <v>3361</v>
      </c>
      <c r="C46" s="110" t="s">
        <v>3328</v>
      </c>
      <c r="D46" s="111" t="s">
        <v>3294</v>
      </c>
      <c r="E46" s="111" t="s">
        <v>3366</v>
      </c>
      <c r="F46" s="109" t="s">
        <v>346</v>
      </c>
      <c r="G46" s="109"/>
      <c r="H46" s="109"/>
      <c r="I46" s="109" t="s">
        <v>346</v>
      </c>
      <c r="J46" s="109"/>
      <c r="K46" s="109"/>
      <c r="L46" s="109" t="s">
        <v>346</v>
      </c>
      <c r="M46" s="109"/>
      <c r="N46" s="109"/>
      <c r="O46" s="113" t="s">
        <v>2816</v>
      </c>
    </row>
    <row r="47" spans="1:15" ht="70.05" customHeight="1" outlineLevel="1">
      <c r="A47" s="109" t="s">
        <v>3367</v>
      </c>
      <c r="B47" s="110" t="s">
        <v>3361</v>
      </c>
      <c r="C47" s="110" t="s">
        <v>3328</v>
      </c>
      <c r="D47" s="111" t="s">
        <v>3302</v>
      </c>
      <c r="E47" s="111" t="s">
        <v>3303</v>
      </c>
      <c r="F47" s="109" t="s">
        <v>346</v>
      </c>
      <c r="G47" s="109"/>
      <c r="H47" s="109"/>
      <c r="I47" s="109" t="s">
        <v>346</v>
      </c>
      <c r="J47" s="109"/>
      <c r="K47" s="109"/>
      <c r="L47" s="109" t="s">
        <v>346</v>
      </c>
      <c r="M47" s="109"/>
      <c r="N47" s="109"/>
      <c r="O47" s="113" t="s">
        <v>2816</v>
      </c>
    </row>
    <row r="48" spans="1:15" ht="70.05" customHeight="1" outlineLevel="1">
      <c r="A48" s="109" t="s">
        <v>3368</v>
      </c>
      <c r="B48" s="110" t="s">
        <v>3369</v>
      </c>
      <c r="C48" s="110" t="s">
        <v>3370</v>
      </c>
      <c r="D48" s="111" t="s">
        <v>3307</v>
      </c>
      <c r="E48" s="111" t="s">
        <v>3292</v>
      </c>
      <c r="F48" s="109" t="s">
        <v>346</v>
      </c>
      <c r="G48" s="109"/>
      <c r="H48" s="109"/>
      <c r="I48" s="109" t="s">
        <v>346</v>
      </c>
      <c r="J48" s="109"/>
      <c r="K48" s="109"/>
      <c r="L48" s="109" t="s">
        <v>346</v>
      </c>
      <c r="M48" s="109"/>
      <c r="N48" s="109"/>
      <c r="O48" s="113" t="s">
        <v>2816</v>
      </c>
    </row>
    <row r="49" spans="1:15" ht="15.75" customHeight="1">
      <c r="A49" s="60" t="s">
        <v>153</v>
      </c>
      <c r="B49" s="60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2"/>
    </row>
    <row r="50" spans="1:15" ht="70.05" customHeight="1" outlineLevel="1">
      <c r="A50" s="109" t="s">
        <v>3371</v>
      </c>
      <c r="B50" s="110" t="s">
        <v>3372</v>
      </c>
      <c r="C50" s="110" t="s">
        <v>3373</v>
      </c>
      <c r="D50" s="111" t="s">
        <v>3374</v>
      </c>
      <c r="E50" s="111" t="s">
        <v>3375</v>
      </c>
      <c r="F50" s="109" t="s">
        <v>346</v>
      </c>
      <c r="G50" s="109"/>
      <c r="H50" s="109"/>
      <c r="I50" s="109" t="s">
        <v>346</v>
      </c>
      <c r="J50" s="109"/>
      <c r="K50" s="109"/>
      <c r="L50" s="109" t="s">
        <v>346</v>
      </c>
      <c r="M50" s="109"/>
      <c r="N50" s="109"/>
      <c r="O50" s="113" t="s">
        <v>2816</v>
      </c>
    </row>
    <row r="51" spans="1:15" ht="70.05" customHeight="1" outlineLevel="1">
      <c r="A51" s="109" t="s">
        <v>3376</v>
      </c>
      <c r="B51" s="110" t="s">
        <v>3372</v>
      </c>
      <c r="C51" s="110" t="s">
        <v>3373</v>
      </c>
      <c r="D51" s="111" t="s">
        <v>3377</v>
      </c>
      <c r="E51" s="111" t="s">
        <v>3378</v>
      </c>
      <c r="F51" s="109" t="s">
        <v>346</v>
      </c>
      <c r="G51" s="109"/>
      <c r="H51" s="109"/>
      <c r="I51" s="109" t="s">
        <v>346</v>
      </c>
      <c r="J51" s="109"/>
      <c r="K51" s="109"/>
      <c r="L51" s="109" t="s">
        <v>346</v>
      </c>
      <c r="M51" s="109"/>
      <c r="N51" s="109"/>
      <c r="O51" s="113" t="s">
        <v>2816</v>
      </c>
    </row>
    <row r="52" spans="1:15" ht="70.05" customHeight="1" outlineLevel="1">
      <c r="A52" s="109" t="s">
        <v>3379</v>
      </c>
      <c r="B52" s="110" t="s">
        <v>3372</v>
      </c>
      <c r="C52" s="110" t="s">
        <v>3373</v>
      </c>
      <c r="D52" s="111" t="s">
        <v>3377</v>
      </c>
      <c r="E52" s="111" t="s">
        <v>3380</v>
      </c>
      <c r="F52" s="109" t="s">
        <v>346</v>
      </c>
      <c r="G52" s="109"/>
      <c r="H52" s="109"/>
      <c r="I52" s="109" t="s">
        <v>346</v>
      </c>
      <c r="J52" s="109"/>
      <c r="K52" s="109"/>
      <c r="L52" s="109" t="s">
        <v>346</v>
      </c>
      <c r="M52" s="109"/>
      <c r="N52" s="109"/>
      <c r="O52" s="113" t="s">
        <v>2816</v>
      </c>
    </row>
    <row r="53" spans="1:15" ht="70.05" customHeight="1" outlineLevel="1">
      <c r="A53" s="109" t="s">
        <v>3381</v>
      </c>
      <c r="B53" s="110" t="s">
        <v>3372</v>
      </c>
      <c r="C53" s="110" t="s">
        <v>3373</v>
      </c>
      <c r="D53" s="111" t="s">
        <v>3382</v>
      </c>
      <c r="E53" s="111" t="s">
        <v>3383</v>
      </c>
      <c r="F53" s="109" t="s">
        <v>346</v>
      </c>
      <c r="G53" s="109"/>
      <c r="H53" s="109"/>
      <c r="I53" s="109" t="s">
        <v>346</v>
      </c>
      <c r="J53" s="109"/>
      <c r="K53" s="109"/>
      <c r="L53" s="109" t="s">
        <v>346</v>
      </c>
      <c r="M53" s="109"/>
      <c r="N53" s="109"/>
      <c r="O53" s="113" t="s">
        <v>2816</v>
      </c>
    </row>
    <row r="54" spans="1:15" ht="70.05" customHeight="1" outlineLevel="1">
      <c r="A54" s="109" t="s">
        <v>3384</v>
      </c>
      <c r="B54" s="110" t="s">
        <v>3385</v>
      </c>
      <c r="C54" s="110" t="s">
        <v>3386</v>
      </c>
      <c r="D54" s="111" t="s">
        <v>3387</v>
      </c>
      <c r="E54" s="111" t="s">
        <v>3375</v>
      </c>
      <c r="F54" s="109" t="s">
        <v>346</v>
      </c>
      <c r="G54" s="109"/>
      <c r="H54" s="109"/>
      <c r="I54" s="109" t="s">
        <v>346</v>
      </c>
      <c r="J54" s="109"/>
      <c r="K54" s="109"/>
      <c r="L54" s="109" t="s">
        <v>346</v>
      </c>
      <c r="M54" s="109"/>
      <c r="N54" s="109"/>
      <c r="O54" s="113" t="s">
        <v>2816</v>
      </c>
    </row>
    <row r="55" spans="1:15" ht="70.05" customHeight="1" outlineLevel="1">
      <c r="A55" s="109" t="s">
        <v>3388</v>
      </c>
      <c r="B55" s="110" t="s">
        <v>3389</v>
      </c>
      <c r="C55" s="110" t="s">
        <v>3390</v>
      </c>
      <c r="D55" s="111" t="s">
        <v>3391</v>
      </c>
      <c r="E55" s="111" t="s">
        <v>3378</v>
      </c>
      <c r="F55" s="109" t="s">
        <v>346</v>
      </c>
      <c r="G55" s="109"/>
      <c r="H55" s="109"/>
      <c r="I55" s="109" t="s">
        <v>346</v>
      </c>
      <c r="J55" s="109"/>
      <c r="K55" s="109"/>
      <c r="L55" s="109" t="s">
        <v>346</v>
      </c>
      <c r="M55" s="109"/>
      <c r="N55" s="109"/>
      <c r="O55" s="113" t="s">
        <v>2816</v>
      </c>
    </row>
    <row r="56" spans="1:15" ht="70.05" customHeight="1" outlineLevel="1">
      <c r="A56" s="109" t="s">
        <v>3392</v>
      </c>
      <c r="B56" s="110" t="s">
        <v>3393</v>
      </c>
      <c r="C56" s="110" t="s">
        <v>3394</v>
      </c>
      <c r="D56" s="111" t="s">
        <v>3395</v>
      </c>
      <c r="E56" s="111" t="s">
        <v>3378</v>
      </c>
      <c r="F56" s="109" t="s">
        <v>346</v>
      </c>
      <c r="G56" s="109"/>
      <c r="H56" s="109"/>
      <c r="I56" s="109" t="s">
        <v>346</v>
      </c>
      <c r="J56" s="109"/>
      <c r="K56" s="109"/>
      <c r="L56" s="109" t="s">
        <v>346</v>
      </c>
      <c r="M56" s="109"/>
      <c r="N56" s="109"/>
      <c r="O56" s="113" t="s">
        <v>2816</v>
      </c>
    </row>
    <row r="57" spans="1:15" ht="70.05" customHeight="1" outlineLevel="1">
      <c r="A57" s="109" t="s">
        <v>3396</v>
      </c>
      <c r="B57" s="110" t="s">
        <v>3397</v>
      </c>
      <c r="C57" s="110" t="s">
        <v>3398</v>
      </c>
      <c r="D57" s="111" t="s">
        <v>3399</v>
      </c>
      <c r="E57" s="111" t="s">
        <v>3400</v>
      </c>
      <c r="F57" s="109" t="s">
        <v>346</v>
      </c>
      <c r="G57" s="109"/>
      <c r="H57" s="109"/>
      <c r="I57" s="109" t="s">
        <v>346</v>
      </c>
      <c r="J57" s="109"/>
      <c r="K57" s="109"/>
      <c r="L57" s="109" t="s">
        <v>346</v>
      </c>
      <c r="M57" s="109"/>
      <c r="N57" s="109"/>
      <c r="O57" s="113" t="s">
        <v>2816</v>
      </c>
    </row>
    <row r="58" spans="1:15" ht="70.05" customHeight="1" outlineLevel="1">
      <c r="A58" s="109" t="s">
        <v>3401</v>
      </c>
      <c r="B58" s="110" t="s">
        <v>3397</v>
      </c>
      <c r="C58" s="110" t="s">
        <v>3398</v>
      </c>
      <c r="D58" s="111" t="s">
        <v>3402</v>
      </c>
      <c r="E58" s="111" t="s">
        <v>3403</v>
      </c>
      <c r="F58" s="109" t="s">
        <v>346</v>
      </c>
      <c r="G58" s="109"/>
      <c r="H58" s="109"/>
      <c r="I58" s="109" t="s">
        <v>346</v>
      </c>
      <c r="J58" s="109"/>
      <c r="K58" s="109"/>
      <c r="L58" s="109" t="s">
        <v>346</v>
      </c>
      <c r="M58" s="109"/>
      <c r="N58" s="109"/>
      <c r="O58" s="113" t="s">
        <v>2816</v>
      </c>
    </row>
    <row r="59" spans="1:15" ht="70.05" customHeight="1" outlineLevel="1">
      <c r="A59" s="109" t="s">
        <v>3404</v>
      </c>
      <c r="B59" s="110" t="s">
        <v>3405</v>
      </c>
      <c r="C59" s="110" t="s">
        <v>3406</v>
      </c>
      <c r="D59" s="111" t="s">
        <v>3377</v>
      </c>
      <c r="E59" s="111" t="s">
        <v>3375</v>
      </c>
      <c r="F59" s="109" t="s">
        <v>346</v>
      </c>
      <c r="G59" s="109"/>
      <c r="H59" s="109"/>
      <c r="I59" s="109" t="s">
        <v>346</v>
      </c>
      <c r="J59" s="109"/>
      <c r="K59" s="109"/>
      <c r="L59" s="109" t="s">
        <v>346</v>
      </c>
      <c r="M59" s="109"/>
      <c r="N59" s="109"/>
      <c r="O59" s="113" t="s">
        <v>2816</v>
      </c>
    </row>
    <row r="60" spans="1:15" ht="70.05" customHeight="1" outlineLevel="1">
      <c r="A60" s="109" t="s">
        <v>3407</v>
      </c>
      <c r="B60" s="110" t="s">
        <v>3408</v>
      </c>
      <c r="C60" s="110" t="s">
        <v>3409</v>
      </c>
      <c r="D60" s="111" t="s">
        <v>3377</v>
      </c>
      <c r="E60" s="111" t="s">
        <v>3375</v>
      </c>
      <c r="F60" s="109" t="s">
        <v>346</v>
      </c>
      <c r="G60" s="109"/>
      <c r="H60" s="109"/>
      <c r="I60" s="109" t="s">
        <v>346</v>
      </c>
      <c r="J60" s="109"/>
      <c r="K60" s="109"/>
      <c r="L60" s="109" t="s">
        <v>346</v>
      </c>
      <c r="M60" s="109"/>
      <c r="N60" s="109"/>
      <c r="O60" s="113" t="s">
        <v>2816</v>
      </c>
    </row>
    <row r="61" spans="1:15" ht="70.05" customHeight="1" outlineLevel="1">
      <c r="A61" s="109" t="s">
        <v>3410</v>
      </c>
      <c r="B61" s="110" t="s">
        <v>3411</v>
      </c>
      <c r="C61" s="110" t="s">
        <v>3412</v>
      </c>
      <c r="D61" s="111" t="s">
        <v>3307</v>
      </c>
      <c r="E61" s="111" t="s">
        <v>3375</v>
      </c>
      <c r="F61" s="109" t="s">
        <v>346</v>
      </c>
      <c r="G61" s="109"/>
      <c r="H61" s="109"/>
      <c r="I61" s="109" t="s">
        <v>346</v>
      </c>
      <c r="J61" s="109"/>
      <c r="K61" s="109"/>
      <c r="L61" s="109" t="s">
        <v>346</v>
      </c>
      <c r="M61" s="109"/>
      <c r="N61" s="109"/>
      <c r="O61" s="113" t="s">
        <v>2816</v>
      </c>
    </row>
    <row r="62" spans="1:15" ht="70.05" customHeight="1" outlineLevel="1">
      <c r="A62" s="109" t="s">
        <v>3413</v>
      </c>
      <c r="B62" s="110" t="s">
        <v>3414</v>
      </c>
      <c r="C62" s="110" t="s">
        <v>3415</v>
      </c>
      <c r="D62" s="111" t="s">
        <v>3416</v>
      </c>
      <c r="E62" s="111" t="s">
        <v>3375</v>
      </c>
      <c r="F62" s="109" t="s">
        <v>346</v>
      </c>
      <c r="G62" s="109"/>
      <c r="H62" s="109"/>
      <c r="I62" s="109" t="s">
        <v>346</v>
      </c>
      <c r="J62" s="109"/>
      <c r="K62" s="109"/>
      <c r="L62" s="109" t="s">
        <v>346</v>
      </c>
      <c r="M62" s="109"/>
      <c r="N62" s="109"/>
      <c r="O62" s="113" t="s">
        <v>2816</v>
      </c>
    </row>
    <row r="63" spans="1:15" ht="70.05" customHeight="1" outlineLevel="1">
      <c r="A63" s="109" t="s">
        <v>3417</v>
      </c>
      <c r="B63" s="110" t="s">
        <v>3418</v>
      </c>
      <c r="C63" s="110" t="s">
        <v>3419</v>
      </c>
      <c r="D63" s="111" t="s">
        <v>3307</v>
      </c>
      <c r="E63" s="111" t="s">
        <v>3375</v>
      </c>
      <c r="F63" s="109" t="s">
        <v>346</v>
      </c>
      <c r="G63" s="109"/>
      <c r="H63" s="109"/>
      <c r="I63" s="109" t="s">
        <v>346</v>
      </c>
      <c r="J63" s="109"/>
      <c r="K63" s="109"/>
      <c r="L63" s="109" t="s">
        <v>346</v>
      </c>
      <c r="M63" s="109"/>
      <c r="N63" s="109"/>
      <c r="O63" s="113" t="s">
        <v>2816</v>
      </c>
    </row>
    <row r="64" spans="1:15" ht="70.05" customHeight="1" outlineLevel="1">
      <c r="A64" s="109" t="s">
        <v>3420</v>
      </c>
      <c r="B64" s="110" t="s">
        <v>3421</v>
      </c>
      <c r="C64" s="110" t="s">
        <v>3422</v>
      </c>
      <c r="D64" s="111" t="s">
        <v>3307</v>
      </c>
      <c r="E64" s="111" t="s">
        <v>3375</v>
      </c>
      <c r="F64" s="109" t="s">
        <v>346</v>
      </c>
      <c r="G64" s="109"/>
      <c r="H64" s="109"/>
      <c r="I64" s="109" t="s">
        <v>346</v>
      </c>
      <c r="J64" s="109"/>
      <c r="K64" s="109"/>
      <c r="L64" s="109" t="s">
        <v>346</v>
      </c>
      <c r="M64" s="109"/>
      <c r="N64" s="109"/>
      <c r="O64" s="113" t="s">
        <v>2816</v>
      </c>
    </row>
    <row r="65" spans="1:15" ht="70.05" customHeight="1" outlineLevel="1">
      <c r="A65" s="109" t="s">
        <v>3423</v>
      </c>
      <c r="B65" s="110" t="s">
        <v>3424</v>
      </c>
      <c r="C65" s="110" t="s">
        <v>3425</v>
      </c>
      <c r="D65" s="111" t="s">
        <v>3307</v>
      </c>
      <c r="E65" s="111" t="s">
        <v>3375</v>
      </c>
      <c r="F65" s="109" t="s">
        <v>346</v>
      </c>
      <c r="G65" s="109"/>
      <c r="H65" s="109"/>
      <c r="I65" s="109" t="s">
        <v>346</v>
      </c>
      <c r="J65" s="109"/>
      <c r="K65" s="109"/>
      <c r="L65" s="109" t="s">
        <v>346</v>
      </c>
      <c r="M65" s="109"/>
      <c r="N65" s="109"/>
      <c r="O65" s="113" t="s">
        <v>2816</v>
      </c>
    </row>
    <row r="66" spans="1:15" ht="70.05" customHeight="1" outlineLevel="1">
      <c r="A66" s="109" t="s">
        <v>3426</v>
      </c>
      <c r="B66" s="110" t="s">
        <v>3427</v>
      </c>
      <c r="C66" s="110" t="s">
        <v>3373</v>
      </c>
      <c r="D66" s="111" t="s">
        <v>3294</v>
      </c>
      <c r="E66" s="111" t="s">
        <v>3428</v>
      </c>
      <c r="F66" s="109" t="s">
        <v>346</v>
      </c>
      <c r="G66" s="109"/>
      <c r="H66" s="109"/>
      <c r="I66" s="109" t="s">
        <v>346</v>
      </c>
      <c r="J66" s="109"/>
      <c r="K66" s="109"/>
      <c r="L66" s="109" t="s">
        <v>346</v>
      </c>
      <c r="M66" s="109"/>
      <c r="N66" s="109"/>
      <c r="O66" s="113" t="s">
        <v>2816</v>
      </c>
    </row>
    <row r="67" spans="1:15" ht="70.05" customHeight="1" outlineLevel="1">
      <c r="A67" s="109" t="s">
        <v>3429</v>
      </c>
      <c r="B67" s="110" t="s">
        <v>3427</v>
      </c>
      <c r="C67" s="110" t="s">
        <v>3373</v>
      </c>
      <c r="D67" s="111" t="s">
        <v>3302</v>
      </c>
      <c r="E67" s="111" t="s">
        <v>3303</v>
      </c>
      <c r="F67" s="109" t="s">
        <v>346</v>
      </c>
      <c r="G67" s="109"/>
      <c r="H67" s="109"/>
      <c r="I67" s="109" t="s">
        <v>346</v>
      </c>
      <c r="J67" s="109"/>
      <c r="K67" s="109"/>
      <c r="L67" s="109" t="s">
        <v>346</v>
      </c>
      <c r="M67" s="109"/>
      <c r="N67" s="109"/>
      <c r="O67" s="113" t="s">
        <v>2816</v>
      </c>
    </row>
    <row r="68" spans="1:15" ht="70.05" customHeight="1" outlineLevel="1">
      <c r="A68" s="109" t="s">
        <v>3430</v>
      </c>
      <c r="B68" s="110" t="s">
        <v>3427</v>
      </c>
      <c r="C68" s="110" t="s">
        <v>3373</v>
      </c>
      <c r="D68" s="111" t="s">
        <v>3302</v>
      </c>
      <c r="E68" s="111" t="s">
        <v>3431</v>
      </c>
      <c r="F68" s="109" t="s">
        <v>346</v>
      </c>
      <c r="G68" s="109"/>
      <c r="H68" s="109"/>
      <c r="I68" s="109" t="s">
        <v>346</v>
      </c>
      <c r="J68" s="109"/>
      <c r="K68" s="109"/>
      <c r="L68" s="109" t="s">
        <v>346</v>
      </c>
      <c r="M68" s="109"/>
      <c r="N68" s="109"/>
      <c r="O68" s="113" t="s">
        <v>2816</v>
      </c>
    </row>
    <row r="69" spans="1:15" ht="15.75" customHeight="1">
      <c r="A69" s="60" t="s">
        <v>155</v>
      </c>
      <c r="B69" s="60"/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2"/>
    </row>
    <row r="70" spans="1:15" ht="70.05" customHeight="1" outlineLevel="1">
      <c r="A70" s="109" t="s">
        <v>3432</v>
      </c>
      <c r="B70" s="110" t="s">
        <v>3433</v>
      </c>
      <c r="C70" s="110" t="s">
        <v>3434</v>
      </c>
      <c r="D70" s="111" t="s">
        <v>3435</v>
      </c>
      <c r="E70" s="111" t="s">
        <v>3436</v>
      </c>
      <c r="F70" s="109" t="s">
        <v>346</v>
      </c>
      <c r="G70" s="109"/>
      <c r="H70" s="109"/>
      <c r="I70" s="109" t="s">
        <v>346</v>
      </c>
      <c r="J70" s="109"/>
      <c r="K70" s="109"/>
      <c r="L70" s="109" t="s">
        <v>346</v>
      </c>
      <c r="M70" s="109"/>
      <c r="N70" s="109"/>
      <c r="O70" s="113" t="s">
        <v>2816</v>
      </c>
    </row>
    <row r="71" spans="1:15" ht="70.05" customHeight="1" outlineLevel="1">
      <c r="A71" s="109" t="s">
        <v>3437</v>
      </c>
      <c r="B71" s="110" t="s">
        <v>3438</v>
      </c>
      <c r="C71" s="110" t="s">
        <v>3439</v>
      </c>
      <c r="D71" s="111" t="s">
        <v>3440</v>
      </c>
      <c r="E71" s="111" t="s">
        <v>3441</v>
      </c>
      <c r="F71" s="109" t="s">
        <v>346</v>
      </c>
      <c r="G71" s="109"/>
      <c r="H71" s="109"/>
      <c r="I71" s="109" t="s">
        <v>346</v>
      </c>
      <c r="J71" s="109"/>
      <c r="K71" s="109"/>
      <c r="L71" s="109" t="s">
        <v>346</v>
      </c>
      <c r="M71" s="109"/>
      <c r="N71" s="109"/>
      <c r="O71" s="113" t="s">
        <v>2816</v>
      </c>
    </row>
    <row r="72" spans="1:15" ht="70.05" customHeight="1" outlineLevel="1">
      <c r="A72" s="109" t="s">
        <v>3442</v>
      </c>
      <c r="B72" s="110" t="s">
        <v>3443</v>
      </c>
      <c r="C72" s="110" t="s">
        <v>3444</v>
      </c>
      <c r="D72" s="111" t="s">
        <v>3445</v>
      </c>
      <c r="E72" s="111" t="s">
        <v>3446</v>
      </c>
      <c r="F72" s="109" t="s">
        <v>346</v>
      </c>
      <c r="G72" s="109"/>
      <c r="H72" s="109"/>
      <c r="I72" s="109" t="s">
        <v>346</v>
      </c>
      <c r="J72" s="109"/>
      <c r="K72" s="109"/>
      <c r="L72" s="109" t="s">
        <v>346</v>
      </c>
      <c r="M72" s="109"/>
      <c r="N72" s="109"/>
      <c r="O72" s="113" t="s">
        <v>2816</v>
      </c>
    </row>
    <row r="73" spans="1:15" ht="70.05" customHeight="1" outlineLevel="1">
      <c r="A73" s="109" t="s">
        <v>3447</v>
      </c>
      <c r="B73" s="110" t="s">
        <v>3448</v>
      </c>
      <c r="C73" s="110" t="s">
        <v>3449</v>
      </c>
      <c r="D73" s="111" t="s">
        <v>3450</v>
      </c>
      <c r="E73" s="111" t="s">
        <v>3436</v>
      </c>
      <c r="F73" s="109" t="s">
        <v>346</v>
      </c>
      <c r="G73" s="109"/>
      <c r="H73" s="109"/>
      <c r="I73" s="109" t="s">
        <v>346</v>
      </c>
      <c r="J73" s="109"/>
      <c r="K73" s="109"/>
      <c r="L73" s="109" t="s">
        <v>346</v>
      </c>
      <c r="M73" s="109"/>
      <c r="N73" s="109"/>
      <c r="O73" s="113" t="s">
        <v>2816</v>
      </c>
    </row>
    <row r="74" spans="1:15" ht="70.05" customHeight="1" outlineLevel="1">
      <c r="A74" s="109" t="s">
        <v>3451</v>
      </c>
      <c r="B74" s="110" t="s">
        <v>3452</v>
      </c>
      <c r="C74" s="110" t="s">
        <v>3453</v>
      </c>
      <c r="D74" s="111" t="s">
        <v>3454</v>
      </c>
      <c r="E74" s="111" t="s">
        <v>3436</v>
      </c>
      <c r="F74" s="109" t="s">
        <v>346</v>
      </c>
      <c r="G74" s="109"/>
      <c r="H74" s="109"/>
      <c r="I74" s="109" t="s">
        <v>346</v>
      </c>
      <c r="J74" s="109"/>
      <c r="K74" s="109"/>
      <c r="L74" s="109" t="s">
        <v>346</v>
      </c>
      <c r="M74" s="109"/>
      <c r="N74" s="109"/>
      <c r="O74" s="113" t="s">
        <v>2816</v>
      </c>
    </row>
    <row r="75" spans="1:15" ht="70.05" customHeight="1" outlineLevel="1">
      <c r="A75" s="109" t="s">
        <v>3455</v>
      </c>
      <c r="B75" s="110" t="s">
        <v>3443</v>
      </c>
      <c r="C75" s="110" t="s">
        <v>3444</v>
      </c>
      <c r="D75" s="111" t="s">
        <v>3456</v>
      </c>
      <c r="E75" s="111" t="s">
        <v>3457</v>
      </c>
      <c r="F75" s="109" t="s">
        <v>346</v>
      </c>
      <c r="G75" s="109"/>
      <c r="H75" s="109"/>
      <c r="I75" s="109" t="s">
        <v>346</v>
      </c>
      <c r="J75" s="109"/>
      <c r="K75" s="109"/>
      <c r="L75" s="109" t="s">
        <v>346</v>
      </c>
      <c r="M75" s="109"/>
      <c r="N75" s="109"/>
      <c r="O75" s="113" t="s">
        <v>2816</v>
      </c>
    </row>
    <row r="76" spans="1:15" ht="70.05" customHeight="1" outlineLevel="1">
      <c r="A76" s="109" t="s">
        <v>3458</v>
      </c>
      <c r="B76" s="110" t="s">
        <v>3459</v>
      </c>
      <c r="C76" s="110" t="s">
        <v>3460</v>
      </c>
      <c r="D76" s="111" t="s">
        <v>3461</v>
      </c>
      <c r="E76" s="111" t="s">
        <v>3462</v>
      </c>
      <c r="F76" s="109" t="s">
        <v>346</v>
      </c>
      <c r="G76" s="109"/>
      <c r="H76" s="109"/>
      <c r="I76" s="109" t="s">
        <v>346</v>
      </c>
      <c r="J76" s="109"/>
      <c r="K76" s="109"/>
      <c r="L76" s="109" t="s">
        <v>346</v>
      </c>
      <c r="M76" s="109"/>
      <c r="N76" s="109"/>
      <c r="O76" s="113" t="s">
        <v>2816</v>
      </c>
    </row>
    <row r="77" spans="1:15" ht="70.05" customHeight="1" outlineLevel="1">
      <c r="A77" s="109" t="s">
        <v>3463</v>
      </c>
      <c r="B77" s="110" t="s">
        <v>3464</v>
      </c>
      <c r="C77" s="110" t="s">
        <v>3444</v>
      </c>
      <c r="D77" s="111" t="s">
        <v>3465</v>
      </c>
      <c r="E77" s="111" t="s">
        <v>3462</v>
      </c>
      <c r="F77" s="109" t="s">
        <v>346</v>
      </c>
      <c r="G77" s="109"/>
      <c r="H77" s="109"/>
      <c r="I77" s="109" t="s">
        <v>346</v>
      </c>
      <c r="J77" s="109"/>
      <c r="K77" s="109"/>
      <c r="L77" s="109" t="s">
        <v>346</v>
      </c>
      <c r="M77" s="109"/>
      <c r="N77" s="109"/>
      <c r="O77" s="113" t="s">
        <v>2816</v>
      </c>
    </row>
    <row r="78" spans="1:15" ht="70.05" customHeight="1" outlineLevel="1">
      <c r="A78" s="109" t="s">
        <v>3466</v>
      </c>
      <c r="B78" s="110" t="s">
        <v>3464</v>
      </c>
      <c r="C78" s="110" t="s">
        <v>3444</v>
      </c>
      <c r="D78" s="111" t="s">
        <v>3467</v>
      </c>
      <c r="E78" s="111" t="s">
        <v>3468</v>
      </c>
      <c r="F78" s="109" t="s">
        <v>346</v>
      </c>
      <c r="G78" s="109"/>
      <c r="H78" s="109"/>
      <c r="I78" s="109" t="s">
        <v>346</v>
      </c>
      <c r="J78" s="109"/>
      <c r="K78" s="109"/>
      <c r="L78" s="109" t="s">
        <v>346</v>
      </c>
      <c r="M78" s="109"/>
      <c r="N78" s="109"/>
      <c r="O78" s="113" t="s">
        <v>2816</v>
      </c>
    </row>
    <row r="79" spans="1:15" ht="70.05" customHeight="1" outlineLevel="1">
      <c r="A79" s="109" t="s">
        <v>3469</v>
      </c>
      <c r="B79" s="110" t="s">
        <v>3470</v>
      </c>
      <c r="C79" s="110" t="s">
        <v>3471</v>
      </c>
      <c r="D79" s="111" t="s">
        <v>3472</v>
      </c>
      <c r="E79" s="111" t="s">
        <v>3436</v>
      </c>
      <c r="F79" s="109" t="s">
        <v>346</v>
      </c>
      <c r="G79" s="109"/>
      <c r="H79" s="109"/>
      <c r="I79" s="109" t="s">
        <v>346</v>
      </c>
      <c r="J79" s="109"/>
      <c r="K79" s="109"/>
      <c r="L79" s="109" t="s">
        <v>346</v>
      </c>
      <c r="M79" s="109"/>
      <c r="N79" s="109"/>
      <c r="O79" s="113" t="s">
        <v>2816</v>
      </c>
    </row>
    <row r="80" spans="1:15" ht="70.05" customHeight="1" outlineLevel="1">
      <c r="A80" s="109" t="s">
        <v>3473</v>
      </c>
      <c r="B80" s="110" t="s">
        <v>3474</v>
      </c>
      <c r="C80" s="110" t="s">
        <v>3475</v>
      </c>
      <c r="D80" s="111" t="s">
        <v>3476</v>
      </c>
      <c r="E80" s="111" t="s">
        <v>3462</v>
      </c>
      <c r="F80" s="109" t="s">
        <v>346</v>
      </c>
      <c r="G80" s="109"/>
      <c r="H80" s="109"/>
      <c r="I80" s="109" t="s">
        <v>346</v>
      </c>
      <c r="J80" s="109"/>
      <c r="K80" s="109"/>
      <c r="L80" s="109" t="s">
        <v>346</v>
      </c>
      <c r="M80" s="109"/>
      <c r="N80" s="109"/>
      <c r="O80" s="113" t="s">
        <v>2816</v>
      </c>
    </row>
    <row r="81" spans="1:15" ht="70.05" customHeight="1" outlineLevel="1">
      <c r="A81" s="109" t="s">
        <v>3477</v>
      </c>
      <c r="B81" s="110" t="s">
        <v>3464</v>
      </c>
      <c r="C81" s="110" t="s">
        <v>3444</v>
      </c>
      <c r="D81" s="111" t="s">
        <v>3478</v>
      </c>
      <c r="E81" s="111" t="s">
        <v>3479</v>
      </c>
      <c r="F81" s="109" t="s">
        <v>346</v>
      </c>
      <c r="G81" s="109"/>
      <c r="H81" s="109"/>
      <c r="I81" s="109" t="s">
        <v>346</v>
      </c>
      <c r="J81" s="109"/>
      <c r="K81" s="109"/>
      <c r="L81" s="109" t="s">
        <v>346</v>
      </c>
      <c r="M81" s="109"/>
      <c r="N81" s="109"/>
      <c r="O81" s="113" t="s">
        <v>2816</v>
      </c>
    </row>
    <row r="82" spans="1:15" ht="70.05" customHeight="1" outlineLevel="1">
      <c r="A82" s="109" t="s">
        <v>3480</v>
      </c>
      <c r="B82" s="110" t="s">
        <v>3481</v>
      </c>
      <c r="C82" s="110" t="s">
        <v>3482</v>
      </c>
      <c r="D82" s="111" t="s">
        <v>3299</v>
      </c>
      <c r="E82" s="111" t="s">
        <v>3483</v>
      </c>
      <c r="F82" s="109" t="s">
        <v>346</v>
      </c>
      <c r="G82" s="109"/>
      <c r="H82" s="109"/>
      <c r="I82" s="109" t="s">
        <v>346</v>
      </c>
      <c r="J82" s="109"/>
      <c r="K82" s="109"/>
      <c r="L82" s="109" t="s">
        <v>346</v>
      </c>
      <c r="M82" s="109"/>
      <c r="N82" s="109"/>
      <c r="O82" s="113" t="s">
        <v>2816</v>
      </c>
    </row>
    <row r="83" spans="1:15" ht="70.05" customHeight="1" outlineLevel="1">
      <c r="A83" s="109" t="s">
        <v>3484</v>
      </c>
      <c r="B83" s="110" t="s">
        <v>3485</v>
      </c>
      <c r="C83" s="110" t="s">
        <v>3486</v>
      </c>
      <c r="D83" s="111" t="s">
        <v>3307</v>
      </c>
      <c r="E83" s="111" t="s">
        <v>3436</v>
      </c>
      <c r="F83" s="109" t="s">
        <v>346</v>
      </c>
      <c r="G83" s="109"/>
      <c r="H83" s="109"/>
      <c r="I83" s="109" t="s">
        <v>346</v>
      </c>
      <c r="J83" s="109"/>
      <c r="K83" s="109"/>
      <c r="L83" s="109" t="s">
        <v>346</v>
      </c>
      <c r="M83" s="109"/>
      <c r="N83" s="109"/>
      <c r="O83" s="113" t="s">
        <v>2816</v>
      </c>
    </row>
    <row r="84" spans="1:15" ht="70.05" customHeight="1" outlineLevel="1">
      <c r="A84" s="109" t="s">
        <v>3487</v>
      </c>
      <c r="B84" s="110" t="s">
        <v>3488</v>
      </c>
      <c r="C84" s="110" t="s">
        <v>3489</v>
      </c>
      <c r="D84" s="111" t="s">
        <v>3307</v>
      </c>
      <c r="E84" s="111" t="s">
        <v>3436</v>
      </c>
      <c r="F84" s="109" t="s">
        <v>346</v>
      </c>
      <c r="G84" s="109"/>
      <c r="H84" s="109"/>
      <c r="I84" s="109" t="s">
        <v>346</v>
      </c>
      <c r="J84" s="109"/>
      <c r="K84" s="109"/>
      <c r="L84" s="109" t="s">
        <v>346</v>
      </c>
      <c r="M84" s="109"/>
      <c r="N84" s="109"/>
      <c r="O84" s="113" t="s">
        <v>2816</v>
      </c>
    </row>
    <row r="85" spans="1:15" ht="70.05" customHeight="1" outlineLevel="1">
      <c r="A85" s="109" t="s">
        <v>3490</v>
      </c>
      <c r="B85" s="110" t="s">
        <v>3491</v>
      </c>
      <c r="C85" s="110" t="s">
        <v>3492</v>
      </c>
      <c r="D85" s="111" t="s">
        <v>3307</v>
      </c>
      <c r="E85" s="111" t="s">
        <v>3436</v>
      </c>
      <c r="F85" s="109" t="s">
        <v>346</v>
      </c>
      <c r="G85" s="109"/>
      <c r="H85" s="109"/>
      <c r="I85" s="109" t="s">
        <v>346</v>
      </c>
      <c r="J85" s="109"/>
      <c r="K85" s="109"/>
      <c r="L85" s="109" t="s">
        <v>346</v>
      </c>
      <c r="M85" s="109"/>
      <c r="N85" s="109"/>
      <c r="O85" s="113" t="s">
        <v>2816</v>
      </c>
    </row>
    <row r="86" spans="1:15" ht="70.05" customHeight="1" outlineLevel="1">
      <c r="A86" s="109" t="s">
        <v>3493</v>
      </c>
      <c r="B86" s="110" t="s">
        <v>3494</v>
      </c>
      <c r="C86" s="110" t="s">
        <v>3495</v>
      </c>
      <c r="D86" s="111" t="s">
        <v>3307</v>
      </c>
      <c r="E86" s="111" t="s">
        <v>3436</v>
      </c>
      <c r="F86" s="109" t="s">
        <v>346</v>
      </c>
      <c r="G86" s="109"/>
      <c r="H86" s="109"/>
      <c r="I86" s="109" t="s">
        <v>346</v>
      </c>
      <c r="J86" s="109"/>
      <c r="K86" s="109"/>
      <c r="L86" s="109" t="s">
        <v>346</v>
      </c>
      <c r="M86" s="109"/>
      <c r="N86" s="109"/>
      <c r="O86" s="113" t="s">
        <v>2816</v>
      </c>
    </row>
    <row r="87" spans="1:15" ht="70.05" customHeight="1" outlineLevel="1">
      <c r="A87" s="109" t="s">
        <v>3496</v>
      </c>
      <c r="B87" s="110" t="s">
        <v>3481</v>
      </c>
      <c r="C87" s="110" t="s">
        <v>3482</v>
      </c>
      <c r="D87" s="111" t="s">
        <v>3497</v>
      </c>
      <c r="E87" s="111" t="s">
        <v>3498</v>
      </c>
      <c r="F87" s="109" t="s">
        <v>346</v>
      </c>
      <c r="G87" s="109"/>
      <c r="H87" s="109"/>
      <c r="I87" s="109" t="s">
        <v>346</v>
      </c>
      <c r="J87" s="109"/>
      <c r="K87" s="109"/>
      <c r="L87" s="109" t="s">
        <v>346</v>
      </c>
      <c r="M87" s="109"/>
      <c r="N87" s="109"/>
      <c r="O87" s="113" t="s">
        <v>2816</v>
      </c>
    </row>
    <row r="88" spans="1:15" ht="15.75" customHeight="1">
      <c r="A88" s="60" t="s">
        <v>157</v>
      </c>
      <c r="B88" s="60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2"/>
    </row>
    <row r="89" spans="1:15" ht="70.05" customHeight="1" outlineLevel="1">
      <c r="A89" s="109" t="s">
        <v>3499</v>
      </c>
      <c r="B89" s="110" t="s">
        <v>3500</v>
      </c>
      <c r="C89" s="110" t="s">
        <v>3501</v>
      </c>
      <c r="D89" s="111" t="s">
        <v>3502</v>
      </c>
      <c r="E89" s="111" t="s">
        <v>3436</v>
      </c>
      <c r="F89" s="109" t="s">
        <v>346</v>
      </c>
      <c r="G89" s="109"/>
      <c r="H89" s="109"/>
      <c r="I89" s="109" t="s">
        <v>346</v>
      </c>
      <c r="J89" s="109"/>
      <c r="K89" s="109"/>
      <c r="L89" s="109" t="s">
        <v>346</v>
      </c>
      <c r="M89" s="109"/>
      <c r="N89" s="109"/>
      <c r="O89" s="113" t="s">
        <v>2816</v>
      </c>
    </row>
    <row r="90" spans="1:15" ht="70.05" customHeight="1" outlineLevel="1">
      <c r="A90" s="109" t="s">
        <v>3503</v>
      </c>
      <c r="B90" s="110" t="s">
        <v>3500</v>
      </c>
      <c r="C90" s="110" t="s">
        <v>3501</v>
      </c>
      <c r="D90" s="111" t="s">
        <v>3504</v>
      </c>
      <c r="E90" s="111" t="s">
        <v>3441</v>
      </c>
      <c r="F90" s="109" t="s">
        <v>346</v>
      </c>
      <c r="G90" s="109"/>
      <c r="H90" s="109"/>
      <c r="I90" s="109" t="s">
        <v>346</v>
      </c>
      <c r="J90" s="109"/>
      <c r="K90" s="109"/>
      <c r="L90" s="109" t="s">
        <v>346</v>
      </c>
      <c r="M90" s="109"/>
      <c r="N90" s="109"/>
      <c r="O90" s="113" t="s">
        <v>2816</v>
      </c>
    </row>
    <row r="91" spans="1:15" ht="70.05" customHeight="1" outlineLevel="1">
      <c r="A91" s="109" t="s">
        <v>3505</v>
      </c>
      <c r="B91" s="110" t="s">
        <v>3500</v>
      </c>
      <c r="C91" s="110" t="s">
        <v>3501</v>
      </c>
      <c r="D91" s="111" t="s">
        <v>3506</v>
      </c>
      <c r="E91" s="111" t="s">
        <v>3446</v>
      </c>
      <c r="F91" s="109" t="s">
        <v>346</v>
      </c>
      <c r="G91" s="109"/>
      <c r="H91" s="109"/>
      <c r="I91" s="109" t="s">
        <v>346</v>
      </c>
      <c r="J91" s="109"/>
      <c r="K91" s="109"/>
      <c r="L91" s="109" t="s">
        <v>346</v>
      </c>
      <c r="M91" s="109"/>
      <c r="N91" s="109"/>
      <c r="O91" s="113" t="s">
        <v>2816</v>
      </c>
    </row>
    <row r="92" spans="1:15" ht="70.05" customHeight="1" outlineLevel="1">
      <c r="A92" s="109" t="s">
        <v>3507</v>
      </c>
      <c r="B92" s="110" t="s">
        <v>3508</v>
      </c>
      <c r="C92" s="110" t="s">
        <v>3509</v>
      </c>
      <c r="D92" s="111" t="s">
        <v>3402</v>
      </c>
      <c r="E92" s="111" t="s">
        <v>3510</v>
      </c>
      <c r="F92" s="109" t="s">
        <v>346</v>
      </c>
      <c r="G92" s="109"/>
      <c r="H92" s="109"/>
      <c r="I92" s="109" t="s">
        <v>346</v>
      </c>
      <c r="J92" s="109"/>
      <c r="K92" s="109"/>
      <c r="L92" s="109" t="s">
        <v>346</v>
      </c>
      <c r="M92" s="109"/>
      <c r="N92" s="109"/>
      <c r="O92" s="113" t="s">
        <v>2816</v>
      </c>
    </row>
    <row r="93" spans="1:15" ht="70.05" customHeight="1" outlineLevel="1">
      <c r="A93" s="109" t="s">
        <v>3511</v>
      </c>
      <c r="B93" s="110" t="s">
        <v>3512</v>
      </c>
      <c r="C93" s="110" t="s">
        <v>3513</v>
      </c>
      <c r="D93" s="111" t="s">
        <v>3514</v>
      </c>
      <c r="E93" s="111" t="s">
        <v>3515</v>
      </c>
      <c r="F93" s="109" t="s">
        <v>346</v>
      </c>
      <c r="G93" s="109"/>
      <c r="H93" s="109"/>
      <c r="I93" s="109" t="s">
        <v>346</v>
      </c>
      <c r="J93" s="109"/>
      <c r="K93" s="109"/>
      <c r="L93" s="109" t="s">
        <v>346</v>
      </c>
      <c r="M93" s="109"/>
      <c r="N93" s="109"/>
      <c r="O93" s="113" t="s">
        <v>2816</v>
      </c>
    </row>
    <row r="94" spans="1:15" ht="70.05" customHeight="1" outlineLevel="1">
      <c r="A94" s="109" t="s">
        <v>3516</v>
      </c>
      <c r="B94" s="110" t="s">
        <v>3512</v>
      </c>
      <c r="C94" s="110" t="s">
        <v>3513</v>
      </c>
      <c r="D94" s="111" t="s">
        <v>3514</v>
      </c>
      <c r="E94" s="111" t="s">
        <v>3517</v>
      </c>
      <c r="F94" s="109" t="s">
        <v>346</v>
      </c>
      <c r="G94" s="109"/>
      <c r="H94" s="109"/>
      <c r="I94" s="109" t="s">
        <v>346</v>
      </c>
      <c r="J94" s="109"/>
      <c r="K94" s="109"/>
      <c r="L94" s="109" t="s">
        <v>346</v>
      </c>
      <c r="M94" s="109"/>
      <c r="N94" s="109"/>
      <c r="O94" s="113" t="s">
        <v>2816</v>
      </c>
    </row>
    <row r="95" spans="1:15" ht="70.05" customHeight="1" outlineLevel="1">
      <c r="A95" s="109" t="s">
        <v>3518</v>
      </c>
      <c r="B95" s="110" t="s">
        <v>3519</v>
      </c>
      <c r="C95" s="110" t="s">
        <v>3520</v>
      </c>
      <c r="D95" s="111" t="s">
        <v>3521</v>
      </c>
      <c r="E95" s="111" t="s">
        <v>3515</v>
      </c>
      <c r="F95" s="109" t="s">
        <v>346</v>
      </c>
      <c r="G95" s="109"/>
      <c r="H95" s="109"/>
      <c r="I95" s="109" t="s">
        <v>346</v>
      </c>
      <c r="J95" s="109"/>
      <c r="K95" s="109"/>
      <c r="L95" s="109" t="s">
        <v>346</v>
      </c>
      <c r="M95" s="109"/>
      <c r="N95" s="109"/>
      <c r="O95" s="113" t="s">
        <v>2816</v>
      </c>
    </row>
    <row r="96" spans="1:15" ht="70.05" customHeight="1" outlineLevel="1">
      <c r="A96" s="109" t="s">
        <v>3522</v>
      </c>
      <c r="B96" s="110" t="s">
        <v>3523</v>
      </c>
      <c r="C96" s="110" t="s">
        <v>3501</v>
      </c>
      <c r="D96" s="111" t="s">
        <v>3524</v>
      </c>
      <c r="E96" s="111" t="s">
        <v>3525</v>
      </c>
      <c r="F96" s="109" t="s">
        <v>346</v>
      </c>
      <c r="G96" s="109"/>
      <c r="H96" s="109"/>
      <c r="I96" s="109" t="s">
        <v>346</v>
      </c>
      <c r="J96" s="109"/>
      <c r="K96" s="109"/>
      <c r="L96" s="109" t="s">
        <v>346</v>
      </c>
      <c r="M96" s="109"/>
      <c r="N96" s="109"/>
      <c r="O96" s="113" t="s">
        <v>2816</v>
      </c>
    </row>
    <row r="97" spans="1:15" ht="70.05" customHeight="1" outlineLevel="1">
      <c r="A97" s="109" t="s">
        <v>3526</v>
      </c>
      <c r="B97" s="110" t="s">
        <v>3523</v>
      </c>
      <c r="C97" s="110" t="s">
        <v>3501</v>
      </c>
      <c r="D97" s="111" t="s">
        <v>3527</v>
      </c>
      <c r="E97" s="111" t="s">
        <v>3528</v>
      </c>
      <c r="F97" s="109" t="s">
        <v>346</v>
      </c>
      <c r="G97" s="109"/>
      <c r="H97" s="109"/>
      <c r="I97" s="109" t="s">
        <v>346</v>
      </c>
      <c r="J97" s="109"/>
      <c r="K97" s="109"/>
      <c r="L97" s="109" t="s">
        <v>346</v>
      </c>
      <c r="M97" s="109"/>
      <c r="N97" s="109"/>
      <c r="O97" s="113" t="s">
        <v>2816</v>
      </c>
    </row>
    <row r="98" spans="1:15" ht="70.05" customHeight="1" outlineLevel="1">
      <c r="A98" s="109" t="s">
        <v>3529</v>
      </c>
      <c r="B98" s="110" t="s">
        <v>3530</v>
      </c>
      <c r="C98" s="110" t="s">
        <v>3531</v>
      </c>
      <c r="D98" s="111" t="s">
        <v>3532</v>
      </c>
      <c r="E98" s="111" t="s">
        <v>3436</v>
      </c>
      <c r="F98" s="109" t="s">
        <v>346</v>
      </c>
      <c r="G98" s="109"/>
      <c r="H98" s="109"/>
      <c r="I98" s="109" t="s">
        <v>346</v>
      </c>
      <c r="J98" s="109"/>
      <c r="K98" s="109"/>
      <c r="L98" s="109" t="s">
        <v>346</v>
      </c>
      <c r="M98" s="109"/>
      <c r="N98" s="109"/>
      <c r="O98" s="113" t="s">
        <v>2816</v>
      </c>
    </row>
    <row r="99" spans="1:15" ht="70.05" customHeight="1" outlineLevel="1">
      <c r="A99" s="109" t="s">
        <v>3533</v>
      </c>
      <c r="B99" s="110" t="s">
        <v>3523</v>
      </c>
      <c r="C99" s="110" t="s">
        <v>3501</v>
      </c>
      <c r="D99" s="111" t="s">
        <v>3534</v>
      </c>
      <c r="E99" s="111" t="s">
        <v>3535</v>
      </c>
      <c r="F99" s="109" t="s">
        <v>346</v>
      </c>
      <c r="G99" s="109"/>
      <c r="H99" s="109"/>
      <c r="I99" s="109" t="s">
        <v>346</v>
      </c>
      <c r="J99" s="109"/>
      <c r="K99" s="109"/>
      <c r="L99" s="109" t="s">
        <v>346</v>
      </c>
      <c r="M99" s="109"/>
      <c r="N99" s="109"/>
      <c r="O99" s="113" t="s">
        <v>2816</v>
      </c>
    </row>
    <row r="100" spans="1:15" ht="70.05" customHeight="1" outlineLevel="1">
      <c r="A100" s="109" t="s">
        <v>3536</v>
      </c>
      <c r="B100" s="110" t="s">
        <v>3537</v>
      </c>
      <c r="C100" s="110" t="s">
        <v>3538</v>
      </c>
      <c r="D100" s="111" t="s">
        <v>3539</v>
      </c>
      <c r="E100" s="111" t="s">
        <v>3515</v>
      </c>
      <c r="F100" s="109" t="s">
        <v>346</v>
      </c>
      <c r="G100" s="109"/>
      <c r="H100" s="109"/>
      <c r="I100" s="109" t="s">
        <v>346</v>
      </c>
      <c r="J100" s="109"/>
      <c r="K100" s="109"/>
      <c r="L100" s="109" t="s">
        <v>346</v>
      </c>
      <c r="M100" s="109"/>
      <c r="N100" s="109"/>
      <c r="O100" s="113" t="s">
        <v>2816</v>
      </c>
    </row>
    <row r="101" spans="1:15" ht="70.05" customHeight="1" outlineLevel="1">
      <c r="A101" s="109" t="s">
        <v>3540</v>
      </c>
      <c r="B101" s="110" t="s">
        <v>3541</v>
      </c>
      <c r="C101" s="110" t="s">
        <v>3513</v>
      </c>
      <c r="D101" s="111" t="s">
        <v>3294</v>
      </c>
      <c r="E101" s="111" t="s">
        <v>3542</v>
      </c>
      <c r="F101" s="109" t="s">
        <v>346</v>
      </c>
      <c r="G101" s="109"/>
      <c r="H101" s="109"/>
      <c r="I101" s="109" t="s">
        <v>346</v>
      </c>
      <c r="J101" s="109"/>
      <c r="K101" s="109"/>
      <c r="L101" s="109" t="s">
        <v>346</v>
      </c>
      <c r="M101" s="109"/>
      <c r="N101" s="109"/>
      <c r="O101" s="113" t="s">
        <v>2816</v>
      </c>
    </row>
    <row r="102" spans="1:15" ht="70.05" customHeight="1" outlineLevel="1">
      <c r="A102" s="109" t="s">
        <v>3543</v>
      </c>
      <c r="B102" s="110" t="s">
        <v>3544</v>
      </c>
      <c r="C102" s="110" t="s">
        <v>3545</v>
      </c>
      <c r="D102" s="111" t="s">
        <v>3307</v>
      </c>
      <c r="E102" s="111" t="s">
        <v>3436</v>
      </c>
      <c r="F102" s="109" t="s">
        <v>346</v>
      </c>
      <c r="G102" s="109"/>
      <c r="H102" s="109"/>
      <c r="I102" s="109" t="s">
        <v>346</v>
      </c>
      <c r="J102" s="109"/>
      <c r="K102" s="109"/>
      <c r="L102" s="109" t="s">
        <v>346</v>
      </c>
      <c r="M102" s="109"/>
      <c r="N102" s="109"/>
      <c r="O102" s="113" t="s">
        <v>2816</v>
      </c>
    </row>
    <row r="103" spans="1:15" ht="70.05" customHeight="1" outlineLevel="1">
      <c r="A103" s="109" t="s">
        <v>3546</v>
      </c>
      <c r="B103" s="110" t="s">
        <v>3547</v>
      </c>
      <c r="C103" s="110" t="s">
        <v>3548</v>
      </c>
      <c r="D103" s="111" t="s">
        <v>3307</v>
      </c>
      <c r="E103" s="111" t="s">
        <v>3436</v>
      </c>
      <c r="F103" s="109" t="s">
        <v>346</v>
      </c>
      <c r="G103" s="109"/>
      <c r="H103" s="109"/>
      <c r="I103" s="109" t="s">
        <v>346</v>
      </c>
      <c r="J103" s="109"/>
      <c r="K103" s="109"/>
      <c r="L103" s="109" t="s">
        <v>346</v>
      </c>
      <c r="M103" s="109"/>
      <c r="N103" s="109"/>
      <c r="O103" s="113" t="s">
        <v>2816</v>
      </c>
    </row>
    <row r="104" spans="1:15" ht="70.05" customHeight="1" outlineLevel="1">
      <c r="A104" s="109" t="s">
        <v>3549</v>
      </c>
      <c r="B104" s="110" t="s">
        <v>3550</v>
      </c>
      <c r="C104" s="110" t="s">
        <v>3551</v>
      </c>
      <c r="D104" s="111" t="s">
        <v>3552</v>
      </c>
      <c r="E104" s="111" t="s">
        <v>3436</v>
      </c>
      <c r="F104" s="109" t="s">
        <v>346</v>
      </c>
      <c r="G104" s="109"/>
      <c r="H104" s="109"/>
      <c r="I104" s="109" t="s">
        <v>346</v>
      </c>
      <c r="J104" s="109"/>
      <c r="K104" s="109"/>
      <c r="L104" s="109" t="s">
        <v>346</v>
      </c>
      <c r="M104" s="109"/>
      <c r="N104" s="109"/>
      <c r="O104" s="113" t="s">
        <v>2816</v>
      </c>
    </row>
    <row r="105" spans="1:15" ht="70.05" customHeight="1" outlineLevel="1">
      <c r="A105" s="109" t="s">
        <v>3553</v>
      </c>
      <c r="B105" s="110" t="s">
        <v>3554</v>
      </c>
      <c r="C105" s="110" t="s">
        <v>3555</v>
      </c>
      <c r="D105" s="111" t="s">
        <v>3307</v>
      </c>
      <c r="E105" s="111" t="s">
        <v>3436</v>
      </c>
      <c r="F105" s="109" t="s">
        <v>346</v>
      </c>
      <c r="G105" s="109"/>
      <c r="H105" s="109"/>
      <c r="I105" s="109" t="s">
        <v>346</v>
      </c>
      <c r="J105" s="109"/>
      <c r="K105" s="109"/>
      <c r="L105" s="109" t="s">
        <v>346</v>
      </c>
      <c r="M105" s="109"/>
      <c r="N105" s="109"/>
      <c r="O105" s="113" t="s">
        <v>2816</v>
      </c>
    </row>
    <row r="106" spans="1:15" ht="70.05" customHeight="1" outlineLevel="1">
      <c r="A106" s="109" t="s">
        <v>3556</v>
      </c>
      <c r="B106" s="110" t="s">
        <v>3557</v>
      </c>
      <c r="C106" s="110" t="s">
        <v>3558</v>
      </c>
      <c r="D106" s="111" t="s">
        <v>3302</v>
      </c>
      <c r="E106" s="111" t="s">
        <v>3436</v>
      </c>
      <c r="F106" s="109" t="s">
        <v>346</v>
      </c>
      <c r="G106" s="109"/>
      <c r="H106" s="109"/>
      <c r="I106" s="109" t="s">
        <v>346</v>
      </c>
      <c r="J106" s="109"/>
      <c r="K106" s="109"/>
      <c r="L106" s="109" t="s">
        <v>346</v>
      </c>
      <c r="M106" s="109"/>
      <c r="N106" s="109"/>
      <c r="O106" s="113" t="s">
        <v>2816</v>
      </c>
    </row>
    <row r="107" spans="1:15" ht="70.05" customHeight="1" outlineLevel="1">
      <c r="A107" s="109" t="s">
        <v>3559</v>
      </c>
      <c r="B107" s="110" t="s">
        <v>3560</v>
      </c>
      <c r="C107" s="110" t="s">
        <v>3501</v>
      </c>
      <c r="D107" s="111" t="s">
        <v>3299</v>
      </c>
      <c r="E107" s="111" t="s">
        <v>3483</v>
      </c>
      <c r="F107" s="109" t="s">
        <v>346</v>
      </c>
      <c r="G107" s="109"/>
      <c r="H107" s="109"/>
      <c r="I107" s="109" t="s">
        <v>346</v>
      </c>
      <c r="J107" s="109"/>
      <c r="K107" s="109"/>
      <c r="L107" s="109" t="s">
        <v>346</v>
      </c>
      <c r="M107" s="109"/>
      <c r="N107" s="109"/>
      <c r="O107" s="113" t="s">
        <v>2816</v>
      </c>
    </row>
    <row r="108" spans="1:15" ht="15.75" customHeight="1">
      <c r="A108" s="60" t="s">
        <v>159</v>
      </c>
      <c r="B108" s="60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2"/>
    </row>
    <row r="109" spans="1:15" ht="70.05" customHeight="1" outlineLevel="1">
      <c r="A109" s="109" t="s">
        <v>3561</v>
      </c>
      <c r="B109" s="110" t="s">
        <v>3562</v>
      </c>
      <c r="C109" s="110" t="s">
        <v>3563</v>
      </c>
      <c r="D109" s="111" t="s">
        <v>3564</v>
      </c>
      <c r="E109" s="111" t="s">
        <v>3436</v>
      </c>
      <c r="F109" s="109" t="s">
        <v>346</v>
      </c>
      <c r="G109" s="109"/>
      <c r="H109" s="109"/>
      <c r="I109" s="109" t="s">
        <v>346</v>
      </c>
      <c r="J109" s="109"/>
      <c r="K109" s="109"/>
      <c r="L109" s="109" t="s">
        <v>346</v>
      </c>
      <c r="M109" s="109"/>
      <c r="N109" s="109"/>
      <c r="O109" s="113" t="s">
        <v>2816</v>
      </c>
    </row>
    <row r="110" spans="1:15" ht="70.05" customHeight="1" outlineLevel="1">
      <c r="A110" s="109" t="s">
        <v>3565</v>
      </c>
      <c r="B110" s="110" t="s">
        <v>3562</v>
      </c>
      <c r="C110" s="110" t="s">
        <v>3563</v>
      </c>
      <c r="D110" s="111" t="s">
        <v>3566</v>
      </c>
      <c r="E110" s="111" t="s">
        <v>3441</v>
      </c>
      <c r="F110" s="109" t="s">
        <v>346</v>
      </c>
      <c r="G110" s="109"/>
      <c r="H110" s="109"/>
      <c r="I110" s="109" t="s">
        <v>346</v>
      </c>
      <c r="J110" s="109"/>
      <c r="K110" s="109"/>
      <c r="L110" s="109" t="s">
        <v>346</v>
      </c>
      <c r="M110" s="109"/>
      <c r="N110" s="109"/>
      <c r="O110" s="113" t="s">
        <v>2816</v>
      </c>
    </row>
    <row r="111" spans="1:15" ht="70.05" customHeight="1" outlineLevel="1">
      <c r="A111" s="109" t="s">
        <v>3567</v>
      </c>
      <c r="B111" s="110" t="s">
        <v>3562</v>
      </c>
      <c r="C111" s="110" t="s">
        <v>3563</v>
      </c>
      <c r="D111" s="111" t="s">
        <v>3566</v>
      </c>
      <c r="E111" s="111" t="s">
        <v>3446</v>
      </c>
      <c r="F111" s="109" t="s">
        <v>346</v>
      </c>
      <c r="G111" s="109"/>
      <c r="H111" s="109"/>
      <c r="I111" s="109" t="s">
        <v>346</v>
      </c>
      <c r="J111" s="109"/>
      <c r="K111" s="109"/>
      <c r="L111" s="109" t="s">
        <v>346</v>
      </c>
      <c r="M111" s="109"/>
      <c r="N111" s="109"/>
      <c r="O111" s="113" t="s">
        <v>2816</v>
      </c>
    </row>
    <row r="112" spans="1:15" ht="70.05" customHeight="1" outlineLevel="1">
      <c r="A112" s="109" t="s">
        <v>3568</v>
      </c>
      <c r="B112" s="110" t="s">
        <v>3569</v>
      </c>
      <c r="C112" s="110" t="s">
        <v>3570</v>
      </c>
      <c r="D112" s="111" t="s">
        <v>3571</v>
      </c>
      <c r="E112" s="111" t="s">
        <v>3572</v>
      </c>
      <c r="F112" s="109" t="s">
        <v>346</v>
      </c>
      <c r="G112" s="109"/>
      <c r="H112" s="109"/>
      <c r="I112" s="109" t="s">
        <v>346</v>
      </c>
      <c r="J112" s="109"/>
      <c r="K112" s="109"/>
      <c r="L112" s="109" t="s">
        <v>346</v>
      </c>
      <c r="M112" s="109"/>
      <c r="N112" s="109"/>
      <c r="O112" s="113" t="s">
        <v>2816</v>
      </c>
    </row>
    <row r="113" spans="1:15" ht="70.05" customHeight="1" outlineLevel="1">
      <c r="A113" s="109" t="s">
        <v>3573</v>
      </c>
      <c r="B113" s="110" t="s">
        <v>3562</v>
      </c>
      <c r="C113" s="110" t="s">
        <v>3563</v>
      </c>
      <c r="D113" s="111" t="s">
        <v>3574</v>
      </c>
      <c r="E113" s="111" t="s">
        <v>3575</v>
      </c>
      <c r="F113" s="109" t="s">
        <v>346</v>
      </c>
      <c r="G113" s="109"/>
      <c r="H113" s="109"/>
      <c r="I113" s="109" t="s">
        <v>346</v>
      </c>
      <c r="J113" s="109"/>
      <c r="K113" s="109"/>
      <c r="L113" s="109" t="s">
        <v>346</v>
      </c>
      <c r="M113" s="109"/>
      <c r="N113" s="109"/>
      <c r="O113" s="113" t="s">
        <v>2816</v>
      </c>
    </row>
    <row r="114" spans="1:15" ht="70.05" customHeight="1" outlineLevel="1">
      <c r="A114" s="109" t="s">
        <v>3576</v>
      </c>
      <c r="B114" s="110" t="s">
        <v>3562</v>
      </c>
      <c r="C114" s="110" t="s">
        <v>3563</v>
      </c>
      <c r="D114" s="111" t="s">
        <v>3577</v>
      </c>
      <c r="E114" s="111" t="s">
        <v>3578</v>
      </c>
      <c r="F114" s="109" t="s">
        <v>346</v>
      </c>
      <c r="G114" s="109"/>
      <c r="H114" s="109"/>
      <c r="I114" s="109" t="s">
        <v>346</v>
      </c>
      <c r="J114" s="109"/>
      <c r="K114" s="109"/>
      <c r="L114" s="109" t="s">
        <v>346</v>
      </c>
      <c r="M114" s="109"/>
      <c r="N114" s="109"/>
      <c r="O114" s="113" t="s">
        <v>2816</v>
      </c>
    </row>
    <row r="115" spans="1:15" ht="70.05" customHeight="1" outlineLevel="1">
      <c r="A115" s="109" t="s">
        <v>3579</v>
      </c>
      <c r="B115" s="110" t="s">
        <v>3562</v>
      </c>
      <c r="C115" s="110" t="s">
        <v>3563</v>
      </c>
      <c r="D115" s="111" t="s">
        <v>3580</v>
      </c>
      <c r="E115" s="111" t="s">
        <v>3581</v>
      </c>
      <c r="F115" s="109" t="s">
        <v>346</v>
      </c>
      <c r="G115" s="109"/>
      <c r="H115" s="109"/>
      <c r="I115" s="109" t="s">
        <v>346</v>
      </c>
      <c r="J115" s="109"/>
      <c r="K115" s="109"/>
      <c r="L115" s="109" t="s">
        <v>346</v>
      </c>
      <c r="M115" s="109"/>
      <c r="N115" s="109"/>
      <c r="O115" s="113" t="s">
        <v>2816</v>
      </c>
    </row>
    <row r="116" spans="1:15" ht="70.05" customHeight="1" outlineLevel="1">
      <c r="A116" s="109" t="s">
        <v>3582</v>
      </c>
      <c r="B116" s="110" t="s">
        <v>3583</v>
      </c>
      <c r="C116" s="110" t="s">
        <v>3563</v>
      </c>
      <c r="D116" s="111" t="s">
        <v>3584</v>
      </c>
      <c r="E116" s="111" t="s">
        <v>3585</v>
      </c>
      <c r="F116" s="109" t="s">
        <v>346</v>
      </c>
      <c r="G116" s="109"/>
      <c r="H116" s="109"/>
      <c r="I116" s="109" t="s">
        <v>346</v>
      </c>
      <c r="J116" s="109"/>
      <c r="K116" s="109"/>
      <c r="L116" s="109" t="s">
        <v>346</v>
      </c>
      <c r="M116" s="109"/>
      <c r="N116" s="109"/>
      <c r="O116" s="113" t="s">
        <v>2816</v>
      </c>
    </row>
    <row r="117" spans="1:15" ht="70.05" customHeight="1" outlineLevel="1">
      <c r="A117" s="109" t="s">
        <v>3586</v>
      </c>
      <c r="B117" s="110" t="s">
        <v>3583</v>
      </c>
      <c r="C117" s="110" t="s">
        <v>3563</v>
      </c>
      <c r="D117" s="111" t="s">
        <v>3587</v>
      </c>
      <c r="E117" s="111" t="s">
        <v>3588</v>
      </c>
      <c r="F117" s="109" t="s">
        <v>346</v>
      </c>
      <c r="G117" s="109"/>
      <c r="H117" s="109"/>
      <c r="I117" s="109" t="s">
        <v>346</v>
      </c>
      <c r="J117" s="109"/>
      <c r="K117" s="109"/>
      <c r="L117" s="109" t="s">
        <v>346</v>
      </c>
      <c r="M117" s="109"/>
      <c r="N117" s="109"/>
      <c r="O117" s="113" t="s">
        <v>2816</v>
      </c>
    </row>
    <row r="118" spans="1:15" ht="70.05" customHeight="1" outlineLevel="1">
      <c r="A118" s="109" t="s">
        <v>3589</v>
      </c>
      <c r="B118" s="110" t="s">
        <v>3583</v>
      </c>
      <c r="C118" s="110" t="s">
        <v>3563</v>
      </c>
      <c r="D118" s="111" t="s">
        <v>3590</v>
      </c>
      <c r="E118" s="111" t="s">
        <v>3591</v>
      </c>
      <c r="F118" s="109" t="s">
        <v>346</v>
      </c>
      <c r="G118" s="109"/>
      <c r="H118" s="109"/>
      <c r="I118" s="109" t="s">
        <v>346</v>
      </c>
      <c r="J118" s="109"/>
      <c r="K118" s="109"/>
      <c r="L118" s="109" t="s">
        <v>346</v>
      </c>
      <c r="M118" s="109"/>
      <c r="N118" s="109"/>
      <c r="O118" s="113" t="s">
        <v>2816</v>
      </c>
    </row>
    <row r="119" spans="1:15" ht="70.05" customHeight="1" outlineLevel="1">
      <c r="A119" s="109" t="s">
        <v>3592</v>
      </c>
      <c r="B119" s="110" t="s">
        <v>3583</v>
      </c>
      <c r="C119" s="110" t="s">
        <v>3563</v>
      </c>
      <c r="D119" s="111" t="s">
        <v>3402</v>
      </c>
      <c r="E119" s="111" t="s">
        <v>3479</v>
      </c>
      <c r="F119" s="109" t="s">
        <v>346</v>
      </c>
      <c r="G119" s="109"/>
      <c r="H119" s="109"/>
      <c r="I119" s="109" t="s">
        <v>346</v>
      </c>
      <c r="J119" s="109"/>
      <c r="K119" s="109"/>
      <c r="L119" s="109" t="s">
        <v>346</v>
      </c>
      <c r="M119" s="109"/>
      <c r="N119" s="109"/>
      <c r="O119" s="113" t="s">
        <v>2816</v>
      </c>
    </row>
    <row r="120" spans="1:15" ht="70.05" customHeight="1" outlineLevel="1">
      <c r="A120" s="109" t="s">
        <v>3593</v>
      </c>
      <c r="B120" s="110" t="s">
        <v>3594</v>
      </c>
      <c r="C120" s="110" t="s">
        <v>3595</v>
      </c>
      <c r="D120" s="111" t="s">
        <v>3402</v>
      </c>
      <c r="E120" s="111" t="s">
        <v>3596</v>
      </c>
      <c r="F120" s="109" t="s">
        <v>346</v>
      </c>
      <c r="G120" s="109"/>
      <c r="H120" s="109"/>
      <c r="I120" s="109" t="s">
        <v>346</v>
      </c>
      <c r="J120" s="109"/>
      <c r="K120" s="109"/>
      <c r="L120" s="109" t="s">
        <v>346</v>
      </c>
      <c r="M120" s="109"/>
      <c r="N120" s="109"/>
      <c r="O120" s="113" t="s">
        <v>2816</v>
      </c>
    </row>
    <row r="121" spans="1:15" ht="70.05" customHeight="1" outlineLevel="1">
      <c r="A121" s="109" t="s">
        <v>3597</v>
      </c>
      <c r="B121" s="110" t="s">
        <v>3598</v>
      </c>
      <c r="C121" s="110" t="s">
        <v>3563</v>
      </c>
      <c r="D121" s="111" t="s">
        <v>3299</v>
      </c>
      <c r="E121" s="111" t="s">
        <v>3483</v>
      </c>
      <c r="F121" s="109" t="s">
        <v>346</v>
      </c>
      <c r="G121" s="109"/>
      <c r="H121" s="109"/>
      <c r="I121" s="109" t="s">
        <v>346</v>
      </c>
      <c r="J121" s="109"/>
      <c r="K121" s="109"/>
      <c r="L121" s="109" t="s">
        <v>346</v>
      </c>
      <c r="M121" s="109"/>
      <c r="N121" s="109"/>
      <c r="O121" s="113" t="s">
        <v>2816</v>
      </c>
    </row>
    <row r="122" spans="1:15" ht="70.05" customHeight="1" outlineLevel="1">
      <c r="A122" s="109" t="s">
        <v>3599</v>
      </c>
      <c r="B122" s="110" t="s">
        <v>3600</v>
      </c>
      <c r="C122" s="110" t="s">
        <v>3601</v>
      </c>
      <c r="D122" s="111" t="s">
        <v>3602</v>
      </c>
      <c r="E122" s="111" t="s">
        <v>3436</v>
      </c>
      <c r="F122" s="109" t="s">
        <v>346</v>
      </c>
      <c r="G122" s="109"/>
      <c r="H122" s="109"/>
      <c r="I122" s="109" t="s">
        <v>346</v>
      </c>
      <c r="J122" s="109"/>
      <c r="K122" s="109"/>
      <c r="L122" s="109" t="s">
        <v>346</v>
      </c>
      <c r="M122" s="109"/>
      <c r="N122" s="109"/>
      <c r="O122" s="113" t="s">
        <v>2816</v>
      </c>
    </row>
    <row r="123" spans="1:15" ht="70.05" customHeight="1" outlineLevel="1">
      <c r="A123" s="109" t="s">
        <v>3603</v>
      </c>
      <c r="B123" s="110" t="s">
        <v>3604</v>
      </c>
      <c r="C123" s="110" t="s">
        <v>3605</v>
      </c>
      <c r="D123" s="111" t="s">
        <v>3307</v>
      </c>
      <c r="E123" s="111" t="s">
        <v>3436</v>
      </c>
      <c r="F123" s="109" t="s">
        <v>346</v>
      </c>
      <c r="G123" s="109"/>
      <c r="H123" s="109"/>
      <c r="I123" s="109" t="s">
        <v>346</v>
      </c>
      <c r="J123" s="109"/>
      <c r="K123" s="109"/>
      <c r="L123" s="109" t="s">
        <v>346</v>
      </c>
      <c r="M123" s="109"/>
      <c r="N123" s="109"/>
      <c r="O123" s="113" t="s">
        <v>2816</v>
      </c>
    </row>
    <row r="124" spans="1:15" ht="70.05" customHeight="1" outlineLevel="1">
      <c r="A124" s="109" t="s">
        <v>3606</v>
      </c>
      <c r="B124" s="110" t="s">
        <v>3607</v>
      </c>
      <c r="C124" s="110" t="s">
        <v>3608</v>
      </c>
      <c r="D124" s="111" t="s">
        <v>3602</v>
      </c>
      <c r="E124" s="111" t="s">
        <v>3436</v>
      </c>
      <c r="F124" s="109" t="s">
        <v>346</v>
      </c>
      <c r="G124" s="109"/>
      <c r="H124" s="109"/>
      <c r="I124" s="109" t="s">
        <v>346</v>
      </c>
      <c r="J124" s="109"/>
      <c r="K124" s="109"/>
      <c r="L124" s="109" t="s">
        <v>346</v>
      </c>
      <c r="M124" s="109"/>
      <c r="N124" s="109"/>
      <c r="O124" s="113" t="s">
        <v>2816</v>
      </c>
    </row>
    <row r="125" spans="1:15" ht="70.05" customHeight="1" outlineLevel="1">
      <c r="A125" s="109" t="s">
        <v>3609</v>
      </c>
      <c r="B125" s="110" t="s">
        <v>3598</v>
      </c>
      <c r="C125" s="110" t="s">
        <v>3563</v>
      </c>
      <c r="D125" s="111" t="s">
        <v>3497</v>
      </c>
      <c r="E125" s="111" t="s">
        <v>3498</v>
      </c>
      <c r="F125" s="109" t="s">
        <v>346</v>
      </c>
      <c r="G125" s="109"/>
      <c r="H125" s="109"/>
      <c r="I125" s="109" t="s">
        <v>346</v>
      </c>
      <c r="J125" s="109"/>
      <c r="K125" s="109"/>
      <c r="L125" s="109" t="s">
        <v>346</v>
      </c>
      <c r="M125" s="109"/>
      <c r="N125" s="109"/>
      <c r="O125" s="113" t="s">
        <v>2816</v>
      </c>
    </row>
    <row r="126" spans="1:15" ht="15.75" customHeight="1">
      <c r="A126" s="60" t="s">
        <v>161</v>
      </c>
      <c r="B126" s="60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2"/>
    </row>
    <row r="127" spans="1:15" ht="70.05" customHeight="1" outlineLevel="1">
      <c r="A127" s="109" t="s">
        <v>3610</v>
      </c>
      <c r="B127" s="110" t="s">
        <v>3611</v>
      </c>
      <c r="C127" s="110" t="s">
        <v>3612</v>
      </c>
      <c r="D127" s="111" t="s">
        <v>3613</v>
      </c>
      <c r="E127" s="111" t="s">
        <v>3436</v>
      </c>
      <c r="F127" s="109" t="s">
        <v>346</v>
      </c>
      <c r="G127" s="109"/>
      <c r="H127" s="109"/>
      <c r="I127" s="109" t="s">
        <v>346</v>
      </c>
      <c r="J127" s="109"/>
      <c r="K127" s="109"/>
      <c r="L127" s="109" t="s">
        <v>346</v>
      </c>
      <c r="M127" s="109"/>
      <c r="N127" s="109"/>
      <c r="O127" s="113" t="s">
        <v>2816</v>
      </c>
    </row>
    <row r="128" spans="1:15" ht="70.05" customHeight="1" outlineLevel="1">
      <c r="A128" s="109" t="s">
        <v>3614</v>
      </c>
      <c r="B128" s="110" t="s">
        <v>3615</v>
      </c>
      <c r="C128" s="110" t="s">
        <v>3616</v>
      </c>
      <c r="D128" s="111" t="s">
        <v>3617</v>
      </c>
      <c r="E128" s="111" t="s">
        <v>3436</v>
      </c>
      <c r="F128" s="109" t="s">
        <v>346</v>
      </c>
      <c r="G128" s="109"/>
      <c r="H128" s="109"/>
      <c r="I128" s="109" t="s">
        <v>346</v>
      </c>
      <c r="J128" s="109"/>
      <c r="K128" s="109"/>
      <c r="L128" s="109" t="s">
        <v>346</v>
      </c>
      <c r="M128" s="109"/>
      <c r="N128" s="109"/>
      <c r="O128" s="113" t="s">
        <v>2816</v>
      </c>
    </row>
    <row r="129" spans="1:15" ht="70.05" customHeight="1" outlineLevel="1">
      <c r="A129" s="109" t="s">
        <v>3618</v>
      </c>
      <c r="B129" s="110" t="s">
        <v>3619</v>
      </c>
      <c r="C129" s="110" t="s">
        <v>3620</v>
      </c>
      <c r="D129" s="111" t="s">
        <v>3621</v>
      </c>
      <c r="E129" s="111" t="s">
        <v>3436</v>
      </c>
      <c r="F129" s="109" t="s">
        <v>346</v>
      </c>
      <c r="G129" s="109"/>
      <c r="H129" s="109"/>
      <c r="I129" s="109" t="s">
        <v>346</v>
      </c>
      <c r="J129" s="109"/>
      <c r="K129" s="109"/>
      <c r="L129" s="109" t="s">
        <v>346</v>
      </c>
      <c r="M129" s="109"/>
      <c r="N129" s="109"/>
      <c r="O129" s="113" t="s">
        <v>2816</v>
      </c>
    </row>
    <row r="130" spans="1:15" ht="70.05" customHeight="1" outlineLevel="1">
      <c r="A130" s="109" t="s">
        <v>3622</v>
      </c>
      <c r="B130" s="110" t="s">
        <v>3623</v>
      </c>
      <c r="C130" s="110" t="s">
        <v>3624</v>
      </c>
      <c r="D130" s="111" t="s">
        <v>3625</v>
      </c>
      <c r="E130" s="111" t="s">
        <v>3436</v>
      </c>
      <c r="F130" s="109" t="s">
        <v>346</v>
      </c>
      <c r="G130" s="109"/>
      <c r="H130" s="109"/>
      <c r="I130" s="109" t="s">
        <v>346</v>
      </c>
      <c r="J130" s="109"/>
      <c r="K130" s="109"/>
      <c r="L130" s="109" t="s">
        <v>346</v>
      </c>
      <c r="M130" s="109"/>
      <c r="N130" s="109"/>
      <c r="O130" s="113" t="s">
        <v>2816</v>
      </c>
    </row>
    <row r="131" spans="1:15" ht="70.05" customHeight="1" outlineLevel="1">
      <c r="A131" s="109" t="s">
        <v>3626</v>
      </c>
      <c r="B131" s="110" t="s">
        <v>3611</v>
      </c>
      <c r="C131" s="110" t="s">
        <v>3612</v>
      </c>
      <c r="D131" s="111" t="s">
        <v>3627</v>
      </c>
      <c r="E131" s="111" t="s">
        <v>3446</v>
      </c>
      <c r="F131" s="109" t="s">
        <v>346</v>
      </c>
      <c r="G131" s="109"/>
      <c r="H131" s="109"/>
      <c r="I131" s="109" t="s">
        <v>346</v>
      </c>
      <c r="J131" s="109"/>
      <c r="K131" s="109"/>
      <c r="L131" s="109" t="s">
        <v>346</v>
      </c>
      <c r="M131" s="109"/>
      <c r="N131" s="109"/>
      <c r="O131" s="113" t="s">
        <v>2816</v>
      </c>
    </row>
    <row r="132" spans="1:15" ht="70.05" customHeight="1" outlineLevel="1">
      <c r="A132" s="109" t="s">
        <v>3628</v>
      </c>
      <c r="B132" s="110" t="s">
        <v>3629</v>
      </c>
      <c r="C132" s="110" t="s">
        <v>3630</v>
      </c>
      <c r="D132" s="111" t="s">
        <v>3631</v>
      </c>
      <c r="E132" s="111" t="s">
        <v>3632</v>
      </c>
      <c r="F132" s="109" t="s">
        <v>346</v>
      </c>
      <c r="G132" s="109"/>
      <c r="H132" s="109"/>
      <c r="I132" s="109" t="s">
        <v>346</v>
      </c>
      <c r="J132" s="109"/>
      <c r="K132" s="109"/>
      <c r="L132" s="109" t="s">
        <v>346</v>
      </c>
      <c r="M132" s="109"/>
      <c r="N132" s="109"/>
      <c r="O132" s="113" t="s">
        <v>2816</v>
      </c>
    </row>
    <row r="133" spans="1:15" ht="70.05" customHeight="1" outlineLevel="1">
      <c r="A133" s="109" t="s">
        <v>3633</v>
      </c>
      <c r="B133" s="110" t="s">
        <v>3629</v>
      </c>
      <c r="C133" s="110" t="s">
        <v>3630</v>
      </c>
      <c r="D133" s="111" t="s">
        <v>3631</v>
      </c>
      <c r="E133" s="111" t="s">
        <v>3634</v>
      </c>
      <c r="F133" s="109" t="s">
        <v>346</v>
      </c>
      <c r="G133" s="109"/>
      <c r="H133" s="109"/>
      <c r="I133" s="109" t="s">
        <v>346</v>
      </c>
      <c r="J133" s="109"/>
      <c r="K133" s="109"/>
      <c r="L133" s="109" t="s">
        <v>346</v>
      </c>
      <c r="M133" s="109"/>
      <c r="N133" s="109"/>
      <c r="O133" s="113" t="s">
        <v>2816</v>
      </c>
    </row>
    <row r="134" spans="1:15" ht="70.05" customHeight="1" outlineLevel="1">
      <c r="A134" s="109" t="s">
        <v>3635</v>
      </c>
      <c r="B134" s="110" t="s">
        <v>3636</v>
      </c>
      <c r="C134" s="110" t="s">
        <v>3637</v>
      </c>
      <c r="D134" s="111" t="s">
        <v>3638</v>
      </c>
      <c r="E134" s="111" t="s">
        <v>3639</v>
      </c>
      <c r="F134" s="109" t="s">
        <v>346</v>
      </c>
      <c r="G134" s="109"/>
      <c r="H134" s="109"/>
      <c r="I134" s="109" t="s">
        <v>346</v>
      </c>
      <c r="J134" s="109"/>
      <c r="K134" s="109"/>
      <c r="L134" s="109" t="s">
        <v>346</v>
      </c>
      <c r="M134" s="109"/>
      <c r="N134" s="109"/>
      <c r="O134" s="113" t="s">
        <v>2816</v>
      </c>
    </row>
    <row r="135" spans="1:15" ht="70.05" customHeight="1" outlineLevel="1">
      <c r="A135" s="109" t="s">
        <v>3640</v>
      </c>
      <c r="B135" s="110" t="s">
        <v>3641</v>
      </c>
      <c r="C135" s="110" t="s">
        <v>3642</v>
      </c>
      <c r="D135" s="111" t="s">
        <v>3643</v>
      </c>
      <c r="E135" s="111" t="s">
        <v>3639</v>
      </c>
      <c r="F135" s="109" t="s">
        <v>346</v>
      </c>
      <c r="G135" s="109"/>
      <c r="H135" s="109"/>
      <c r="I135" s="109" t="s">
        <v>346</v>
      </c>
      <c r="J135" s="109"/>
      <c r="K135" s="109"/>
      <c r="L135" s="109" t="s">
        <v>346</v>
      </c>
      <c r="M135" s="109"/>
      <c r="N135" s="109"/>
      <c r="O135" s="113" t="s">
        <v>2816</v>
      </c>
    </row>
    <row r="136" spans="1:15" ht="70.05" customHeight="1" outlineLevel="1">
      <c r="A136" s="109" t="s">
        <v>3644</v>
      </c>
      <c r="B136" s="110" t="s">
        <v>3645</v>
      </c>
      <c r="C136" s="110" t="s">
        <v>3612</v>
      </c>
      <c r="D136" s="111" t="s">
        <v>3646</v>
      </c>
      <c r="E136" s="111" t="s">
        <v>3479</v>
      </c>
      <c r="F136" s="109" t="s">
        <v>346</v>
      </c>
      <c r="G136" s="109"/>
      <c r="H136" s="109"/>
      <c r="I136" s="109" t="s">
        <v>346</v>
      </c>
      <c r="J136" s="109"/>
      <c r="K136" s="109"/>
      <c r="L136" s="109" t="s">
        <v>346</v>
      </c>
      <c r="M136" s="109"/>
      <c r="N136" s="109"/>
      <c r="O136" s="113" t="s">
        <v>2816</v>
      </c>
    </row>
    <row r="137" spans="1:15" ht="70.05" customHeight="1" outlineLevel="1">
      <c r="A137" s="109" t="s">
        <v>3647</v>
      </c>
      <c r="B137" s="110" t="s">
        <v>3648</v>
      </c>
      <c r="C137" s="110" t="s">
        <v>3616</v>
      </c>
      <c r="D137" s="111" t="s">
        <v>3649</v>
      </c>
      <c r="E137" s="111" t="s">
        <v>3457</v>
      </c>
      <c r="F137" s="109" t="s">
        <v>346</v>
      </c>
      <c r="G137" s="109"/>
      <c r="H137" s="109"/>
      <c r="I137" s="109" t="s">
        <v>346</v>
      </c>
      <c r="J137" s="109"/>
      <c r="K137" s="109"/>
      <c r="L137" s="109" t="s">
        <v>346</v>
      </c>
      <c r="M137" s="109"/>
      <c r="N137" s="109"/>
      <c r="O137" s="113" t="s">
        <v>2816</v>
      </c>
    </row>
    <row r="138" spans="1:15" ht="70.05" customHeight="1" outlineLevel="1">
      <c r="A138" s="109" t="s">
        <v>3650</v>
      </c>
      <c r="B138" s="110" t="s">
        <v>3651</v>
      </c>
      <c r="C138" s="110" t="s">
        <v>3637</v>
      </c>
      <c r="D138" s="111" t="s">
        <v>3652</v>
      </c>
      <c r="E138" s="111" t="s">
        <v>3632</v>
      </c>
      <c r="F138" s="109" t="s">
        <v>346</v>
      </c>
      <c r="G138" s="109"/>
      <c r="H138" s="109"/>
      <c r="I138" s="109" t="s">
        <v>346</v>
      </c>
      <c r="J138" s="109"/>
      <c r="K138" s="109"/>
      <c r="L138" s="109" t="s">
        <v>346</v>
      </c>
      <c r="M138" s="109"/>
      <c r="N138" s="109"/>
      <c r="O138" s="113" t="s">
        <v>2816</v>
      </c>
    </row>
    <row r="139" spans="1:15" ht="70.05" customHeight="1" outlineLevel="1">
      <c r="A139" s="109" t="s">
        <v>3653</v>
      </c>
      <c r="B139" s="110" t="s">
        <v>3654</v>
      </c>
      <c r="C139" s="110" t="s">
        <v>3655</v>
      </c>
      <c r="D139" s="111" t="s">
        <v>3652</v>
      </c>
      <c r="E139" s="111" t="s">
        <v>3588</v>
      </c>
      <c r="F139" s="109" t="s">
        <v>346</v>
      </c>
      <c r="G139" s="109"/>
      <c r="H139" s="109"/>
      <c r="I139" s="109" t="s">
        <v>346</v>
      </c>
      <c r="J139" s="109"/>
      <c r="K139" s="109"/>
      <c r="L139" s="109" t="s">
        <v>346</v>
      </c>
      <c r="M139" s="109"/>
      <c r="N139" s="109"/>
      <c r="O139" s="113" t="s">
        <v>2816</v>
      </c>
    </row>
    <row r="140" spans="1:15" ht="70.05" customHeight="1" outlineLevel="1">
      <c r="A140" s="109" t="s">
        <v>3656</v>
      </c>
      <c r="B140" s="110" t="s">
        <v>3657</v>
      </c>
      <c r="C140" s="110" t="s">
        <v>3630</v>
      </c>
      <c r="D140" s="111" t="s">
        <v>3294</v>
      </c>
      <c r="E140" s="111" t="s">
        <v>3658</v>
      </c>
      <c r="F140" s="109" t="s">
        <v>346</v>
      </c>
      <c r="G140" s="109"/>
      <c r="H140" s="109"/>
      <c r="I140" s="109" t="s">
        <v>346</v>
      </c>
      <c r="J140" s="109"/>
      <c r="K140" s="109"/>
      <c r="L140" s="109" t="s">
        <v>346</v>
      </c>
      <c r="M140" s="109"/>
      <c r="N140" s="109"/>
      <c r="O140" s="113" t="s">
        <v>2816</v>
      </c>
    </row>
    <row r="141" spans="1:15" ht="70.05" customHeight="1" outlineLevel="1">
      <c r="A141" s="109" t="s">
        <v>3659</v>
      </c>
      <c r="B141" s="110" t="s">
        <v>3651</v>
      </c>
      <c r="C141" s="110" t="s">
        <v>3637</v>
      </c>
      <c r="D141" s="111" t="s">
        <v>3660</v>
      </c>
      <c r="E141" s="111" t="s">
        <v>3661</v>
      </c>
      <c r="F141" s="109" t="s">
        <v>346</v>
      </c>
      <c r="G141" s="109"/>
      <c r="H141" s="109"/>
      <c r="I141" s="109" t="s">
        <v>346</v>
      </c>
      <c r="J141" s="109"/>
      <c r="K141" s="109"/>
      <c r="L141" s="109" t="s">
        <v>346</v>
      </c>
      <c r="M141" s="109"/>
      <c r="N141" s="109"/>
      <c r="O141" s="113" t="s">
        <v>2816</v>
      </c>
    </row>
    <row r="142" spans="1:15" ht="70.05" customHeight="1" outlineLevel="1">
      <c r="A142" s="109" t="s">
        <v>3662</v>
      </c>
      <c r="B142" s="110" t="s">
        <v>3663</v>
      </c>
      <c r="C142" s="110" t="s">
        <v>3664</v>
      </c>
      <c r="D142" s="111" t="s">
        <v>3307</v>
      </c>
      <c r="E142" s="111" t="s">
        <v>3436</v>
      </c>
      <c r="F142" s="109" t="s">
        <v>346</v>
      </c>
      <c r="G142" s="109"/>
      <c r="H142" s="109"/>
      <c r="I142" s="109" t="s">
        <v>346</v>
      </c>
      <c r="J142" s="109"/>
      <c r="K142" s="109"/>
      <c r="L142" s="109" t="s">
        <v>346</v>
      </c>
      <c r="M142" s="109"/>
      <c r="N142" s="109"/>
      <c r="O142" s="113" t="s">
        <v>2816</v>
      </c>
    </row>
    <row r="143" spans="1:15" ht="70.05" customHeight="1" outlineLevel="1">
      <c r="A143" s="109" t="s">
        <v>3665</v>
      </c>
      <c r="B143" s="110" t="s">
        <v>3666</v>
      </c>
      <c r="C143" s="110" t="s">
        <v>3667</v>
      </c>
      <c r="D143" s="111" t="s">
        <v>3302</v>
      </c>
      <c r="E143" s="111" t="s">
        <v>3436</v>
      </c>
      <c r="F143" s="109" t="s">
        <v>346</v>
      </c>
      <c r="G143" s="109"/>
      <c r="H143" s="109"/>
      <c r="I143" s="109" t="s">
        <v>346</v>
      </c>
      <c r="J143" s="109"/>
      <c r="K143" s="109"/>
      <c r="L143" s="109" t="s">
        <v>346</v>
      </c>
      <c r="M143" s="109"/>
      <c r="N143" s="109"/>
      <c r="O143" s="113" t="s">
        <v>2816</v>
      </c>
    </row>
    <row r="144" spans="1:15" ht="70.05" customHeight="1" outlineLevel="1">
      <c r="A144" s="109" t="s">
        <v>3668</v>
      </c>
      <c r="B144" s="110" t="s">
        <v>3669</v>
      </c>
      <c r="C144" s="110" t="s">
        <v>3612</v>
      </c>
      <c r="D144" s="111" t="s">
        <v>3299</v>
      </c>
      <c r="E144" s="111" t="s">
        <v>3483</v>
      </c>
      <c r="F144" s="109" t="s">
        <v>346</v>
      </c>
      <c r="G144" s="109"/>
      <c r="H144" s="109"/>
      <c r="I144" s="109" t="s">
        <v>346</v>
      </c>
      <c r="J144" s="109"/>
      <c r="K144" s="109"/>
      <c r="L144" s="109" t="s">
        <v>346</v>
      </c>
      <c r="M144" s="109"/>
      <c r="N144" s="109"/>
      <c r="O144" s="113" t="s">
        <v>2816</v>
      </c>
    </row>
    <row r="145" spans="1:15" ht="15.75" customHeight="1">
      <c r="A145" s="60" t="s">
        <v>163</v>
      </c>
      <c r="B145" s="60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2"/>
    </row>
    <row r="146" spans="1:15" ht="70.05" customHeight="1" outlineLevel="1">
      <c r="A146" s="109" t="s">
        <v>3670</v>
      </c>
      <c r="B146" s="110" t="s">
        <v>3671</v>
      </c>
      <c r="C146" s="110" t="s">
        <v>3672</v>
      </c>
      <c r="D146" s="111" t="s">
        <v>3673</v>
      </c>
      <c r="E146" s="111" t="s">
        <v>3436</v>
      </c>
      <c r="F146" s="109" t="s">
        <v>346</v>
      </c>
      <c r="G146" s="109"/>
      <c r="H146" s="109"/>
      <c r="I146" s="109" t="s">
        <v>346</v>
      </c>
      <c r="J146" s="109"/>
      <c r="K146" s="109"/>
      <c r="L146" s="109" t="s">
        <v>346</v>
      </c>
      <c r="M146" s="109"/>
      <c r="N146" s="109"/>
      <c r="O146" s="113" t="s">
        <v>2816</v>
      </c>
    </row>
    <row r="147" spans="1:15" ht="70.05" customHeight="1" outlineLevel="1">
      <c r="A147" s="109" t="s">
        <v>3674</v>
      </c>
      <c r="B147" s="110" t="s">
        <v>3675</v>
      </c>
      <c r="C147" s="110" t="s">
        <v>3676</v>
      </c>
      <c r="D147" s="111" t="s">
        <v>3677</v>
      </c>
      <c r="E147" s="111" t="s">
        <v>3436</v>
      </c>
      <c r="F147" s="109" t="s">
        <v>346</v>
      </c>
      <c r="G147" s="109"/>
      <c r="H147" s="109"/>
      <c r="I147" s="109" t="s">
        <v>346</v>
      </c>
      <c r="J147" s="109"/>
      <c r="K147" s="109"/>
      <c r="L147" s="109" t="s">
        <v>346</v>
      </c>
      <c r="M147" s="109"/>
      <c r="N147" s="109"/>
      <c r="O147" s="113" t="s">
        <v>2816</v>
      </c>
    </row>
    <row r="148" spans="1:15" ht="70.05" customHeight="1" outlineLevel="1">
      <c r="A148" s="109" t="s">
        <v>3678</v>
      </c>
      <c r="B148" s="110" t="s">
        <v>3679</v>
      </c>
      <c r="C148" s="110" t="s">
        <v>3680</v>
      </c>
      <c r="D148" s="111" t="s">
        <v>3681</v>
      </c>
      <c r="E148" s="111" t="s">
        <v>3436</v>
      </c>
      <c r="F148" s="109" t="s">
        <v>346</v>
      </c>
      <c r="G148" s="109"/>
      <c r="H148" s="109"/>
      <c r="I148" s="109" t="s">
        <v>346</v>
      </c>
      <c r="J148" s="109"/>
      <c r="K148" s="109"/>
      <c r="L148" s="109" t="s">
        <v>346</v>
      </c>
      <c r="M148" s="109"/>
      <c r="N148" s="109"/>
      <c r="O148" s="113" t="s">
        <v>2816</v>
      </c>
    </row>
    <row r="149" spans="1:15" ht="70.05" customHeight="1" outlineLevel="1">
      <c r="A149" s="109" t="s">
        <v>3682</v>
      </c>
      <c r="B149" s="110" t="s">
        <v>3683</v>
      </c>
      <c r="C149" s="110" t="s">
        <v>3684</v>
      </c>
      <c r="D149" s="111" t="s">
        <v>3685</v>
      </c>
      <c r="E149" s="111" t="s">
        <v>3436</v>
      </c>
      <c r="F149" s="109" t="s">
        <v>346</v>
      </c>
      <c r="G149" s="109"/>
      <c r="H149" s="109"/>
      <c r="I149" s="109" t="s">
        <v>346</v>
      </c>
      <c r="J149" s="109"/>
      <c r="K149" s="109"/>
      <c r="L149" s="109" t="s">
        <v>346</v>
      </c>
      <c r="M149" s="109"/>
      <c r="N149" s="109"/>
      <c r="O149" s="113" t="s">
        <v>2816</v>
      </c>
    </row>
    <row r="150" spans="1:15" ht="70.05" customHeight="1" outlineLevel="1">
      <c r="A150" s="109" t="s">
        <v>3686</v>
      </c>
      <c r="B150" s="110" t="s">
        <v>3687</v>
      </c>
      <c r="C150" s="110" t="s">
        <v>3688</v>
      </c>
      <c r="D150" s="111" t="s">
        <v>3689</v>
      </c>
      <c r="E150" s="111" t="s">
        <v>3436</v>
      </c>
      <c r="F150" s="109" t="s">
        <v>346</v>
      </c>
      <c r="G150" s="109"/>
      <c r="H150" s="109"/>
      <c r="I150" s="109" t="s">
        <v>346</v>
      </c>
      <c r="J150" s="109"/>
      <c r="K150" s="109"/>
      <c r="L150" s="109" t="s">
        <v>346</v>
      </c>
      <c r="M150" s="109"/>
      <c r="N150" s="109"/>
      <c r="O150" s="113" t="s">
        <v>2816</v>
      </c>
    </row>
    <row r="151" spans="1:15" ht="70.05" customHeight="1" outlineLevel="1">
      <c r="A151" s="109" t="s">
        <v>3690</v>
      </c>
      <c r="B151" s="110" t="s">
        <v>3691</v>
      </c>
      <c r="C151" s="110" t="s">
        <v>3692</v>
      </c>
      <c r="D151" s="111" t="s">
        <v>3693</v>
      </c>
      <c r="E151" s="111" t="s">
        <v>3441</v>
      </c>
      <c r="F151" s="109" t="s">
        <v>346</v>
      </c>
      <c r="G151" s="109"/>
      <c r="H151" s="109"/>
      <c r="I151" s="109" t="s">
        <v>346</v>
      </c>
      <c r="J151" s="109"/>
      <c r="K151" s="109"/>
      <c r="L151" s="109" t="s">
        <v>346</v>
      </c>
      <c r="M151" s="109"/>
      <c r="N151" s="109"/>
      <c r="O151" s="113" t="s">
        <v>2816</v>
      </c>
    </row>
    <row r="152" spans="1:15" ht="70.05" customHeight="1" outlineLevel="1">
      <c r="A152" s="109" t="s">
        <v>3694</v>
      </c>
      <c r="B152" s="110" t="s">
        <v>3695</v>
      </c>
      <c r="C152" s="110" t="s">
        <v>3696</v>
      </c>
      <c r="D152" s="111" t="s">
        <v>3697</v>
      </c>
      <c r="E152" s="111" t="s">
        <v>3446</v>
      </c>
      <c r="F152" s="109" t="s">
        <v>346</v>
      </c>
      <c r="G152" s="109"/>
      <c r="H152" s="109"/>
      <c r="I152" s="109" t="s">
        <v>346</v>
      </c>
      <c r="J152" s="109"/>
      <c r="K152" s="109"/>
      <c r="L152" s="109" t="s">
        <v>346</v>
      </c>
      <c r="M152" s="109"/>
      <c r="N152" s="109"/>
      <c r="O152" s="113" t="s">
        <v>2816</v>
      </c>
    </row>
    <row r="153" spans="1:15" ht="70.05" customHeight="1" outlineLevel="1">
      <c r="A153" s="109" t="s">
        <v>3698</v>
      </c>
      <c r="B153" s="110" t="s">
        <v>3699</v>
      </c>
      <c r="C153" s="110" t="s">
        <v>3700</v>
      </c>
      <c r="D153" s="111" t="s">
        <v>3701</v>
      </c>
      <c r="E153" s="111" t="s">
        <v>3436</v>
      </c>
      <c r="F153" s="109" t="s">
        <v>346</v>
      </c>
      <c r="G153" s="109"/>
      <c r="H153" s="109"/>
      <c r="I153" s="109" t="s">
        <v>346</v>
      </c>
      <c r="J153" s="109"/>
      <c r="K153" s="109"/>
      <c r="L153" s="109" t="s">
        <v>346</v>
      </c>
      <c r="M153" s="109"/>
      <c r="N153" s="109"/>
      <c r="O153" s="113" t="s">
        <v>2816</v>
      </c>
    </row>
    <row r="154" spans="1:15" ht="70.05" customHeight="1" outlineLevel="1">
      <c r="A154" s="109" t="s">
        <v>3702</v>
      </c>
      <c r="B154" s="110" t="s">
        <v>3703</v>
      </c>
      <c r="C154" s="110" t="s">
        <v>3704</v>
      </c>
      <c r="D154" s="111" t="s">
        <v>3705</v>
      </c>
      <c r="E154" s="111" t="s">
        <v>3436</v>
      </c>
      <c r="F154" s="109" t="s">
        <v>346</v>
      </c>
      <c r="G154" s="109"/>
      <c r="H154" s="109"/>
      <c r="I154" s="109" t="s">
        <v>346</v>
      </c>
      <c r="J154" s="109"/>
      <c r="K154" s="109"/>
      <c r="L154" s="109" t="s">
        <v>346</v>
      </c>
      <c r="M154" s="109"/>
      <c r="N154" s="109"/>
      <c r="O154" s="113" t="s">
        <v>2816</v>
      </c>
    </row>
    <row r="155" spans="1:15" ht="70.05" customHeight="1" outlineLevel="1">
      <c r="A155" s="109" t="s">
        <v>3706</v>
      </c>
      <c r="B155" s="110" t="s">
        <v>3707</v>
      </c>
      <c r="C155" s="110" t="s">
        <v>3708</v>
      </c>
      <c r="D155" s="111" t="s">
        <v>3709</v>
      </c>
      <c r="E155" s="111" t="s">
        <v>3436</v>
      </c>
      <c r="F155" s="109" t="s">
        <v>346</v>
      </c>
      <c r="G155" s="109"/>
      <c r="H155" s="109"/>
      <c r="I155" s="109" t="s">
        <v>346</v>
      </c>
      <c r="J155" s="109"/>
      <c r="K155" s="109"/>
      <c r="L155" s="109" t="s">
        <v>346</v>
      </c>
      <c r="M155" s="109"/>
      <c r="N155" s="109"/>
      <c r="O155" s="113" t="s">
        <v>2816</v>
      </c>
    </row>
    <row r="156" spans="1:15" ht="70.05" customHeight="1" outlineLevel="1">
      <c r="A156" s="109" t="s">
        <v>3710</v>
      </c>
      <c r="B156" s="110" t="s">
        <v>3711</v>
      </c>
      <c r="C156" s="110" t="s">
        <v>3712</v>
      </c>
      <c r="D156" s="111" t="s">
        <v>3713</v>
      </c>
      <c r="E156" s="111" t="s">
        <v>3436</v>
      </c>
      <c r="F156" s="109" t="s">
        <v>346</v>
      </c>
      <c r="G156" s="109"/>
      <c r="H156" s="109"/>
      <c r="I156" s="109" t="s">
        <v>346</v>
      </c>
      <c r="J156" s="109"/>
      <c r="K156" s="109"/>
      <c r="L156" s="109" t="s">
        <v>346</v>
      </c>
      <c r="M156" s="109"/>
      <c r="N156" s="109"/>
      <c r="O156" s="113" t="s">
        <v>2816</v>
      </c>
    </row>
    <row r="157" spans="1:15" ht="70.05" customHeight="1" outlineLevel="1">
      <c r="A157" s="109" t="s">
        <v>3714</v>
      </c>
      <c r="B157" s="110" t="s">
        <v>3715</v>
      </c>
      <c r="C157" s="110" t="s">
        <v>3716</v>
      </c>
      <c r="D157" s="111" t="s">
        <v>3717</v>
      </c>
      <c r="E157" s="111" t="s">
        <v>3436</v>
      </c>
      <c r="F157" s="109" t="s">
        <v>346</v>
      </c>
      <c r="G157" s="109"/>
      <c r="H157" s="109"/>
      <c r="I157" s="109" t="s">
        <v>346</v>
      </c>
      <c r="J157" s="109"/>
      <c r="K157" s="109"/>
      <c r="L157" s="109" t="s">
        <v>346</v>
      </c>
      <c r="M157" s="109"/>
      <c r="N157" s="109"/>
      <c r="O157" s="113" t="s">
        <v>2816</v>
      </c>
    </row>
    <row r="158" spans="1:15" ht="70.05" customHeight="1" outlineLevel="1">
      <c r="A158" s="109" t="s">
        <v>3718</v>
      </c>
      <c r="B158" s="110" t="s">
        <v>3719</v>
      </c>
      <c r="C158" s="110" t="s">
        <v>3720</v>
      </c>
      <c r="D158" s="111" t="s">
        <v>3402</v>
      </c>
      <c r="E158" s="111" t="s">
        <v>3436</v>
      </c>
      <c r="F158" s="109" t="s">
        <v>346</v>
      </c>
      <c r="G158" s="109"/>
      <c r="H158" s="109"/>
      <c r="I158" s="109" t="s">
        <v>346</v>
      </c>
      <c r="J158" s="109"/>
      <c r="K158" s="109"/>
      <c r="L158" s="109" t="s">
        <v>346</v>
      </c>
      <c r="M158" s="109"/>
      <c r="N158" s="109"/>
      <c r="O158" s="113" t="s">
        <v>2816</v>
      </c>
    </row>
    <row r="159" spans="1:15" ht="70.05" customHeight="1" outlineLevel="1">
      <c r="A159" s="109" t="s">
        <v>3721</v>
      </c>
      <c r="B159" s="110" t="s">
        <v>3722</v>
      </c>
      <c r="C159" s="110" t="s">
        <v>3723</v>
      </c>
      <c r="D159" s="111" t="s">
        <v>3724</v>
      </c>
      <c r="E159" s="111" t="s">
        <v>3436</v>
      </c>
      <c r="F159" s="109" t="s">
        <v>346</v>
      </c>
      <c r="G159" s="109"/>
      <c r="H159" s="109"/>
      <c r="I159" s="109" t="s">
        <v>346</v>
      </c>
      <c r="J159" s="109"/>
      <c r="K159" s="109"/>
      <c r="L159" s="109" t="s">
        <v>346</v>
      </c>
      <c r="M159" s="109"/>
      <c r="N159" s="109"/>
      <c r="O159" s="113" t="s">
        <v>2816</v>
      </c>
    </row>
    <row r="160" spans="1:15" ht="70.05" customHeight="1" outlineLevel="1">
      <c r="A160" s="109" t="s">
        <v>3725</v>
      </c>
      <c r="B160" s="110" t="s">
        <v>3726</v>
      </c>
      <c r="C160" s="110" t="s">
        <v>3727</v>
      </c>
      <c r="D160" s="111" t="s">
        <v>3307</v>
      </c>
      <c r="E160" s="111" t="s">
        <v>3436</v>
      </c>
      <c r="F160" s="109" t="s">
        <v>346</v>
      </c>
      <c r="G160" s="109"/>
      <c r="H160" s="109"/>
      <c r="I160" s="109" t="s">
        <v>346</v>
      </c>
      <c r="J160" s="109"/>
      <c r="K160" s="109"/>
      <c r="L160" s="109" t="s">
        <v>346</v>
      </c>
      <c r="M160" s="109"/>
      <c r="N160" s="109"/>
      <c r="O160" s="113" t="s">
        <v>2816</v>
      </c>
    </row>
    <row r="161" spans="1:15" ht="70.05" customHeight="1" outlineLevel="1">
      <c r="A161" s="109" t="s">
        <v>3728</v>
      </c>
      <c r="B161" s="110" t="s">
        <v>3729</v>
      </c>
      <c r="C161" s="110" t="s">
        <v>3730</v>
      </c>
      <c r="D161" s="111" t="s">
        <v>3307</v>
      </c>
      <c r="E161" s="111" t="s">
        <v>3436</v>
      </c>
      <c r="F161" s="109" t="s">
        <v>346</v>
      </c>
      <c r="G161" s="109"/>
      <c r="H161" s="109"/>
      <c r="I161" s="109" t="s">
        <v>346</v>
      </c>
      <c r="J161" s="109"/>
      <c r="K161" s="109"/>
      <c r="L161" s="109" t="s">
        <v>346</v>
      </c>
      <c r="M161" s="109"/>
      <c r="N161" s="109"/>
      <c r="O161" s="113" t="s">
        <v>2816</v>
      </c>
    </row>
    <row r="162" spans="1:15" ht="70.05" customHeight="1" outlineLevel="1">
      <c r="A162" s="109" t="s">
        <v>3731</v>
      </c>
      <c r="B162" s="110" t="s">
        <v>3732</v>
      </c>
      <c r="C162" s="110" t="s">
        <v>3733</v>
      </c>
      <c r="D162" s="111" t="s">
        <v>3734</v>
      </c>
      <c r="E162" s="111" t="s">
        <v>3436</v>
      </c>
      <c r="F162" s="109" t="s">
        <v>346</v>
      </c>
      <c r="G162" s="109"/>
      <c r="H162" s="109"/>
      <c r="I162" s="109" t="s">
        <v>346</v>
      </c>
      <c r="J162" s="109"/>
      <c r="K162" s="109"/>
      <c r="L162" s="109" t="s">
        <v>346</v>
      </c>
      <c r="M162" s="109"/>
      <c r="N162" s="109"/>
      <c r="O162" s="113" t="s">
        <v>2816</v>
      </c>
    </row>
    <row r="163" spans="1:15" ht="70.05" customHeight="1" outlineLevel="1">
      <c r="A163" s="109" t="s">
        <v>3735</v>
      </c>
      <c r="B163" s="110" t="s">
        <v>3736</v>
      </c>
      <c r="C163" s="110" t="s">
        <v>3737</v>
      </c>
      <c r="D163" s="111" t="s">
        <v>3307</v>
      </c>
      <c r="E163" s="111" t="s">
        <v>3436</v>
      </c>
      <c r="F163" s="109" t="s">
        <v>346</v>
      </c>
      <c r="G163" s="109"/>
      <c r="H163" s="109"/>
      <c r="I163" s="109" t="s">
        <v>346</v>
      </c>
      <c r="J163" s="109"/>
      <c r="K163" s="109"/>
      <c r="L163" s="109" t="s">
        <v>346</v>
      </c>
      <c r="M163" s="109"/>
      <c r="N163" s="109"/>
      <c r="O163" s="113" t="s">
        <v>2816</v>
      </c>
    </row>
    <row r="164" spans="1:15" ht="70.05" customHeight="1" outlineLevel="1">
      <c r="A164" s="109" t="s">
        <v>3738</v>
      </c>
      <c r="B164" s="110" t="s">
        <v>3739</v>
      </c>
      <c r="C164" s="110" t="s">
        <v>3672</v>
      </c>
      <c r="D164" s="111" t="s">
        <v>3299</v>
      </c>
      <c r="E164" s="111" t="s">
        <v>3483</v>
      </c>
      <c r="F164" s="109" t="s">
        <v>346</v>
      </c>
      <c r="G164" s="109"/>
      <c r="H164" s="109"/>
      <c r="I164" s="109" t="s">
        <v>346</v>
      </c>
      <c r="J164" s="109"/>
      <c r="K164" s="109"/>
      <c r="L164" s="109" t="s">
        <v>346</v>
      </c>
      <c r="M164" s="109"/>
      <c r="N164" s="109"/>
      <c r="O164" s="113" t="s">
        <v>2816</v>
      </c>
    </row>
    <row r="165" spans="1:15" ht="15.75" customHeight="1">
      <c r="A165" s="60" t="s">
        <v>165</v>
      </c>
      <c r="B165" s="60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2"/>
    </row>
    <row r="166" spans="1:15" ht="70.05" customHeight="1" outlineLevel="1">
      <c r="A166" s="109" t="s">
        <v>3740</v>
      </c>
      <c r="B166" s="110" t="s">
        <v>3741</v>
      </c>
      <c r="C166" s="110" t="s">
        <v>3742</v>
      </c>
      <c r="D166" s="111" t="s">
        <v>3743</v>
      </c>
      <c r="E166" s="111" t="s">
        <v>3744</v>
      </c>
      <c r="F166" s="109" t="s">
        <v>346</v>
      </c>
      <c r="G166" s="109"/>
      <c r="H166" s="109"/>
      <c r="I166" s="109" t="s">
        <v>346</v>
      </c>
      <c r="J166" s="109"/>
      <c r="K166" s="109"/>
      <c r="L166" s="109" t="s">
        <v>346</v>
      </c>
      <c r="M166" s="109"/>
      <c r="N166" s="109"/>
      <c r="O166" s="113" t="s">
        <v>2816</v>
      </c>
    </row>
    <row r="167" spans="1:15" ht="70.05" customHeight="1" outlineLevel="1">
      <c r="A167" s="109" t="s">
        <v>3745</v>
      </c>
      <c r="B167" s="110" t="s">
        <v>3741</v>
      </c>
      <c r="C167" s="110" t="s">
        <v>3742</v>
      </c>
      <c r="D167" s="111" t="s">
        <v>3746</v>
      </c>
      <c r="E167" s="111" t="s">
        <v>3747</v>
      </c>
      <c r="F167" s="109" t="s">
        <v>346</v>
      </c>
      <c r="G167" s="109"/>
      <c r="H167" s="109"/>
      <c r="I167" s="109" t="s">
        <v>346</v>
      </c>
      <c r="J167" s="109"/>
      <c r="K167" s="109"/>
      <c r="L167" s="109" t="s">
        <v>346</v>
      </c>
      <c r="M167" s="109"/>
      <c r="N167" s="109"/>
      <c r="O167" s="113" t="s">
        <v>2816</v>
      </c>
    </row>
    <row r="168" spans="1:15" ht="70.05" customHeight="1" outlineLevel="1">
      <c r="A168" s="109" t="s">
        <v>3748</v>
      </c>
      <c r="B168" s="110" t="s">
        <v>3741</v>
      </c>
      <c r="C168" s="110" t="s">
        <v>3742</v>
      </c>
      <c r="D168" s="111" t="s">
        <v>3749</v>
      </c>
      <c r="E168" s="111" t="s">
        <v>3750</v>
      </c>
      <c r="F168" s="109" t="s">
        <v>346</v>
      </c>
      <c r="G168" s="109"/>
      <c r="H168" s="109"/>
      <c r="I168" s="109" t="s">
        <v>346</v>
      </c>
      <c r="J168" s="109"/>
      <c r="K168" s="109"/>
      <c r="L168" s="109" t="s">
        <v>346</v>
      </c>
      <c r="M168" s="109"/>
      <c r="N168" s="109"/>
      <c r="O168" s="113" t="s">
        <v>2816</v>
      </c>
    </row>
    <row r="169" spans="1:15" ht="70.05" customHeight="1" outlineLevel="1">
      <c r="A169" s="109" t="s">
        <v>3751</v>
      </c>
      <c r="B169" s="110" t="s">
        <v>3741</v>
      </c>
      <c r="C169" s="110" t="s">
        <v>3742</v>
      </c>
      <c r="D169" s="111" t="s">
        <v>3752</v>
      </c>
      <c r="E169" s="111" t="s">
        <v>3753</v>
      </c>
      <c r="F169" s="109" t="s">
        <v>346</v>
      </c>
      <c r="G169" s="109"/>
      <c r="H169" s="109"/>
      <c r="I169" s="109" t="s">
        <v>346</v>
      </c>
      <c r="J169" s="109"/>
      <c r="K169" s="109"/>
      <c r="L169" s="109" t="s">
        <v>346</v>
      </c>
      <c r="M169" s="109"/>
      <c r="N169" s="109"/>
      <c r="O169" s="113" t="s">
        <v>2816</v>
      </c>
    </row>
    <row r="170" spans="1:15" ht="70.05" customHeight="1" outlineLevel="1">
      <c r="A170" s="109" t="s">
        <v>3754</v>
      </c>
      <c r="B170" s="110" t="s">
        <v>3755</v>
      </c>
      <c r="C170" s="110" t="s">
        <v>3756</v>
      </c>
      <c r="D170" s="111" t="s">
        <v>3743</v>
      </c>
      <c r="E170" s="111" t="s">
        <v>3757</v>
      </c>
      <c r="F170" s="109" t="s">
        <v>346</v>
      </c>
      <c r="G170" s="109"/>
      <c r="H170" s="109"/>
      <c r="I170" s="109" t="s">
        <v>346</v>
      </c>
      <c r="J170" s="109"/>
      <c r="K170" s="109"/>
      <c r="L170" s="109" t="s">
        <v>346</v>
      </c>
      <c r="M170" s="109"/>
      <c r="N170" s="109"/>
      <c r="O170" s="113" t="s">
        <v>2816</v>
      </c>
    </row>
    <row r="171" spans="1:15" ht="70.05" customHeight="1" outlineLevel="1">
      <c r="A171" s="109" t="s">
        <v>3758</v>
      </c>
      <c r="B171" s="110" t="s">
        <v>3759</v>
      </c>
      <c r="C171" s="110" t="s">
        <v>3760</v>
      </c>
      <c r="D171" s="111" t="s">
        <v>3761</v>
      </c>
      <c r="E171" s="111" t="s">
        <v>3762</v>
      </c>
      <c r="F171" s="109" t="s">
        <v>346</v>
      </c>
      <c r="G171" s="109"/>
      <c r="H171" s="109"/>
      <c r="I171" s="109" t="s">
        <v>346</v>
      </c>
      <c r="J171" s="109"/>
      <c r="K171" s="109"/>
      <c r="L171" s="109" t="s">
        <v>346</v>
      </c>
      <c r="M171" s="109"/>
      <c r="N171" s="109"/>
      <c r="O171" s="113" t="s">
        <v>2816</v>
      </c>
    </row>
    <row r="172" spans="1:15" ht="70.05" customHeight="1" outlineLevel="1">
      <c r="A172" s="109" t="s">
        <v>3763</v>
      </c>
      <c r="B172" s="110" t="s">
        <v>3759</v>
      </c>
      <c r="C172" s="110" t="s">
        <v>3760</v>
      </c>
      <c r="D172" s="111" t="s">
        <v>3764</v>
      </c>
      <c r="E172" s="111" t="s">
        <v>3765</v>
      </c>
      <c r="F172" s="109" t="s">
        <v>346</v>
      </c>
      <c r="G172" s="109"/>
      <c r="H172" s="109"/>
      <c r="I172" s="109" t="s">
        <v>346</v>
      </c>
      <c r="J172" s="109"/>
      <c r="K172" s="109"/>
      <c r="L172" s="109" t="s">
        <v>346</v>
      </c>
      <c r="M172" s="109"/>
      <c r="N172" s="109"/>
      <c r="O172" s="113" t="s">
        <v>2816</v>
      </c>
    </row>
    <row r="173" spans="1:15" ht="70.05" customHeight="1" outlineLevel="1">
      <c r="A173" s="109" t="s">
        <v>3766</v>
      </c>
      <c r="B173" s="110" t="s">
        <v>3767</v>
      </c>
      <c r="C173" s="110" t="s">
        <v>3768</v>
      </c>
      <c r="D173" s="111" t="s">
        <v>3761</v>
      </c>
      <c r="E173" s="111" t="s">
        <v>3769</v>
      </c>
      <c r="F173" s="109" t="s">
        <v>346</v>
      </c>
      <c r="G173" s="109"/>
      <c r="H173" s="109"/>
      <c r="I173" s="109" t="s">
        <v>346</v>
      </c>
      <c r="J173" s="109"/>
      <c r="K173" s="109"/>
      <c r="L173" s="109" t="s">
        <v>346</v>
      </c>
      <c r="M173" s="109"/>
      <c r="N173" s="109"/>
      <c r="O173" s="113" t="s">
        <v>2816</v>
      </c>
    </row>
    <row r="174" spans="1:15" ht="70.05" customHeight="1" outlineLevel="1">
      <c r="A174" s="109" t="s">
        <v>3770</v>
      </c>
      <c r="B174" s="110" t="s">
        <v>3771</v>
      </c>
      <c r="C174" s="110" t="s">
        <v>3772</v>
      </c>
      <c r="D174" s="111" t="s">
        <v>3773</v>
      </c>
      <c r="E174" s="111" t="s">
        <v>3757</v>
      </c>
      <c r="F174" s="109" t="s">
        <v>346</v>
      </c>
      <c r="G174" s="109"/>
      <c r="H174" s="109"/>
      <c r="I174" s="109" t="s">
        <v>346</v>
      </c>
      <c r="J174" s="109"/>
      <c r="K174" s="109"/>
      <c r="L174" s="109" t="s">
        <v>346</v>
      </c>
      <c r="M174" s="109"/>
      <c r="N174" s="109"/>
      <c r="O174" s="113" t="s">
        <v>2816</v>
      </c>
    </row>
    <row r="175" spans="1:15" ht="70.05" customHeight="1" outlineLevel="1">
      <c r="A175" s="109" t="s">
        <v>3774</v>
      </c>
      <c r="B175" s="110" t="s">
        <v>3775</v>
      </c>
      <c r="C175" s="110" t="s">
        <v>3776</v>
      </c>
      <c r="D175" s="111" t="s">
        <v>3777</v>
      </c>
      <c r="E175" s="111" t="s">
        <v>3778</v>
      </c>
      <c r="F175" s="109" t="s">
        <v>346</v>
      </c>
      <c r="G175" s="109"/>
      <c r="H175" s="109"/>
      <c r="I175" s="109" t="s">
        <v>346</v>
      </c>
      <c r="J175" s="109"/>
      <c r="K175" s="109"/>
      <c r="L175" s="109" t="s">
        <v>346</v>
      </c>
      <c r="M175" s="109"/>
      <c r="N175" s="109"/>
      <c r="O175" s="113" t="s">
        <v>2816</v>
      </c>
    </row>
    <row r="176" spans="1:15" ht="70.05" customHeight="1" outlineLevel="1">
      <c r="A176" s="109" t="s">
        <v>3779</v>
      </c>
      <c r="B176" s="110" t="s">
        <v>3780</v>
      </c>
      <c r="C176" s="110" t="s">
        <v>3781</v>
      </c>
      <c r="D176" s="111" t="s">
        <v>3782</v>
      </c>
      <c r="E176" s="111" t="s">
        <v>3783</v>
      </c>
      <c r="F176" s="109" t="s">
        <v>346</v>
      </c>
      <c r="G176" s="109"/>
      <c r="H176" s="109"/>
      <c r="I176" s="109" t="s">
        <v>346</v>
      </c>
      <c r="J176" s="109"/>
      <c r="K176" s="109"/>
      <c r="L176" s="109" t="s">
        <v>346</v>
      </c>
      <c r="M176" s="109"/>
      <c r="N176" s="109"/>
      <c r="O176" s="113" t="s">
        <v>2816</v>
      </c>
    </row>
    <row r="177" spans="1:15" ht="70.05" customHeight="1" outlineLevel="1">
      <c r="A177" s="109" t="s">
        <v>3784</v>
      </c>
      <c r="B177" s="110" t="s">
        <v>3785</v>
      </c>
      <c r="C177" s="110" t="s">
        <v>3786</v>
      </c>
      <c r="D177" s="111" t="s">
        <v>3787</v>
      </c>
      <c r="E177" s="111" t="s">
        <v>3788</v>
      </c>
      <c r="F177" s="109" t="s">
        <v>346</v>
      </c>
      <c r="G177" s="109"/>
      <c r="H177" s="109"/>
      <c r="I177" s="109" t="s">
        <v>346</v>
      </c>
      <c r="J177" s="109"/>
      <c r="K177" s="109"/>
      <c r="L177" s="109" t="s">
        <v>346</v>
      </c>
      <c r="M177" s="109"/>
      <c r="N177" s="109"/>
      <c r="O177" s="113" t="s">
        <v>2816</v>
      </c>
    </row>
    <row r="178" spans="1:15" ht="70.05" customHeight="1" outlineLevel="1">
      <c r="A178" s="109" t="s">
        <v>3789</v>
      </c>
      <c r="B178" s="110" t="s">
        <v>3790</v>
      </c>
      <c r="C178" s="110" t="s">
        <v>3791</v>
      </c>
      <c r="D178" s="111" t="s">
        <v>3792</v>
      </c>
      <c r="E178" s="111" t="s">
        <v>3744</v>
      </c>
      <c r="F178" s="109" t="s">
        <v>346</v>
      </c>
      <c r="G178" s="109"/>
      <c r="H178" s="109"/>
      <c r="I178" s="109" t="s">
        <v>346</v>
      </c>
      <c r="J178" s="109"/>
      <c r="K178" s="109"/>
      <c r="L178" s="109" t="s">
        <v>346</v>
      </c>
      <c r="M178" s="109"/>
      <c r="N178" s="109"/>
      <c r="O178" s="113" t="s">
        <v>2816</v>
      </c>
    </row>
    <row r="179" spans="1:15" ht="70.05" customHeight="1" outlineLevel="1">
      <c r="A179" s="109" t="s">
        <v>3793</v>
      </c>
      <c r="B179" s="110" t="s">
        <v>3794</v>
      </c>
      <c r="C179" s="110" t="s">
        <v>3795</v>
      </c>
      <c r="D179" s="111" t="s">
        <v>3773</v>
      </c>
      <c r="E179" s="111" t="s">
        <v>3796</v>
      </c>
      <c r="F179" s="109" t="s">
        <v>346</v>
      </c>
      <c r="G179" s="109"/>
      <c r="H179" s="109"/>
      <c r="I179" s="109" t="s">
        <v>346</v>
      </c>
      <c r="J179" s="109"/>
      <c r="K179" s="109"/>
      <c r="L179" s="109" t="s">
        <v>346</v>
      </c>
      <c r="M179" s="109"/>
      <c r="N179" s="109"/>
      <c r="O179" s="113" t="s">
        <v>2816</v>
      </c>
    </row>
    <row r="180" spans="1:15" ht="70.05" customHeight="1" outlineLevel="1">
      <c r="A180" s="109" t="s">
        <v>3797</v>
      </c>
      <c r="B180" s="110" t="s">
        <v>3798</v>
      </c>
      <c r="C180" s="110" t="s">
        <v>3768</v>
      </c>
      <c r="D180" s="111" t="s">
        <v>3660</v>
      </c>
      <c r="E180" s="111" t="s">
        <v>3799</v>
      </c>
      <c r="F180" s="109" t="s">
        <v>346</v>
      </c>
      <c r="G180" s="109"/>
      <c r="H180" s="109"/>
      <c r="I180" s="109" t="s">
        <v>346</v>
      </c>
      <c r="J180" s="109"/>
      <c r="K180" s="109"/>
      <c r="L180" s="109" t="s">
        <v>346</v>
      </c>
      <c r="M180" s="109"/>
      <c r="N180" s="109"/>
      <c r="O180" s="113" t="s">
        <v>2816</v>
      </c>
    </row>
    <row r="181" spans="1:15" ht="70.05" customHeight="1" outlineLevel="1">
      <c r="A181" s="109" t="s">
        <v>3800</v>
      </c>
      <c r="B181" s="110" t="s">
        <v>3801</v>
      </c>
      <c r="C181" s="110" t="s">
        <v>3760</v>
      </c>
      <c r="D181" s="111" t="s">
        <v>3660</v>
      </c>
      <c r="E181" s="111" t="s">
        <v>3802</v>
      </c>
      <c r="F181" s="109" t="s">
        <v>346</v>
      </c>
      <c r="G181" s="109"/>
      <c r="H181" s="109"/>
      <c r="I181" s="109" t="s">
        <v>346</v>
      </c>
      <c r="J181" s="109"/>
      <c r="K181" s="109"/>
      <c r="L181" s="109" t="s">
        <v>346</v>
      </c>
      <c r="M181" s="109"/>
      <c r="N181" s="109"/>
      <c r="O181" s="113" t="s">
        <v>2816</v>
      </c>
    </row>
    <row r="182" spans="1:15" ht="70.05" customHeight="1" outlineLevel="1">
      <c r="A182" s="109" t="s">
        <v>3803</v>
      </c>
      <c r="B182" s="110" t="s">
        <v>3804</v>
      </c>
      <c r="C182" s="110" t="s">
        <v>3756</v>
      </c>
      <c r="D182" s="111" t="s">
        <v>3660</v>
      </c>
      <c r="E182" s="111" t="s">
        <v>3805</v>
      </c>
      <c r="F182" s="109" t="s">
        <v>346</v>
      </c>
      <c r="G182" s="109"/>
      <c r="H182" s="109"/>
      <c r="I182" s="109" t="s">
        <v>346</v>
      </c>
      <c r="J182" s="109"/>
      <c r="K182" s="109"/>
      <c r="L182" s="109" t="s">
        <v>346</v>
      </c>
      <c r="M182" s="109"/>
      <c r="N182" s="109"/>
      <c r="O182" s="113" t="s">
        <v>2816</v>
      </c>
    </row>
    <row r="183" spans="1:15" ht="70.05" customHeight="1" outlineLevel="1">
      <c r="A183" s="109" t="s">
        <v>3806</v>
      </c>
      <c r="B183" s="110" t="s">
        <v>3801</v>
      </c>
      <c r="C183" s="110" t="s">
        <v>3760</v>
      </c>
      <c r="D183" s="111" t="s">
        <v>3807</v>
      </c>
      <c r="E183" s="111" t="s">
        <v>3808</v>
      </c>
      <c r="F183" s="109" t="s">
        <v>346</v>
      </c>
      <c r="G183" s="109"/>
      <c r="H183" s="109"/>
      <c r="I183" s="109" t="s">
        <v>346</v>
      </c>
      <c r="J183" s="109"/>
      <c r="K183" s="109"/>
      <c r="L183" s="109" t="s">
        <v>346</v>
      </c>
      <c r="M183" s="109"/>
      <c r="N183" s="109"/>
      <c r="O183" s="113" t="s">
        <v>2816</v>
      </c>
    </row>
    <row r="184" spans="1:15" ht="70.05" customHeight="1" outlineLevel="1">
      <c r="A184" s="109" t="s">
        <v>3809</v>
      </c>
      <c r="B184" s="110" t="s">
        <v>3810</v>
      </c>
      <c r="C184" s="110" t="s">
        <v>3811</v>
      </c>
      <c r="D184" s="111" t="s">
        <v>3307</v>
      </c>
      <c r="E184" s="111" t="s">
        <v>3796</v>
      </c>
      <c r="F184" s="109" t="s">
        <v>346</v>
      </c>
      <c r="G184" s="109"/>
      <c r="H184" s="109"/>
      <c r="I184" s="109" t="s">
        <v>346</v>
      </c>
      <c r="J184" s="109"/>
      <c r="K184" s="109"/>
      <c r="L184" s="109" t="s">
        <v>346</v>
      </c>
      <c r="M184" s="109"/>
      <c r="N184" s="109"/>
      <c r="O184" s="113" t="s">
        <v>2816</v>
      </c>
    </row>
    <row r="185" spans="1:15" ht="70.05" customHeight="1" outlineLevel="1">
      <c r="A185" s="109" t="s">
        <v>3812</v>
      </c>
      <c r="B185" s="110" t="s">
        <v>3813</v>
      </c>
      <c r="C185" s="110" t="s">
        <v>3742</v>
      </c>
      <c r="D185" s="111" t="s">
        <v>3294</v>
      </c>
      <c r="E185" s="111" t="s">
        <v>3814</v>
      </c>
      <c r="F185" s="109" t="s">
        <v>346</v>
      </c>
      <c r="G185" s="109"/>
      <c r="H185" s="109"/>
      <c r="I185" s="109" t="s">
        <v>346</v>
      </c>
      <c r="J185" s="109"/>
      <c r="K185" s="109"/>
      <c r="L185" s="109" t="s">
        <v>346</v>
      </c>
      <c r="M185" s="109"/>
      <c r="N185" s="109"/>
      <c r="O185" s="113" t="s">
        <v>2816</v>
      </c>
    </row>
    <row r="186" spans="1:15" ht="70.05" customHeight="1" outlineLevel="1">
      <c r="A186" s="109" t="s">
        <v>3815</v>
      </c>
      <c r="B186" s="110" t="s">
        <v>3801</v>
      </c>
      <c r="C186" s="110" t="s">
        <v>3760</v>
      </c>
      <c r="D186" s="111" t="s">
        <v>3302</v>
      </c>
      <c r="E186" s="111" t="s">
        <v>3303</v>
      </c>
      <c r="F186" s="109" t="s">
        <v>346</v>
      </c>
      <c r="G186" s="109"/>
      <c r="H186" s="109"/>
      <c r="I186" s="109" t="s">
        <v>346</v>
      </c>
      <c r="J186" s="109"/>
      <c r="K186" s="109"/>
      <c r="L186" s="109" t="s">
        <v>346</v>
      </c>
      <c r="M186" s="109"/>
      <c r="N186" s="109"/>
      <c r="O186" s="113" t="s">
        <v>2816</v>
      </c>
    </row>
    <row r="187" spans="1:15" ht="15.75" customHeight="1">
      <c r="A187" s="60" t="s">
        <v>168</v>
      </c>
      <c r="B187" s="60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2"/>
    </row>
    <row r="188" spans="1:15" ht="70.05" customHeight="1" outlineLevel="1">
      <c r="A188" s="109" t="s">
        <v>3816</v>
      </c>
      <c r="B188" s="110" t="s">
        <v>3817</v>
      </c>
      <c r="C188" s="110" t="s">
        <v>3818</v>
      </c>
      <c r="D188" s="111" t="s">
        <v>3819</v>
      </c>
      <c r="E188" s="111" t="s">
        <v>3820</v>
      </c>
      <c r="F188" s="109" t="s">
        <v>344</v>
      </c>
      <c r="G188" s="112">
        <v>46300</v>
      </c>
      <c r="H188" s="109" t="s">
        <v>4</v>
      </c>
      <c r="I188" s="109" t="s">
        <v>346</v>
      </c>
      <c r="J188" s="109"/>
      <c r="K188" s="109"/>
      <c r="L188" s="109" t="s">
        <v>346</v>
      </c>
      <c r="M188" s="109"/>
      <c r="N188" s="109"/>
      <c r="O188" s="113"/>
    </row>
    <row r="189" spans="1:15" ht="70.05" customHeight="1" outlineLevel="1">
      <c r="A189" s="109" t="s">
        <v>3821</v>
      </c>
      <c r="B189" s="110" t="s">
        <v>3822</v>
      </c>
      <c r="C189" s="110" t="s">
        <v>3823</v>
      </c>
      <c r="D189" s="111" t="s">
        <v>3824</v>
      </c>
      <c r="E189" s="111" t="s">
        <v>3825</v>
      </c>
      <c r="F189" s="109" t="s">
        <v>344</v>
      </c>
      <c r="G189" s="112">
        <v>46300</v>
      </c>
      <c r="H189" s="109" t="s">
        <v>4</v>
      </c>
      <c r="I189" s="109" t="s">
        <v>346</v>
      </c>
      <c r="J189" s="109"/>
      <c r="K189" s="109"/>
      <c r="L189" s="109" t="s">
        <v>346</v>
      </c>
      <c r="M189" s="109"/>
      <c r="N189" s="109"/>
      <c r="O189" s="113"/>
    </row>
    <row r="190" spans="1:15" ht="70.05" customHeight="1" outlineLevel="1">
      <c r="A190" s="109" t="s">
        <v>3826</v>
      </c>
      <c r="B190" s="110" t="s">
        <v>3822</v>
      </c>
      <c r="C190" s="110" t="s">
        <v>3823</v>
      </c>
      <c r="D190" s="111" t="s">
        <v>3827</v>
      </c>
      <c r="E190" s="111" t="s">
        <v>3828</v>
      </c>
      <c r="F190" s="109" t="s">
        <v>344</v>
      </c>
      <c r="G190" s="112">
        <v>46300</v>
      </c>
      <c r="H190" s="109" t="s">
        <v>4</v>
      </c>
      <c r="I190" s="109" t="s">
        <v>346</v>
      </c>
      <c r="J190" s="109"/>
      <c r="K190" s="109"/>
      <c r="L190" s="109" t="s">
        <v>346</v>
      </c>
      <c r="M190" s="109"/>
      <c r="N190" s="109"/>
      <c r="O190" s="113"/>
    </row>
    <row r="191" spans="1:15" ht="70.05" customHeight="1" outlineLevel="1">
      <c r="A191" s="109" t="s">
        <v>3829</v>
      </c>
      <c r="B191" s="110" t="s">
        <v>3830</v>
      </c>
      <c r="C191" s="110" t="s">
        <v>3831</v>
      </c>
      <c r="D191" s="111" t="s">
        <v>3832</v>
      </c>
      <c r="E191" s="111" t="s">
        <v>3833</v>
      </c>
      <c r="F191" s="109" t="s">
        <v>344</v>
      </c>
      <c r="G191" s="112">
        <v>46300</v>
      </c>
      <c r="H191" s="109" t="s">
        <v>4</v>
      </c>
      <c r="I191" s="109" t="s">
        <v>346</v>
      </c>
      <c r="J191" s="109"/>
      <c r="K191" s="109"/>
      <c r="L191" s="109" t="s">
        <v>346</v>
      </c>
      <c r="M191" s="109"/>
      <c r="N191" s="109"/>
      <c r="O191" s="113"/>
    </row>
    <row r="192" spans="1:15" ht="70.05" customHeight="1" outlineLevel="1">
      <c r="A192" s="109" t="s">
        <v>3834</v>
      </c>
      <c r="B192" s="110" t="s">
        <v>3835</v>
      </c>
      <c r="C192" s="110" t="s">
        <v>3836</v>
      </c>
      <c r="D192" s="111" t="s">
        <v>3837</v>
      </c>
      <c r="E192" s="111" t="s">
        <v>3833</v>
      </c>
      <c r="F192" s="109" t="s">
        <v>344</v>
      </c>
      <c r="G192" s="112">
        <v>46300</v>
      </c>
      <c r="H192" s="109" t="s">
        <v>4</v>
      </c>
      <c r="I192" s="109" t="s">
        <v>346</v>
      </c>
      <c r="J192" s="109"/>
      <c r="K192" s="109"/>
      <c r="L192" s="109" t="s">
        <v>346</v>
      </c>
      <c r="M192" s="109"/>
      <c r="N192" s="109"/>
      <c r="O192" s="113"/>
    </row>
    <row r="193" spans="1:15" ht="70.05" customHeight="1" outlineLevel="1">
      <c r="A193" s="109" t="s">
        <v>3838</v>
      </c>
      <c r="B193" s="110" t="s">
        <v>3839</v>
      </c>
      <c r="C193" s="110" t="s">
        <v>3840</v>
      </c>
      <c r="D193" s="111" t="s">
        <v>3841</v>
      </c>
      <c r="E193" s="111" t="s">
        <v>3820</v>
      </c>
      <c r="F193" s="109" t="s">
        <v>344</v>
      </c>
      <c r="G193" s="112">
        <v>46300</v>
      </c>
      <c r="H193" s="109" t="s">
        <v>4</v>
      </c>
      <c r="I193" s="109" t="s">
        <v>346</v>
      </c>
      <c r="J193" s="109"/>
      <c r="K193" s="109"/>
      <c r="L193" s="109" t="s">
        <v>346</v>
      </c>
      <c r="M193" s="109"/>
      <c r="N193" s="109"/>
      <c r="O193" s="113"/>
    </row>
    <row r="194" spans="1:15" ht="70.05" customHeight="1" outlineLevel="1">
      <c r="A194" s="109" t="s">
        <v>3842</v>
      </c>
      <c r="B194" s="110" t="s">
        <v>3843</v>
      </c>
      <c r="C194" s="110" t="s">
        <v>3823</v>
      </c>
      <c r="D194" s="111" t="s">
        <v>3844</v>
      </c>
      <c r="E194" s="111" t="s">
        <v>3845</v>
      </c>
      <c r="F194" s="109" t="s">
        <v>344</v>
      </c>
      <c r="G194" s="112">
        <v>46300</v>
      </c>
      <c r="H194" s="109" t="s">
        <v>4</v>
      </c>
      <c r="I194" s="109" t="s">
        <v>346</v>
      </c>
      <c r="J194" s="109"/>
      <c r="K194" s="109"/>
      <c r="L194" s="109" t="s">
        <v>346</v>
      </c>
      <c r="M194" s="109"/>
      <c r="N194" s="109"/>
      <c r="O194" s="113"/>
    </row>
    <row r="195" spans="1:15" ht="70.05" customHeight="1" outlineLevel="1">
      <c r="A195" s="109" t="s">
        <v>3846</v>
      </c>
      <c r="B195" s="110" t="s">
        <v>3843</v>
      </c>
      <c r="C195" s="110" t="s">
        <v>3823</v>
      </c>
      <c r="D195" s="111" t="s">
        <v>3847</v>
      </c>
      <c r="E195" s="111" t="s">
        <v>3848</v>
      </c>
      <c r="F195" s="109" t="s">
        <v>344</v>
      </c>
      <c r="G195" s="112">
        <v>46300</v>
      </c>
      <c r="H195" s="109" t="s">
        <v>4</v>
      </c>
      <c r="I195" s="109" t="s">
        <v>346</v>
      </c>
      <c r="J195" s="109"/>
      <c r="K195" s="109"/>
      <c r="L195" s="109" t="s">
        <v>346</v>
      </c>
      <c r="M195" s="109"/>
      <c r="N195" s="109"/>
      <c r="O195" s="113"/>
    </row>
    <row r="196" spans="1:15" ht="70.05" customHeight="1" outlineLevel="1">
      <c r="A196" s="109" t="s">
        <v>3849</v>
      </c>
      <c r="B196" s="110" t="s">
        <v>3850</v>
      </c>
      <c r="C196" s="110" t="s">
        <v>3851</v>
      </c>
      <c r="D196" s="111" t="s">
        <v>3852</v>
      </c>
      <c r="E196" s="111" t="s">
        <v>3853</v>
      </c>
      <c r="F196" s="109" t="s">
        <v>344</v>
      </c>
      <c r="G196" s="112">
        <v>46300</v>
      </c>
      <c r="H196" s="109" t="s">
        <v>4</v>
      </c>
      <c r="I196" s="109" t="s">
        <v>346</v>
      </c>
      <c r="J196" s="109"/>
      <c r="K196" s="109"/>
      <c r="L196" s="109" t="s">
        <v>346</v>
      </c>
      <c r="M196" s="109"/>
      <c r="N196" s="109"/>
      <c r="O196" s="113"/>
    </row>
    <row r="197" spans="1:15" ht="70.05" customHeight="1" outlineLevel="1">
      <c r="A197" s="109" t="s">
        <v>3854</v>
      </c>
      <c r="B197" s="110" t="s">
        <v>3855</v>
      </c>
      <c r="C197" s="110" t="s">
        <v>3856</v>
      </c>
      <c r="D197" s="111" t="s">
        <v>3302</v>
      </c>
      <c r="E197" s="111" t="s">
        <v>3857</v>
      </c>
      <c r="F197" s="109" t="s">
        <v>344</v>
      </c>
      <c r="G197" s="112">
        <v>46300</v>
      </c>
      <c r="H197" s="109" t="s">
        <v>4</v>
      </c>
      <c r="I197" s="109" t="s">
        <v>346</v>
      </c>
      <c r="J197" s="109"/>
      <c r="K197" s="109"/>
      <c r="L197" s="109" t="s">
        <v>346</v>
      </c>
      <c r="M197" s="109"/>
      <c r="N197" s="109"/>
      <c r="O197" s="113"/>
    </row>
    <row r="198" spans="1:15" ht="70.05" customHeight="1" outlineLevel="1">
      <c r="A198" s="109" t="s">
        <v>3858</v>
      </c>
      <c r="B198" s="110" t="s">
        <v>3859</v>
      </c>
      <c r="C198" s="110" t="s">
        <v>3860</v>
      </c>
      <c r="D198" s="111" t="s">
        <v>3302</v>
      </c>
      <c r="E198" s="111" t="s">
        <v>3861</v>
      </c>
      <c r="F198" s="109" t="s">
        <v>344</v>
      </c>
      <c r="G198" s="112">
        <v>46300</v>
      </c>
      <c r="H198" s="109" t="s">
        <v>4</v>
      </c>
      <c r="I198" s="109" t="s">
        <v>346</v>
      </c>
      <c r="J198" s="109"/>
      <c r="K198" s="109"/>
      <c r="L198" s="109" t="s">
        <v>346</v>
      </c>
      <c r="M198" s="109"/>
      <c r="N198" s="109"/>
      <c r="O198" s="113"/>
    </row>
    <row r="199" spans="1:15" ht="70.05" customHeight="1" outlineLevel="1">
      <c r="A199" s="109" t="s">
        <v>3862</v>
      </c>
      <c r="B199" s="110" t="s">
        <v>3863</v>
      </c>
      <c r="C199" s="110" t="s">
        <v>3864</v>
      </c>
      <c r="D199" s="111" t="s">
        <v>3302</v>
      </c>
      <c r="E199" s="111" t="s">
        <v>3857</v>
      </c>
      <c r="F199" s="109" t="s">
        <v>344</v>
      </c>
      <c r="G199" s="112">
        <v>46300</v>
      </c>
      <c r="H199" s="109" t="s">
        <v>4</v>
      </c>
      <c r="I199" s="109" t="s">
        <v>346</v>
      </c>
      <c r="J199" s="109"/>
      <c r="K199" s="109"/>
      <c r="L199" s="109" t="s">
        <v>346</v>
      </c>
      <c r="M199" s="109"/>
      <c r="N199" s="109"/>
      <c r="O199" s="113"/>
    </row>
    <row r="200" spans="1:15" ht="70.05" customHeight="1" outlineLevel="1">
      <c r="A200" s="109" t="s">
        <v>3865</v>
      </c>
      <c r="B200" s="110" t="s">
        <v>3866</v>
      </c>
      <c r="C200" s="110" t="s">
        <v>3867</v>
      </c>
      <c r="D200" s="111" t="s">
        <v>3302</v>
      </c>
      <c r="E200" s="111" t="s">
        <v>3868</v>
      </c>
      <c r="F200" s="109" t="s">
        <v>344</v>
      </c>
      <c r="G200" s="112">
        <v>46300</v>
      </c>
      <c r="H200" s="109" t="s">
        <v>4</v>
      </c>
      <c r="I200" s="109" t="s">
        <v>346</v>
      </c>
      <c r="J200" s="109"/>
      <c r="K200" s="109"/>
      <c r="L200" s="109" t="s">
        <v>346</v>
      </c>
      <c r="M200" s="109"/>
      <c r="N200" s="109"/>
      <c r="O200" s="113"/>
    </row>
    <row r="201" spans="1:15" ht="70.05" customHeight="1" outlineLevel="1">
      <c r="A201" s="109" t="s">
        <v>3869</v>
      </c>
      <c r="B201" s="110" t="s">
        <v>3870</v>
      </c>
      <c r="C201" s="110" t="s">
        <v>3871</v>
      </c>
      <c r="D201" s="111" t="s">
        <v>3302</v>
      </c>
      <c r="E201" s="111" t="s">
        <v>3872</v>
      </c>
      <c r="F201" s="109" t="s">
        <v>344</v>
      </c>
      <c r="G201" s="112">
        <v>46300</v>
      </c>
      <c r="H201" s="109" t="s">
        <v>4</v>
      </c>
      <c r="I201" s="109" t="s">
        <v>346</v>
      </c>
      <c r="J201" s="109"/>
      <c r="K201" s="109"/>
      <c r="L201" s="109" t="s">
        <v>346</v>
      </c>
      <c r="M201" s="109"/>
      <c r="N201" s="109"/>
      <c r="O201" s="113"/>
    </row>
    <row r="202" spans="1:15" ht="70.05" customHeight="1" outlineLevel="1">
      <c r="A202" s="109" t="s">
        <v>3873</v>
      </c>
      <c r="B202" s="110" t="s">
        <v>3874</v>
      </c>
      <c r="C202" s="110" t="s">
        <v>3823</v>
      </c>
      <c r="D202" s="111" t="s">
        <v>3875</v>
      </c>
      <c r="E202" s="111" t="s">
        <v>3876</v>
      </c>
      <c r="F202" s="109" t="s">
        <v>344</v>
      </c>
      <c r="G202" s="112">
        <v>46300</v>
      </c>
      <c r="H202" s="109" t="s">
        <v>4</v>
      </c>
      <c r="I202" s="109" t="s">
        <v>346</v>
      </c>
      <c r="J202" s="109"/>
      <c r="K202" s="109"/>
      <c r="L202" s="109" t="s">
        <v>346</v>
      </c>
      <c r="M202" s="109"/>
      <c r="N202" s="109"/>
      <c r="O202" s="113"/>
    </row>
    <row r="203" spans="1:15" ht="70.05" customHeight="1" outlineLevel="1">
      <c r="A203" s="109" t="s">
        <v>3877</v>
      </c>
      <c r="B203" s="110" t="s">
        <v>3874</v>
      </c>
      <c r="C203" s="110" t="s">
        <v>3823</v>
      </c>
      <c r="D203" s="111" t="s">
        <v>3875</v>
      </c>
      <c r="E203" s="111" t="s">
        <v>3878</v>
      </c>
      <c r="F203" s="109" t="s">
        <v>344</v>
      </c>
      <c r="G203" s="112">
        <v>46300</v>
      </c>
      <c r="H203" s="109" t="s">
        <v>4</v>
      </c>
      <c r="I203" s="109" t="s">
        <v>346</v>
      </c>
      <c r="J203" s="109"/>
      <c r="K203" s="109"/>
      <c r="L203" s="109" t="s">
        <v>346</v>
      </c>
      <c r="M203" s="109"/>
      <c r="N203" s="109"/>
      <c r="O203" s="113"/>
    </row>
    <row r="204" spans="1:15" ht="70.05" customHeight="1" outlineLevel="1">
      <c r="A204" s="109" t="s">
        <v>3879</v>
      </c>
      <c r="B204" s="110" t="s">
        <v>3880</v>
      </c>
      <c r="C204" s="110" t="s">
        <v>3881</v>
      </c>
      <c r="D204" s="111" t="s">
        <v>3302</v>
      </c>
      <c r="E204" s="111" t="s">
        <v>3882</v>
      </c>
      <c r="F204" s="109" t="s">
        <v>344</v>
      </c>
      <c r="G204" s="112">
        <v>46300</v>
      </c>
      <c r="H204" s="109" t="s">
        <v>4</v>
      </c>
      <c r="I204" s="109" t="s">
        <v>346</v>
      </c>
      <c r="J204" s="109"/>
      <c r="K204" s="109"/>
      <c r="L204" s="109" t="s">
        <v>346</v>
      </c>
      <c r="M204" s="109"/>
      <c r="N204" s="109"/>
      <c r="O204" s="113"/>
    </row>
    <row r="205" spans="1:15" ht="15.75" customHeight="1">
      <c r="A205" s="60" t="s">
        <v>170</v>
      </c>
      <c r="B205" s="60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2"/>
    </row>
    <row r="206" spans="1:15" ht="70.05" customHeight="1" outlineLevel="1">
      <c r="A206" s="109" t="s">
        <v>3883</v>
      </c>
      <c r="B206" s="110" t="s">
        <v>3884</v>
      </c>
      <c r="C206" s="110" t="s">
        <v>3885</v>
      </c>
      <c r="D206" s="111" t="s">
        <v>3886</v>
      </c>
      <c r="E206" s="111" t="s">
        <v>3887</v>
      </c>
      <c r="F206" s="109" t="s">
        <v>346</v>
      </c>
      <c r="G206" s="109"/>
      <c r="H206" s="109"/>
      <c r="I206" s="109" t="s">
        <v>346</v>
      </c>
      <c r="J206" s="109"/>
      <c r="K206" s="109"/>
      <c r="L206" s="109" t="s">
        <v>346</v>
      </c>
      <c r="M206" s="109"/>
      <c r="N206" s="109"/>
      <c r="O206" s="113" t="s">
        <v>2816</v>
      </c>
    </row>
    <row r="207" spans="1:15" ht="70.05" customHeight="1" outlineLevel="1">
      <c r="A207" s="109" t="s">
        <v>3888</v>
      </c>
      <c r="B207" s="110" t="s">
        <v>3889</v>
      </c>
      <c r="C207" s="110" t="s">
        <v>3890</v>
      </c>
      <c r="D207" s="111" t="s">
        <v>3891</v>
      </c>
      <c r="E207" s="111" t="s">
        <v>3887</v>
      </c>
      <c r="F207" s="109" t="s">
        <v>346</v>
      </c>
      <c r="G207" s="109"/>
      <c r="H207" s="109"/>
      <c r="I207" s="109" t="s">
        <v>346</v>
      </c>
      <c r="J207" s="109"/>
      <c r="K207" s="109"/>
      <c r="L207" s="109" t="s">
        <v>346</v>
      </c>
      <c r="M207" s="109"/>
      <c r="N207" s="109"/>
      <c r="O207" s="113" t="s">
        <v>2816</v>
      </c>
    </row>
    <row r="208" spans="1:15" ht="70.05" customHeight="1" outlineLevel="1">
      <c r="A208" s="109" t="s">
        <v>3892</v>
      </c>
      <c r="B208" s="110" t="s">
        <v>3893</v>
      </c>
      <c r="C208" s="110" t="s">
        <v>3894</v>
      </c>
      <c r="D208" s="111" t="s">
        <v>3895</v>
      </c>
      <c r="E208" s="111" t="s">
        <v>3887</v>
      </c>
      <c r="F208" s="109" t="s">
        <v>346</v>
      </c>
      <c r="G208" s="109"/>
      <c r="H208" s="109"/>
      <c r="I208" s="109" t="s">
        <v>346</v>
      </c>
      <c r="J208" s="109"/>
      <c r="K208" s="109"/>
      <c r="L208" s="109" t="s">
        <v>346</v>
      </c>
      <c r="M208" s="109"/>
      <c r="N208" s="109"/>
      <c r="O208" s="113" t="s">
        <v>2816</v>
      </c>
    </row>
    <row r="209" spans="1:15" ht="70.05" customHeight="1" outlineLevel="1">
      <c r="A209" s="109" t="s">
        <v>3896</v>
      </c>
      <c r="B209" s="110" t="s">
        <v>3889</v>
      </c>
      <c r="C209" s="110" t="s">
        <v>3890</v>
      </c>
      <c r="D209" s="111" t="s">
        <v>3897</v>
      </c>
      <c r="E209" s="111" t="s">
        <v>3898</v>
      </c>
      <c r="F209" s="109" t="s">
        <v>346</v>
      </c>
      <c r="G209" s="109"/>
      <c r="H209" s="109"/>
      <c r="I209" s="109" t="s">
        <v>346</v>
      </c>
      <c r="J209" s="109"/>
      <c r="K209" s="109"/>
      <c r="L209" s="109" t="s">
        <v>346</v>
      </c>
      <c r="M209" s="109"/>
      <c r="N209" s="109"/>
      <c r="O209" s="113" t="s">
        <v>2816</v>
      </c>
    </row>
    <row r="210" spans="1:15" ht="70.05" customHeight="1" outlineLevel="1">
      <c r="A210" s="109" t="s">
        <v>3899</v>
      </c>
      <c r="B210" s="110" t="s">
        <v>3900</v>
      </c>
      <c r="C210" s="110" t="s">
        <v>3901</v>
      </c>
      <c r="D210" s="111" t="s">
        <v>3902</v>
      </c>
      <c r="E210" s="111" t="s">
        <v>3903</v>
      </c>
      <c r="F210" s="109" t="s">
        <v>346</v>
      </c>
      <c r="G210" s="109"/>
      <c r="H210" s="109"/>
      <c r="I210" s="109" t="s">
        <v>346</v>
      </c>
      <c r="J210" s="109"/>
      <c r="K210" s="109"/>
      <c r="L210" s="109" t="s">
        <v>346</v>
      </c>
      <c r="M210" s="109"/>
      <c r="N210" s="109"/>
      <c r="O210" s="113" t="s">
        <v>2816</v>
      </c>
    </row>
    <row r="211" spans="1:15" ht="70.05" customHeight="1" outlineLevel="1">
      <c r="A211" s="109" t="s">
        <v>3904</v>
      </c>
      <c r="B211" s="110" t="s">
        <v>3900</v>
      </c>
      <c r="C211" s="110" t="s">
        <v>3901</v>
      </c>
      <c r="D211" s="111" t="s">
        <v>3902</v>
      </c>
      <c r="E211" s="111" t="s">
        <v>3905</v>
      </c>
      <c r="F211" s="109" t="s">
        <v>346</v>
      </c>
      <c r="G211" s="109"/>
      <c r="H211" s="109"/>
      <c r="I211" s="109" t="s">
        <v>346</v>
      </c>
      <c r="J211" s="109"/>
      <c r="K211" s="109"/>
      <c r="L211" s="109" t="s">
        <v>346</v>
      </c>
      <c r="M211" s="109"/>
      <c r="N211" s="109"/>
      <c r="O211" s="113" t="s">
        <v>2816</v>
      </c>
    </row>
    <row r="212" spans="1:15" ht="70.05" customHeight="1" outlineLevel="1">
      <c r="A212" s="109" t="s">
        <v>3906</v>
      </c>
      <c r="B212" s="110" t="s">
        <v>3907</v>
      </c>
      <c r="C212" s="110" t="s">
        <v>3908</v>
      </c>
      <c r="D212" s="111" t="s">
        <v>3909</v>
      </c>
      <c r="E212" s="111" t="s">
        <v>3887</v>
      </c>
      <c r="F212" s="109" t="s">
        <v>346</v>
      </c>
      <c r="G212" s="109"/>
      <c r="H212" s="109"/>
      <c r="I212" s="109" t="s">
        <v>346</v>
      </c>
      <c r="J212" s="109"/>
      <c r="K212" s="109"/>
      <c r="L212" s="109" t="s">
        <v>346</v>
      </c>
      <c r="M212" s="109"/>
      <c r="N212" s="109"/>
      <c r="O212" s="113" t="s">
        <v>2816</v>
      </c>
    </row>
    <row r="213" spans="1:15" ht="70.05" customHeight="1" outlineLevel="1">
      <c r="A213" s="109" t="s">
        <v>3910</v>
      </c>
      <c r="B213" s="110" t="s">
        <v>3911</v>
      </c>
      <c r="C213" s="110" t="s">
        <v>3912</v>
      </c>
      <c r="D213" s="111" t="s">
        <v>3913</v>
      </c>
      <c r="E213" s="111" t="s">
        <v>3914</v>
      </c>
      <c r="F213" s="109" t="s">
        <v>346</v>
      </c>
      <c r="G213" s="109"/>
      <c r="H213" s="109"/>
      <c r="I213" s="109" t="s">
        <v>346</v>
      </c>
      <c r="J213" s="109"/>
      <c r="K213" s="109"/>
      <c r="L213" s="109" t="s">
        <v>346</v>
      </c>
      <c r="M213" s="109"/>
      <c r="N213" s="109"/>
      <c r="O213" s="113" t="s">
        <v>2816</v>
      </c>
    </row>
    <row r="214" spans="1:15" ht="70.05" customHeight="1" outlineLevel="1">
      <c r="A214" s="109" t="s">
        <v>3915</v>
      </c>
      <c r="B214" s="110" t="s">
        <v>3916</v>
      </c>
      <c r="C214" s="110" t="s">
        <v>3885</v>
      </c>
      <c r="D214" s="111" t="s">
        <v>3402</v>
      </c>
      <c r="E214" s="111" t="s">
        <v>3917</v>
      </c>
      <c r="F214" s="109" t="s">
        <v>346</v>
      </c>
      <c r="G214" s="109"/>
      <c r="H214" s="109"/>
      <c r="I214" s="109" t="s">
        <v>346</v>
      </c>
      <c r="J214" s="109"/>
      <c r="K214" s="109"/>
      <c r="L214" s="109" t="s">
        <v>346</v>
      </c>
      <c r="M214" s="109"/>
      <c r="N214" s="109"/>
      <c r="O214" s="113" t="s">
        <v>2816</v>
      </c>
    </row>
    <row r="215" spans="1:15" ht="70.05" customHeight="1" outlineLevel="1">
      <c r="A215" s="109" t="s">
        <v>3918</v>
      </c>
      <c r="B215" s="110" t="s">
        <v>3919</v>
      </c>
      <c r="C215" s="110" t="s">
        <v>3894</v>
      </c>
      <c r="D215" s="111" t="s">
        <v>3920</v>
      </c>
      <c r="E215" s="111" t="s">
        <v>3921</v>
      </c>
      <c r="F215" s="109" t="s">
        <v>346</v>
      </c>
      <c r="G215" s="109"/>
      <c r="H215" s="109"/>
      <c r="I215" s="109" t="s">
        <v>346</v>
      </c>
      <c r="J215" s="109"/>
      <c r="K215" s="109"/>
      <c r="L215" s="109" t="s">
        <v>346</v>
      </c>
      <c r="M215" s="109"/>
      <c r="N215" s="109"/>
      <c r="O215" s="113" t="s">
        <v>2816</v>
      </c>
    </row>
    <row r="216" spans="1:15" ht="70.05" customHeight="1" outlineLevel="1">
      <c r="A216" s="109" t="s">
        <v>3922</v>
      </c>
      <c r="B216" s="110" t="s">
        <v>3923</v>
      </c>
      <c r="C216" s="110" t="s">
        <v>3901</v>
      </c>
      <c r="D216" s="111" t="s">
        <v>3402</v>
      </c>
      <c r="E216" s="111" t="s">
        <v>3924</v>
      </c>
      <c r="F216" s="109" t="s">
        <v>346</v>
      </c>
      <c r="G216" s="109"/>
      <c r="H216" s="109"/>
      <c r="I216" s="109" t="s">
        <v>346</v>
      </c>
      <c r="J216" s="109"/>
      <c r="K216" s="109"/>
      <c r="L216" s="109" t="s">
        <v>346</v>
      </c>
      <c r="M216" s="109"/>
      <c r="N216" s="109"/>
      <c r="O216" s="113" t="s">
        <v>2816</v>
      </c>
    </row>
    <row r="217" spans="1:15" ht="70.05" customHeight="1" outlineLevel="1">
      <c r="A217" s="109" t="s">
        <v>3925</v>
      </c>
      <c r="B217" s="110" t="s">
        <v>3916</v>
      </c>
      <c r="C217" s="110" t="s">
        <v>3885</v>
      </c>
      <c r="D217" s="111" t="s">
        <v>3402</v>
      </c>
      <c r="E217" s="111" t="s">
        <v>3926</v>
      </c>
      <c r="F217" s="109" t="s">
        <v>346</v>
      </c>
      <c r="G217" s="109"/>
      <c r="H217" s="109"/>
      <c r="I217" s="109" t="s">
        <v>346</v>
      </c>
      <c r="J217" s="109"/>
      <c r="K217" s="109"/>
      <c r="L217" s="109" t="s">
        <v>346</v>
      </c>
      <c r="M217" s="109"/>
      <c r="N217" s="109"/>
      <c r="O217" s="113" t="s">
        <v>2816</v>
      </c>
    </row>
    <row r="218" spans="1:15" ht="70.05" customHeight="1" outlineLevel="1">
      <c r="A218" s="109" t="s">
        <v>3927</v>
      </c>
      <c r="B218" s="110" t="s">
        <v>3928</v>
      </c>
      <c r="C218" s="110" t="s">
        <v>3885</v>
      </c>
      <c r="D218" s="111" t="s">
        <v>3294</v>
      </c>
      <c r="E218" s="111" t="s">
        <v>3929</v>
      </c>
      <c r="F218" s="109" t="s">
        <v>346</v>
      </c>
      <c r="G218" s="109"/>
      <c r="H218" s="109"/>
      <c r="I218" s="109" t="s">
        <v>346</v>
      </c>
      <c r="J218" s="109"/>
      <c r="K218" s="109"/>
      <c r="L218" s="109" t="s">
        <v>346</v>
      </c>
      <c r="M218" s="109"/>
      <c r="N218" s="109"/>
      <c r="O218" s="113" t="s">
        <v>2816</v>
      </c>
    </row>
    <row r="219" spans="1:15" ht="70.05" customHeight="1" outlineLevel="1">
      <c r="A219" s="109" t="s">
        <v>3930</v>
      </c>
      <c r="B219" s="110" t="s">
        <v>3928</v>
      </c>
      <c r="C219" s="110" t="s">
        <v>3885</v>
      </c>
      <c r="D219" s="111" t="s">
        <v>3299</v>
      </c>
      <c r="E219" s="111" t="s">
        <v>3931</v>
      </c>
      <c r="F219" s="109" t="s">
        <v>346</v>
      </c>
      <c r="G219" s="109"/>
      <c r="H219" s="109"/>
      <c r="I219" s="109" t="s">
        <v>346</v>
      </c>
      <c r="J219" s="109"/>
      <c r="K219" s="109"/>
      <c r="L219" s="109" t="s">
        <v>346</v>
      </c>
      <c r="M219" s="109"/>
      <c r="N219" s="109"/>
      <c r="O219" s="113" t="s">
        <v>2816</v>
      </c>
    </row>
    <row r="220" spans="1:15" ht="70.05" customHeight="1" outlineLevel="1">
      <c r="A220" s="109" t="s">
        <v>3932</v>
      </c>
      <c r="B220" s="110" t="s">
        <v>3933</v>
      </c>
      <c r="C220" s="110" t="s">
        <v>3934</v>
      </c>
      <c r="D220" s="111" t="s">
        <v>3307</v>
      </c>
      <c r="E220" s="111" t="s">
        <v>3887</v>
      </c>
      <c r="F220" s="109" t="s">
        <v>346</v>
      </c>
      <c r="G220" s="109"/>
      <c r="H220" s="109"/>
      <c r="I220" s="109" t="s">
        <v>346</v>
      </c>
      <c r="J220" s="109"/>
      <c r="K220" s="109"/>
      <c r="L220" s="109" t="s">
        <v>346</v>
      </c>
      <c r="M220" s="109"/>
      <c r="N220" s="109"/>
      <c r="O220" s="113" t="s">
        <v>2816</v>
      </c>
    </row>
    <row r="221" spans="1:15" ht="70.05" customHeight="1" outlineLevel="1">
      <c r="A221" s="109" t="s">
        <v>3935</v>
      </c>
      <c r="B221" s="110" t="s">
        <v>3928</v>
      </c>
      <c r="C221" s="110" t="s">
        <v>3885</v>
      </c>
      <c r="D221" s="111" t="s">
        <v>3497</v>
      </c>
      <c r="E221" s="111" t="s">
        <v>3936</v>
      </c>
      <c r="F221" s="109" t="s">
        <v>346</v>
      </c>
      <c r="G221" s="109"/>
      <c r="H221" s="109"/>
      <c r="I221" s="109" t="s">
        <v>346</v>
      </c>
      <c r="J221" s="109"/>
      <c r="K221" s="109"/>
      <c r="L221" s="109" t="s">
        <v>346</v>
      </c>
      <c r="M221" s="109"/>
      <c r="N221" s="109"/>
      <c r="O221" s="113" t="s">
        <v>2816</v>
      </c>
    </row>
    <row r="222" spans="1:15" ht="70.05" customHeight="1" outlineLevel="1">
      <c r="A222" s="109" t="s">
        <v>3937</v>
      </c>
      <c r="B222" s="110" t="s">
        <v>3938</v>
      </c>
      <c r="C222" s="110" t="s">
        <v>3901</v>
      </c>
      <c r="D222" s="111" t="s">
        <v>3299</v>
      </c>
      <c r="E222" s="111" t="s">
        <v>3939</v>
      </c>
      <c r="F222" s="109" t="s">
        <v>346</v>
      </c>
      <c r="G222" s="109"/>
      <c r="H222" s="109"/>
      <c r="I222" s="109" t="s">
        <v>346</v>
      </c>
      <c r="J222" s="109"/>
      <c r="K222" s="109"/>
      <c r="L222" s="109" t="s">
        <v>346</v>
      </c>
      <c r="M222" s="109"/>
      <c r="N222" s="109"/>
      <c r="O222" s="113" t="s">
        <v>2816</v>
      </c>
    </row>
    <row r="223" spans="1:15" ht="70.05" customHeight="1" outlineLevel="1">
      <c r="A223" s="109" t="s">
        <v>3940</v>
      </c>
      <c r="B223" s="110" t="s">
        <v>3941</v>
      </c>
      <c r="C223" s="110" t="s">
        <v>3894</v>
      </c>
      <c r="D223" s="111" t="s">
        <v>3942</v>
      </c>
      <c r="E223" s="111" t="s">
        <v>3943</v>
      </c>
      <c r="F223" s="109" t="s">
        <v>346</v>
      </c>
      <c r="G223" s="109"/>
      <c r="H223" s="109"/>
      <c r="I223" s="109" t="s">
        <v>346</v>
      </c>
      <c r="J223" s="109"/>
      <c r="K223" s="109"/>
      <c r="L223" s="109" t="s">
        <v>346</v>
      </c>
      <c r="M223" s="109"/>
      <c r="N223" s="109"/>
      <c r="O223" s="113" t="s">
        <v>2816</v>
      </c>
    </row>
    <row r="224" spans="1:15" ht="15.75" customHeight="1">
      <c r="A224" s="60" t="s">
        <v>172</v>
      </c>
      <c r="B224" s="60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2"/>
    </row>
    <row r="225" spans="1:15" ht="70.05" customHeight="1" outlineLevel="1">
      <c r="A225" s="109" t="s">
        <v>3944</v>
      </c>
      <c r="B225" s="110" t="s">
        <v>3945</v>
      </c>
      <c r="C225" s="110" t="s">
        <v>3946</v>
      </c>
      <c r="D225" s="111" t="s">
        <v>3947</v>
      </c>
      <c r="E225" s="111" t="s">
        <v>3948</v>
      </c>
      <c r="F225" s="109" t="s">
        <v>346</v>
      </c>
      <c r="G225" s="109"/>
      <c r="H225" s="109"/>
      <c r="I225" s="109" t="s">
        <v>346</v>
      </c>
      <c r="J225" s="109"/>
      <c r="K225" s="109"/>
      <c r="L225" s="109" t="s">
        <v>346</v>
      </c>
      <c r="M225" s="109"/>
      <c r="N225" s="109"/>
      <c r="O225" s="113" t="s">
        <v>2816</v>
      </c>
    </row>
    <row r="226" spans="1:15" ht="70.05" customHeight="1" outlineLevel="1">
      <c r="A226" s="109" t="s">
        <v>3949</v>
      </c>
      <c r="B226" s="110" t="s">
        <v>3950</v>
      </c>
      <c r="C226" s="110" t="s">
        <v>3951</v>
      </c>
      <c r="D226" s="111" t="s">
        <v>3952</v>
      </c>
      <c r="E226" s="111" t="s">
        <v>3948</v>
      </c>
      <c r="F226" s="109" t="s">
        <v>346</v>
      </c>
      <c r="G226" s="109"/>
      <c r="H226" s="109"/>
      <c r="I226" s="109" t="s">
        <v>346</v>
      </c>
      <c r="J226" s="109"/>
      <c r="K226" s="109"/>
      <c r="L226" s="109" t="s">
        <v>346</v>
      </c>
      <c r="M226" s="109"/>
      <c r="N226" s="109"/>
      <c r="O226" s="113" t="s">
        <v>2816</v>
      </c>
    </row>
    <row r="227" spans="1:15" ht="70.05" customHeight="1" outlineLevel="1">
      <c r="A227" s="109" t="s">
        <v>3953</v>
      </c>
      <c r="B227" s="110" t="s">
        <v>3954</v>
      </c>
      <c r="C227" s="110" t="s">
        <v>3955</v>
      </c>
      <c r="D227" s="111" t="s">
        <v>3956</v>
      </c>
      <c r="E227" s="111" t="s">
        <v>3948</v>
      </c>
      <c r="F227" s="109" t="s">
        <v>346</v>
      </c>
      <c r="G227" s="109"/>
      <c r="H227" s="109"/>
      <c r="I227" s="109" t="s">
        <v>346</v>
      </c>
      <c r="J227" s="109"/>
      <c r="K227" s="109"/>
      <c r="L227" s="109" t="s">
        <v>346</v>
      </c>
      <c r="M227" s="109"/>
      <c r="N227" s="109"/>
      <c r="O227" s="113" t="s">
        <v>2816</v>
      </c>
    </row>
    <row r="228" spans="1:15" ht="70.05" customHeight="1" outlineLevel="1">
      <c r="A228" s="109" t="s">
        <v>3957</v>
      </c>
      <c r="B228" s="110" t="s">
        <v>3958</v>
      </c>
      <c r="C228" s="110" t="s">
        <v>3959</v>
      </c>
      <c r="D228" s="111" t="s">
        <v>3960</v>
      </c>
      <c r="E228" s="111" t="s">
        <v>1810</v>
      </c>
      <c r="F228" s="109" t="s">
        <v>346</v>
      </c>
      <c r="G228" s="109"/>
      <c r="H228" s="109"/>
      <c r="I228" s="109" t="s">
        <v>346</v>
      </c>
      <c r="J228" s="109"/>
      <c r="K228" s="109"/>
      <c r="L228" s="109" t="s">
        <v>346</v>
      </c>
      <c r="M228" s="109"/>
      <c r="N228" s="109"/>
      <c r="O228" s="113" t="s">
        <v>2816</v>
      </c>
    </row>
    <row r="229" spans="1:15" ht="70.05" customHeight="1" outlineLevel="1">
      <c r="A229" s="109" t="s">
        <v>3961</v>
      </c>
      <c r="B229" s="110" t="s">
        <v>3962</v>
      </c>
      <c r="C229" s="110" t="s">
        <v>3963</v>
      </c>
      <c r="D229" s="111" t="s">
        <v>3964</v>
      </c>
      <c r="E229" s="111" t="s">
        <v>3965</v>
      </c>
      <c r="F229" s="109" t="s">
        <v>346</v>
      </c>
      <c r="G229" s="109"/>
      <c r="H229" s="109"/>
      <c r="I229" s="109" t="s">
        <v>346</v>
      </c>
      <c r="J229" s="109"/>
      <c r="K229" s="109"/>
      <c r="L229" s="109" t="s">
        <v>346</v>
      </c>
      <c r="M229" s="109"/>
      <c r="N229" s="109"/>
      <c r="O229" s="113" t="s">
        <v>2816</v>
      </c>
    </row>
    <row r="230" spans="1:15" ht="70.05" customHeight="1" outlineLevel="1">
      <c r="A230" s="109" t="s">
        <v>3966</v>
      </c>
      <c r="B230" s="110" t="s">
        <v>3967</v>
      </c>
      <c r="C230" s="110" t="s">
        <v>3968</v>
      </c>
      <c r="D230" s="111" t="s">
        <v>3969</v>
      </c>
      <c r="E230" s="111" t="s">
        <v>3948</v>
      </c>
      <c r="F230" s="109" t="s">
        <v>346</v>
      </c>
      <c r="G230" s="109"/>
      <c r="H230" s="109"/>
      <c r="I230" s="109" t="s">
        <v>346</v>
      </c>
      <c r="J230" s="109"/>
      <c r="K230" s="109"/>
      <c r="L230" s="109" t="s">
        <v>346</v>
      </c>
      <c r="M230" s="109"/>
      <c r="N230" s="109"/>
      <c r="O230" s="113" t="s">
        <v>2816</v>
      </c>
    </row>
    <row r="231" spans="1:15" ht="70.05" customHeight="1" outlineLevel="1">
      <c r="A231" s="109" t="s">
        <v>3970</v>
      </c>
      <c r="B231" s="110" t="s">
        <v>3971</v>
      </c>
      <c r="C231" s="110" t="s">
        <v>3972</v>
      </c>
      <c r="D231" s="111" t="s">
        <v>3973</v>
      </c>
      <c r="E231" s="111" t="s">
        <v>3948</v>
      </c>
      <c r="F231" s="109" t="s">
        <v>346</v>
      </c>
      <c r="G231" s="109"/>
      <c r="H231" s="109"/>
      <c r="I231" s="109" t="s">
        <v>346</v>
      </c>
      <c r="J231" s="109"/>
      <c r="K231" s="109"/>
      <c r="L231" s="109" t="s">
        <v>346</v>
      </c>
      <c r="M231" s="109"/>
      <c r="N231" s="109"/>
      <c r="O231" s="113" t="s">
        <v>2816</v>
      </c>
    </row>
    <row r="232" spans="1:15" ht="70.05" customHeight="1" outlineLevel="1">
      <c r="A232" s="109" t="s">
        <v>3974</v>
      </c>
      <c r="B232" s="110" t="s">
        <v>3975</v>
      </c>
      <c r="C232" s="110" t="s">
        <v>3976</v>
      </c>
      <c r="D232" s="111" t="s">
        <v>3977</v>
      </c>
      <c r="E232" s="111" t="s">
        <v>3948</v>
      </c>
      <c r="F232" s="109" t="s">
        <v>346</v>
      </c>
      <c r="G232" s="109"/>
      <c r="H232" s="109"/>
      <c r="I232" s="109" t="s">
        <v>346</v>
      </c>
      <c r="J232" s="109"/>
      <c r="K232" s="109"/>
      <c r="L232" s="109" t="s">
        <v>346</v>
      </c>
      <c r="M232" s="109"/>
      <c r="N232" s="109"/>
      <c r="O232" s="113" t="s">
        <v>2816</v>
      </c>
    </row>
    <row r="233" spans="1:15" ht="70.05" customHeight="1" outlineLevel="1">
      <c r="A233" s="109" t="s">
        <v>3978</v>
      </c>
      <c r="B233" s="110" t="s">
        <v>3979</v>
      </c>
      <c r="C233" s="110" t="s">
        <v>3980</v>
      </c>
      <c r="D233" s="111" t="s">
        <v>3981</v>
      </c>
      <c r="E233" s="111" t="s">
        <v>3948</v>
      </c>
      <c r="F233" s="109" t="s">
        <v>346</v>
      </c>
      <c r="G233" s="109"/>
      <c r="H233" s="109"/>
      <c r="I233" s="109" t="s">
        <v>346</v>
      </c>
      <c r="J233" s="109"/>
      <c r="K233" s="109"/>
      <c r="L233" s="109" t="s">
        <v>346</v>
      </c>
      <c r="M233" s="109"/>
      <c r="N233" s="109"/>
      <c r="O233" s="113" t="s">
        <v>2816</v>
      </c>
    </row>
    <row r="234" spans="1:15" ht="70.05" customHeight="1" outlineLevel="1">
      <c r="A234" s="109" t="s">
        <v>3982</v>
      </c>
      <c r="B234" s="110" t="s">
        <v>3983</v>
      </c>
      <c r="C234" s="110" t="s">
        <v>3984</v>
      </c>
      <c r="D234" s="111" t="s">
        <v>3977</v>
      </c>
      <c r="E234" s="111" t="s">
        <v>3948</v>
      </c>
      <c r="F234" s="109" t="s">
        <v>346</v>
      </c>
      <c r="G234" s="109"/>
      <c r="H234" s="109"/>
      <c r="I234" s="109" t="s">
        <v>346</v>
      </c>
      <c r="J234" s="109"/>
      <c r="K234" s="109"/>
      <c r="L234" s="109" t="s">
        <v>346</v>
      </c>
      <c r="M234" s="109"/>
      <c r="N234" s="109"/>
      <c r="O234" s="113" t="s">
        <v>2816</v>
      </c>
    </row>
    <row r="235" spans="1:15" ht="70.05" customHeight="1" outlineLevel="1">
      <c r="A235" s="109" t="s">
        <v>3985</v>
      </c>
      <c r="B235" s="110" t="s">
        <v>3986</v>
      </c>
      <c r="C235" s="110" t="s">
        <v>3987</v>
      </c>
      <c r="D235" s="111" t="s">
        <v>3988</v>
      </c>
      <c r="E235" s="111" t="s">
        <v>3948</v>
      </c>
      <c r="F235" s="109" t="s">
        <v>346</v>
      </c>
      <c r="G235" s="109"/>
      <c r="H235" s="109"/>
      <c r="I235" s="109" t="s">
        <v>346</v>
      </c>
      <c r="J235" s="109"/>
      <c r="K235" s="109"/>
      <c r="L235" s="109" t="s">
        <v>346</v>
      </c>
      <c r="M235" s="109"/>
      <c r="N235" s="109"/>
      <c r="O235" s="113" t="s">
        <v>2816</v>
      </c>
    </row>
    <row r="236" spans="1:15" ht="70.05" customHeight="1" outlineLevel="1">
      <c r="A236" s="109" t="s">
        <v>3989</v>
      </c>
      <c r="B236" s="110" t="s">
        <v>3990</v>
      </c>
      <c r="C236" s="110" t="s">
        <v>3991</v>
      </c>
      <c r="D236" s="111" t="s">
        <v>3992</v>
      </c>
      <c r="E236" s="111" t="s">
        <v>3948</v>
      </c>
      <c r="F236" s="109" t="s">
        <v>346</v>
      </c>
      <c r="G236" s="109"/>
      <c r="H236" s="109"/>
      <c r="I236" s="109" t="s">
        <v>346</v>
      </c>
      <c r="J236" s="109"/>
      <c r="K236" s="109"/>
      <c r="L236" s="109" t="s">
        <v>346</v>
      </c>
      <c r="M236" s="109"/>
      <c r="N236" s="109"/>
      <c r="O236" s="113" t="s">
        <v>2816</v>
      </c>
    </row>
    <row r="237" spans="1:15" ht="70.05" customHeight="1" outlineLevel="1">
      <c r="A237" s="109" t="s">
        <v>3993</v>
      </c>
      <c r="B237" s="110" t="s">
        <v>3994</v>
      </c>
      <c r="C237" s="110" t="s">
        <v>3995</v>
      </c>
      <c r="D237" s="111" t="s">
        <v>3992</v>
      </c>
      <c r="E237" s="111" t="s">
        <v>3948</v>
      </c>
      <c r="F237" s="109" t="s">
        <v>346</v>
      </c>
      <c r="G237" s="109"/>
      <c r="H237" s="109"/>
      <c r="I237" s="109" t="s">
        <v>346</v>
      </c>
      <c r="J237" s="109"/>
      <c r="K237" s="109"/>
      <c r="L237" s="109" t="s">
        <v>346</v>
      </c>
      <c r="M237" s="109"/>
      <c r="N237" s="109"/>
      <c r="O237" s="113" t="s">
        <v>2816</v>
      </c>
    </row>
    <row r="238" spans="1:15" ht="70.05" customHeight="1" outlineLevel="1">
      <c r="A238" s="109" t="s">
        <v>3996</v>
      </c>
      <c r="B238" s="110" t="s">
        <v>3997</v>
      </c>
      <c r="C238" s="110" t="s">
        <v>3998</v>
      </c>
      <c r="D238" s="111" t="s">
        <v>3988</v>
      </c>
      <c r="E238" s="111" t="s">
        <v>3948</v>
      </c>
      <c r="F238" s="109" t="s">
        <v>346</v>
      </c>
      <c r="G238" s="109"/>
      <c r="H238" s="109"/>
      <c r="I238" s="109" t="s">
        <v>346</v>
      </c>
      <c r="J238" s="109"/>
      <c r="K238" s="109"/>
      <c r="L238" s="109" t="s">
        <v>346</v>
      </c>
      <c r="M238" s="109"/>
      <c r="N238" s="109"/>
      <c r="O238" s="113" t="s">
        <v>2816</v>
      </c>
    </row>
    <row r="239" spans="1:15" ht="70.05" customHeight="1" outlineLevel="1">
      <c r="A239" s="109" t="s">
        <v>3999</v>
      </c>
      <c r="B239" s="110" t="s">
        <v>4000</v>
      </c>
      <c r="C239" s="110" t="s">
        <v>4001</v>
      </c>
      <c r="D239" s="111" t="s">
        <v>3307</v>
      </c>
      <c r="E239" s="111" t="s">
        <v>3948</v>
      </c>
      <c r="F239" s="109" t="s">
        <v>346</v>
      </c>
      <c r="G239" s="109"/>
      <c r="H239" s="109"/>
      <c r="I239" s="109" t="s">
        <v>346</v>
      </c>
      <c r="J239" s="109"/>
      <c r="K239" s="109"/>
      <c r="L239" s="109" t="s">
        <v>346</v>
      </c>
      <c r="M239" s="109"/>
      <c r="N239" s="109"/>
      <c r="O239" s="113" t="s">
        <v>2816</v>
      </c>
    </row>
    <row r="240" spans="1:15" ht="70.05" customHeight="1" outlineLevel="1">
      <c r="A240" s="109" t="s">
        <v>4002</v>
      </c>
      <c r="B240" s="110" t="s">
        <v>4003</v>
      </c>
      <c r="C240" s="110" t="s">
        <v>4004</v>
      </c>
      <c r="D240" s="111" t="s">
        <v>3307</v>
      </c>
      <c r="E240" s="111" t="s">
        <v>3948</v>
      </c>
      <c r="F240" s="109" t="s">
        <v>346</v>
      </c>
      <c r="G240" s="109"/>
      <c r="H240" s="109"/>
      <c r="I240" s="109" t="s">
        <v>346</v>
      </c>
      <c r="J240" s="109"/>
      <c r="K240" s="109"/>
      <c r="L240" s="109" t="s">
        <v>346</v>
      </c>
      <c r="M240" s="109"/>
      <c r="N240" s="109"/>
      <c r="O240" s="113" t="s">
        <v>2816</v>
      </c>
    </row>
    <row r="241" spans="1:15" ht="70.05" customHeight="1" outlineLevel="1">
      <c r="A241" s="109" t="s">
        <v>4005</v>
      </c>
      <c r="B241" s="110" t="s">
        <v>4006</v>
      </c>
      <c r="C241" s="110" t="s">
        <v>3946</v>
      </c>
      <c r="D241" s="111" t="s">
        <v>3294</v>
      </c>
      <c r="E241" s="111" t="s">
        <v>4007</v>
      </c>
      <c r="F241" s="109" t="s">
        <v>346</v>
      </c>
      <c r="G241" s="109"/>
      <c r="H241" s="109"/>
      <c r="I241" s="109" t="s">
        <v>346</v>
      </c>
      <c r="J241" s="109"/>
      <c r="K241" s="109"/>
      <c r="L241" s="109" t="s">
        <v>346</v>
      </c>
      <c r="M241" s="109"/>
      <c r="N241" s="109"/>
      <c r="O241" s="113" t="s">
        <v>2816</v>
      </c>
    </row>
    <row r="242" spans="1:15" ht="70.05" customHeight="1" outlineLevel="1">
      <c r="A242" s="109" t="s">
        <v>4008</v>
      </c>
      <c r="B242" s="110" t="s">
        <v>4006</v>
      </c>
      <c r="C242" s="110" t="s">
        <v>3946</v>
      </c>
      <c r="D242" s="111" t="s">
        <v>3299</v>
      </c>
      <c r="E242" s="111" t="s">
        <v>4009</v>
      </c>
      <c r="F242" s="109" t="s">
        <v>346</v>
      </c>
      <c r="G242" s="109"/>
      <c r="H242" s="109"/>
      <c r="I242" s="109" t="s">
        <v>346</v>
      </c>
      <c r="J242" s="109"/>
      <c r="K242" s="109"/>
      <c r="L242" s="109" t="s">
        <v>346</v>
      </c>
      <c r="M242" s="109"/>
      <c r="N242" s="109"/>
      <c r="O242" s="113" t="s">
        <v>2816</v>
      </c>
    </row>
    <row r="243" spans="1:15" ht="70.05" customHeight="1" outlineLevel="1">
      <c r="A243" s="109" t="s">
        <v>4010</v>
      </c>
      <c r="B243" s="110" t="s">
        <v>4011</v>
      </c>
      <c r="C243" s="110" t="s">
        <v>4012</v>
      </c>
      <c r="D243" s="111" t="s">
        <v>4013</v>
      </c>
      <c r="E243" s="111" t="s">
        <v>3948</v>
      </c>
      <c r="F243" s="109" t="s">
        <v>346</v>
      </c>
      <c r="G243" s="109"/>
      <c r="H243" s="109"/>
      <c r="I243" s="109" t="s">
        <v>346</v>
      </c>
      <c r="J243" s="109"/>
      <c r="K243" s="109"/>
      <c r="L243" s="109" t="s">
        <v>346</v>
      </c>
      <c r="M243" s="109"/>
      <c r="N243" s="109"/>
      <c r="O243" s="113" t="s">
        <v>2816</v>
      </c>
    </row>
    <row r="244" spans="1:15" ht="15.75" customHeight="1">
      <c r="A244" s="60" t="s">
        <v>174</v>
      </c>
      <c r="B244" s="60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2"/>
    </row>
    <row r="245" spans="1:15" ht="70.05" customHeight="1" outlineLevel="1">
      <c r="A245" s="109" t="s">
        <v>4014</v>
      </c>
      <c r="B245" s="110" t="s">
        <v>4015</v>
      </c>
      <c r="C245" s="110" t="s">
        <v>4016</v>
      </c>
      <c r="D245" s="111" t="s">
        <v>4017</v>
      </c>
      <c r="E245" s="111" t="s">
        <v>4018</v>
      </c>
      <c r="F245" s="109" t="s">
        <v>346</v>
      </c>
      <c r="G245" s="109"/>
      <c r="H245" s="109"/>
      <c r="I245" s="109" t="s">
        <v>346</v>
      </c>
      <c r="J245" s="109"/>
      <c r="K245" s="109"/>
      <c r="L245" s="109" t="s">
        <v>346</v>
      </c>
      <c r="M245" s="109"/>
      <c r="N245" s="109"/>
      <c r="O245" s="113" t="s">
        <v>2816</v>
      </c>
    </row>
    <row r="246" spans="1:15" ht="70.05" customHeight="1" outlineLevel="1">
      <c r="A246" s="109" t="s">
        <v>4019</v>
      </c>
      <c r="B246" s="110" t="s">
        <v>4020</v>
      </c>
      <c r="C246" s="110" t="s">
        <v>4021</v>
      </c>
      <c r="D246" s="111" t="s">
        <v>4022</v>
      </c>
      <c r="E246" s="111" t="s">
        <v>4018</v>
      </c>
      <c r="F246" s="109" t="s">
        <v>346</v>
      </c>
      <c r="G246" s="109"/>
      <c r="H246" s="109"/>
      <c r="I246" s="109" t="s">
        <v>346</v>
      </c>
      <c r="J246" s="109"/>
      <c r="K246" s="109"/>
      <c r="L246" s="109" t="s">
        <v>346</v>
      </c>
      <c r="M246" s="109"/>
      <c r="N246" s="109"/>
      <c r="O246" s="113" t="s">
        <v>2816</v>
      </c>
    </row>
    <row r="247" spans="1:15" ht="70.05" customHeight="1" outlineLevel="1">
      <c r="A247" s="109" t="s">
        <v>4023</v>
      </c>
      <c r="B247" s="110" t="s">
        <v>4024</v>
      </c>
      <c r="C247" s="110" t="s">
        <v>4025</v>
      </c>
      <c r="D247" s="111" t="s">
        <v>4026</v>
      </c>
      <c r="E247" s="111" t="s">
        <v>4018</v>
      </c>
      <c r="F247" s="109" t="s">
        <v>346</v>
      </c>
      <c r="G247" s="109"/>
      <c r="H247" s="109"/>
      <c r="I247" s="109" t="s">
        <v>346</v>
      </c>
      <c r="J247" s="109"/>
      <c r="K247" s="109"/>
      <c r="L247" s="109" t="s">
        <v>346</v>
      </c>
      <c r="M247" s="109"/>
      <c r="N247" s="109"/>
      <c r="O247" s="113" t="s">
        <v>2816</v>
      </c>
    </row>
    <row r="248" spans="1:15" ht="70.05" customHeight="1" outlineLevel="1">
      <c r="A248" s="109" t="s">
        <v>4027</v>
      </c>
      <c r="B248" s="110" t="s">
        <v>4015</v>
      </c>
      <c r="C248" s="110" t="s">
        <v>4028</v>
      </c>
      <c r="D248" s="111" t="s">
        <v>4029</v>
      </c>
      <c r="E248" s="111" t="s">
        <v>4018</v>
      </c>
      <c r="F248" s="109" t="s">
        <v>346</v>
      </c>
      <c r="G248" s="109"/>
      <c r="H248" s="109"/>
      <c r="I248" s="109" t="s">
        <v>346</v>
      </c>
      <c r="J248" s="109"/>
      <c r="K248" s="109"/>
      <c r="L248" s="109" t="s">
        <v>346</v>
      </c>
      <c r="M248" s="109"/>
      <c r="N248" s="109"/>
      <c r="O248" s="113" t="s">
        <v>2816</v>
      </c>
    </row>
    <row r="249" spans="1:15" ht="70.05" customHeight="1" outlineLevel="1">
      <c r="A249" s="109" t="s">
        <v>4030</v>
      </c>
      <c r="B249" s="110" t="s">
        <v>4015</v>
      </c>
      <c r="C249" s="110" t="s">
        <v>4031</v>
      </c>
      <c r="D249" s="111" t="s">
        <v>4032</v>
      </c>
      <c r="E249" s="111" t="s">
        <v>4033</v>
      </c>
      <c r="F249" s="109" t="s">
        <v>346</v>
      </c>
      <c r="G249" s="109"/>
      <c r="H249" s="109"/>
      <c r="I249" s="109" t="s">
        <v>346</v>
      </c>
      <c r="J249" s="109"/>
      <c r="K249" s="109"/>
      <c r="L249" s="109" t="s">
        <v>346</v>
      </c>
      <c r="M249" s="109"/>
      <c r="N249" s="109"/>
      <c r="O249" s="113" t="s">
        <v>2816</v>
      </c>
    </row>
    <row r="250" spans="1:15" ht="70.05" customHeight="1" outlineLevel="1">
      <c r="A250" s="109" t="s">
        <v>4034</v>
      </c>
      <c r="B250" s="110" t="s">
        <v>4015</v>
      </c>
      <c r="C250" s="110" t="s">
        <v>4031</v>
      </c>
      <c r="D250" s="111" t="s">
        <v>4035</v>
      </c>
      <c r="E250" s="111" t="s">
        <v>4036</v>
      </c>
      <c r="F250" s="109" t="s">
        <v>346</v>
      </c>
      <c r="G250" s="109"/>
      <c r="H250" s="109"/>
      <c r="I250" s="109" t="s">
        <v>346</v>
      </c>
      <c r="J250" s="109"/>
      <c r="K250" s="109"/>
      <c r="L250" s="109" t="s">
        <v>346</v>
      </c>
      <c r="M250" s="109"/>
      <c r="N250" s="109"/>
      <c r="O250" s="113" t="s">
        <v>2816</v>
      </c>
    </row>
    <row r="251" spans="1:15" ht="70.05" customHeight="1" outlineLevel="1">
      <c r="A251" s="109" t="s">
        <v>4037</v>
      </c>
      <c r="B251" s="110" t="s">
        <v>4038</v>
      </c>
      <c r="C251" s="110" t="s">
        <v>4039</v>
      </c>
      <c r="D251" s="111" t="s">
        <v>4040</v>
      </c>
      <c r="E251" s="111" t="s">
        <v>4018</v>
      </c>
      <c r="F251" s="109" t="s">
        <v>346</v>
      </c>
      <c r="G251" s="109"/>
      <c r="H251" s="109"/>
      <c r="I251" s="109" t="s">
        <v>346</v>
      </c>
      <c r="J251" s="109"/>
      <c r="K251" s="109"/>
      <c r="L251" s="109" t="s">
        <v>346</v>
      </c>
      <c r="M251" s="109"/>
      <c r="N251" s="109"/>
      <c r="O251" s="113" t="s">
        <v>2816</v>
      </c>
    </row>
    <row r="252" spans="1:15" ht="70.05" customHeight="1" outlineLevel="1">
      <c r="A252" s="109" t="s">
        <v>4041</v>
      </c>
      <c r="B252" s="110" t="s">
        <v>4042</v>
      </c>
      <c r="C252" s="110" t="s">
        <v>4043</v>
      </c>
      <c r="D252" s="111" t="s">
        <v>4044</v>
      </c>
      <c r="E252" s="111" t="s">
        <v>4018</v>
      </c>
      <c r="F252" s="109" t="s">
        <v>346</v>
      </c>
      <c r="G252" s="109"/>
      <c r="H252" s="109"/>
      <c r="I252" s="109" t="s">
        <v>346</v>
      </c>
      <c r="J252" s="109"/>
      <c r="K252" s="109"/>
      <c r="L252" s="109" t="s">
        <v>346</v>
      </c>
      <c r="M252" s="109"/>
      <c r="N252" s="109"/>
      <c r="O252" s="113" t="s">
        <v>2816</v>
      </c>
    </row>
    <row r="253" spans="1:15" ht="70.05" customHeight="1" outlineLevel="1">
      <c r="A253" s="109" t="s">
        <v>4045</v>
      </c>
      <c r="B253" s="110" t="s">
        <v>4046</v>
      </c>
      <c r="C253" s="110" t="s">
        <v>4047</v>
      </c>
      <c r="D253" s="111" t="s">
        <v>4048</v>
      </c>
      <c r="E253" s="111" t="s">
        <v>4018</v>
      </c>
      <c r="F253" s="109" t="s">
        <v>346</v>
      </c>
      <c r="G253" s="109"/>
      <c r="H253" s="109"/>
      <c r="I253" s="109" t="s">
        <v>346</v>
      </c>
      <c r="J253" s="109"/>
      <c r="K253" s="109"/>
      <c r="L253" s="109" t="s">
        <v>346</v>
      </c>
      <c r="M253" s="109"/>
      <c r="N253" s="109"/>
      <c r="O253" s="113" t="s">
        <v>2816</v>
      </c>
    </row>
    <row r="254" spans="1:15" ht="70.05" customHeight="1" outlineLevel="1">
      <c r="A254" s="109" t="s">
        <v>4049</v>
      </c>
      <c r="B254" s="110" t="s">
        <v>4050</v>
      </c>
      <c r="C254" s="110" t="s">
        <v>4051</v>
      </c>
      <c r="D254" s="111" t="s">
        <v>4052</v>
      </c>
      <c r="E254" s="111" t="s">
        <v>4018</v>
      </c>
      <c r="F254" s="109" t="s">
        <v>346</v>
      </c>
      <c r="G254" s="109"/>
      <c r="H254" s="109"/>
      <c r="I254" s="109" t="s">
        <v>346</v>
      </c>
      <c r="J254" s="109"/>
      <c r="K254" s="109"/>
      <c r="L254" s="109" t="s">
        <v>346</v>
      </c>
      <c r="M254" s="109"/>
      <c r="N254" s="109"/>
      <c r="O254" s="113" t="s">
        <v>2816</v>
      </c>
    </row>
    <row r="255" spans="1:15" ht="70.05" customHeight="1" outlineLevel="1">
      <c r="A255" s="109" t="s">
        <v>4053</v>
      </c>
      <c r="B255" s="110" t="s">
        <v>4054</v>
      </c>
      <c r="C255" s="110" t="s">
        <v>4031</v>
      </c>
      <c r="D255" s="111" t="s">
        <v>4055</v>
      </c>
      <c r="E255" s="111" t="s">
        <v>4056</v>
      </c>
      <c r="F255" s="109" t="s">
        <v>346</v>
      </c>
      <c r="G255" s="109"/>
      <c r="H255" s="109"/>
      <c r="I255" s="109" t="s">
        <v>346</v>
      </c>
      <c r="J255" s="109"/>
      <c r="K255" s="109"/>
      <c r="L255" s="109" t="s">
        <v>346</v>
      </c>
      <c r="M255" s="109"/>
      <c r="N255" s="109"/>
      <c r="O255" s="113" t="s">
        <v>2816</v>
      </c>
    </row>
    <row r="256" spans="1:15" ht="70.05" customHeight="1" outlineLevel="1">
      <c r="A256" s="109" t="s">
        <v>4057</v>
      </c>
      <c r="B256" s="110" t="s">
        <v>4058</v>
      </c>
      <c r="C256" s="110" t="s">
        <v>4059</v>
      </c>
      <c r="D256" s="111" t="s">
        <v>3942</v>
      </c>
      <c r="E256" s="111" t="s">
        <v>4060</v>
      </c>
      <c r="F256" s="109" t="s">
        <v>346</v>
      </c>
      <c r="G256" s="109"/>
      <c r="H256" s="109"/>
      <c r="I256" s="109" t="s">
        <v>346</v>
      </c>
      <c r="J256" s="109"/>
      <c r="K256" s="109"/>
      <c r="L256" s="109" t="s">
        <v>346</v>
      </c>
      <c r="M256" s="109"/>
      <c r="N256" s="109"/>
      <c r="O256" s="113" t="s">
        <v>2816</v>
      </c>
    </row>
    <row r="257" spans="1:15" ht="70.05" customHeight="1" outlineLevel="1">
      <c r="A257" s="109" t="s">
        <v>4061</v>
      </c>
      <c r="B257" s="110" t="s">
        <v>4062</v>
      </c>
      <c r="C257" s="110" t="s">
        <v>4063</v>
      </c>
      <c r="D257" s="111" t="s">
        <v>3942</v>
      </c>
      <c r="E257" s="111" t="s">
        <v>4064</v>
      </c>
      <c r="F257" s="109" t="s">
        <v>346</v>
      </c>
      <c r="G257" s="109"/>
      <c r="H257" s="109"/>
      <c r="I257" s="109" t="s">
        <v>346</v>
      </c>
      <c r="J257" s="109"/>
      <c r="K257" s="109"/>
      <c r="L257" s="109" t="s">
        <v>346</v>
      </c>
      <c r="M257" s="109"/>
      <c r="N257" s="109"/>
      <c r="O257" s="113" t="s">
        <v>2816</v>
      </c>
    </row>
    <row r="258" spans="1:15" ht="70.05" customHeight="1" outlineLevel="1">
      <c r="A258" s="109" t="s">
        <v>4065</v>
      </c>
      <c r="B258" s="110" t="s">
        <v>4066</v>
      </c>
      <c r="C258" s="110" t="s">
        <v>4067</v>
      </c>
      <c r="D258" s="111" t="s">
        <v>4068</v>
      </c>
      <c r="E258" s="111" t="s">
        <v>4018</v>
      </c>
      <c r="F258" s="109" t="s">
        <v>346</v>
      </c>
      <c r="G258" s="109"/>
      <c r="H258" s="109"/>
      <c r="I258" s="109" t="s">
        <v>346</v>
      </c>
      <c r="J258" s="109"/>
      <c r="K258" s="109"/>
      <c r="L258" s="109" t="s">
        <v>346</v>
      </c>
      <c r="M258" s="109"/>
      <c r="N258" s="109"/>
      <c r="O258" s="113" t="s">
        <v>2816</v>
      </c>
    </row>
    <row r="259" spans="1:15" ht="70.05" customHeight="1" outlineLevel="1">
      <c r="A259" s="109" t="s">
        <v>4069</v>
      </c>
      <c r="B259" s="110" t="s">
        <v>4070</v>
      </c>
      <c r="C259" s="110" t="s">
        <v>4071</v>
      </c>
      <c r="D259" s="111" t="s">
        <v>4072</v>
      </c>
      <c r="E259" s="111" t="s">
        <v>4073</v>
      </c>
      <c r="F259" s="109" t="s">
        <v>346</v>
      </c>
      <c r="G259" s="109"/>
      <c r="H259" s="109"/>
      <c r="I259" s="109" t="s">
        <v>346</v>
      </c>
      <c r="J259" s="109"/>
      <c r="K259" s="109"/>
      <c r="L259" s="109" t="s">
        <v>346</v>
      </c>
      <c r="M259" s="109"/>
      <c r="N259" s="109"/>
      <c r="O259" s="113" t="s">
        <v>2816</v>
      </c>
    </row>
    <row r="260" spans="1:15" ht="70.05" customHeight="1" outlineLevel="1">
      <c r="A260" s="109" t="s">
        <v>4074</v>
      </c>
      <c r="B260" s="110" t="s">
        <v>4075</v>
      </c>
      <c r="C260" s="110" t="s">
        <v>4076</v>
      </c>
      <c r="D260" s="111" t="s">
        <v>4077</v>
      </c>
      <c r="E260" s="111" t="s">
        <v>4018</v>
      </c>
      <c r="F260" s="109" t="s">
        <v>346</v>
      </c>
      <c r="G260" s="109"/>
      <c r="H260" s="109"/>
      <c r="I260" s="109" t="s">
        <v>346</v>
      </c>
      <c r="J260" s="109"/>
      <c r="K260" s="109"/>
      <c r="L260" s="109" t="s">
        <v>346</v>
      </c>
      <c r="M260" s="109"/>
      <c r="N260" s="109"/>
      <c r="O260" s="113" t="s">
        <v>2816</v>
      </c>
    </row>
    <row r="261" spans="1:15" ht="70.05" customHeight="1" outlineLevel="1">
      <c r="A261" s="109" t="s">
        <v>4078</v>
      </c>
      <c r="B261" s="110" t="s">
        <v>4079</v>
      </c>
      <c r="C261" s="110" t="s">
        <v>4080</v>
      </c>
      <c r="D261" s="111" t="s">
        <v>3942</v>
      </c>
      <c r="E261" s="111" t="s">
        <v>4081</v>
      </c>
      <c r="F261" s="109" t="s">
        <v>346</v>
      </c>
      <c r="G261" s="109"/>
      <c r="H261" s="109"/>
      <c r="I261" s="109" t="s">
        <v>346</v>
      </c>
      <c r="J261" s="109"/>
      <c r="K261" s="109"/>
      <c r="L261" s="109" t="s">
        <v>346</v>
      </c>
      <c r="M261" s="109"/>
      <c r="N261" s="109"/>
      <c r="O261" s="113" t="s">
        <v>2816</v>
      </c>
    </row>
    <row r="262" spans="1:15" ht="15.75" customHeight="1">
      <c r="A262" s="60" t="s">
        <v>177</v>
      </c>
      <c r="B262" s="60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2"/>
    </row>
    <row r="263" spans="1:15" ht="70.05" customHeight="1" outlineLevel="1">
      <c r="A263" s="109" t="s">
        <v>4082</v>
      </c>
      <c r="B263" s="110" t="s">
        <v>4083</v>
      </c>
      <c r="C263" s="110" t="s">
        <v>4084</v>
      </c>
      <c r="D263" s="111" t="s">
        <v>4085</v>
      </c>
      <c r="E263" s="111" t="s">
        <v>4086</v>
      </c>
      <c r="F263" s="109" t="s">
        <v>346</v>
      </c>
      <c r="G263" s="109"/>
      <c r="H263" s="109"/>
      <c r="I263" s="109" t="s">
        <v>346</v>
      </c>
      <c r="J263" s="109"/>
      <c r="K263" s="109"/>
      <c r="L263" s="109" t="s">
        <v>346</v>
      </c>
      <c r="M263" s="109"/>
      <c r="N263" s="109"/>
      <c r="O263" s="113" t="s">
        <v>2816</v>
      </c>
    </row>
    <row r="264" spans="1:15" ht="70.05" customHeight="1" outlineLevel="1">
      <c r="A264" s="109" t="s">
        <v>4087</v>
      </c>
      <c r="B264" s="110" t="s">
        <v>4083</v>
      </c>
      <c r="C264" s="110" t="s">
        <v>4084</v>
      </c>
      <c r="D264" s="111" t="s">
        <v>4088</v>
      </c>
      <c r="E264" s="111" t="s">
        <v>4089</v>
      </c>
      <c r="F264" s="109" t="s">
        <v>346</v>
      </c>
      <c r="G264" s="109"/>
      <c r="H264" s="109"/>
      <c r="I264" s="109" t="s">
        <v>346</v>
      </c>
      <c r="J264" s="109"/>
      <c r="K264" s="109"/>
      <c r="L264" s="109" t="s">
        <v>346</v>
      </c>
      <c r="M264" s="109"/>
      <c r="N264" s="109"/>
      <c r="O264" s="113" t="s">
        <v>2816</v>
      </c>
    </row>
    <row r="265" spans="1:15" ht="70.05" customHeight="1" outlineLevel="1">
      <c r="A265" s="109" t="s">
        <v>4090</v>
      </c>
      <c r="B265" s="110" t="s">
        <v>4083</v>
      </c>
      <c r="C265" s="110" t="s">
        <v>4084</v>
      </c>
      <c r="D265" s="111" t="s">
        <v>4091</v>
      </c>
      <c r="E265" s="111" t="s">
        <v>4092</v>
      </c>
      <c r="F265" s="109" t="s">
        <v>346</v>
      </c>
      <c r="G265" s="109"/>
      <c r="H265" s="109"/>
      <c r="I265" s="109" t="s">
        <v>346</v>
      </c>
      <c r="J265" s="109"/>
      <c r="K265" s="109"/>
      <c r="L265" s="109" t="s">
        <v>346</v>
      </c>
      <c r="M265" s="109"/>
      <c r="N265" s="109"/>
      <c r="O265" s="113" t="s">
        <v>2816</v>
      </c>
    </row>
    <row r="266" spans="1:15" ht="70.05" customHeight="1" outlineLevel="1">
      <c r="A266" s="109" t="s">
        <v>4093</v>
      </c>
      <c r="B266" s="110" t="s">
        <v>4083</v>
      </c>
      <c r="C266" s="110" t="s">
        <v>4084</v>
      </c>
      <c r="D266" s="111" t="s">
        <v>4094</v>
      </c>
      <c r="E266" s="111" t="s">
        <v>4095</v>
      </c>
      <c r="F266" s="109" t="s">
        <v>346</v>
      </c>
      <c r="G266" s="109"/>
      <c r="H266" s="109"/>
      <c r="I266" s="109" t="s">
        <v>346</v>
      </c>
      <c r="J266" s="109"/>
      <c r="K266" s="109"/>
      <c r="L266" s="109" t="s">
        <v>346</v>
      </c>
      <c r="M266" s="109"/>
      <c r="N266" s="109"/>
      <c r="O266" s="113" t="s">
        <v>2816</v>
      </c>
    </row>
    <row r="267" spans="1:15" ht="70.05" customHeight="1" outlineLevel="1">
      <c r="A267" s="109" t="s">
        <v>4096</v>
      </c>
      <c r="B267" s="110" t="s">
        <v>4083</v>
      </c>
      <c r="C267" s="110" t="s">
        <v>4084</v>
      </c>
      <c r="D267" s="111" t="s">
        <v>4097</v>
      </c>
      <c r="E267" s="111" t="s">
        <v>4086</v>
      </c>
      <c r="F267" s="109" t="s">
        <v>346</v>
      </c>
      <c r="G267" s="109"/>
      <c r="H267" s="109"/>
      <c r="I267" s="109" t="s">
        <v>346</v>
      </c>
      <c r="J267" s="109"/>
      <c r="K267" s="109"/>
      <c r="L267" s="109" t="s">
        <v>346</v>
      </c>
      <c r="M267" s="109"/>
      <c r="N267" s="109"/>
      <c r="O267" s="113" t="s">
        <v>2816</v>
      </c>
    </row>
    <row r="268" spans="1:15" ht="70.05" customHeight="1" outlineLevel="1">
      <c r="A268" s="109" t="s">
        <v>4098</v>
      </c>
      <c r="B268" s="110" t="s">
        <v>4099</v>
      </c>
      <c r="C268" s="110" t="s">
        <v>4100</v>
      </c>
      <c r="D268" s="111" t="s">
        <v>4101</v>
      </c>
      <c r="E268" s="111" t="s">
        <v>4102</v>
      </c>
      <c r="F268" s="109" t="s">
        <v>346</v>
      </c>
      <c r="G268" s="109"/>
      <c r="H268" s="109"/>
      <c r="I268" s="109" t="s">
        <v>346</v>
      </c>
      <c r="J268" s="109"/>
      <c r="K268" s="109"/>
      <c r="L268" s="109" t="s">
        <v>346</v>
      </c>
      <c r="M268" s="109"/>
      <c r="N268" s="109"/>
      <c r="O268" s="113" t="s">
        <v>2816</v>
      </c>
    </row>
    <row r="269" spans="1:15" ht="70.05" customHeight="1" outlineLevel="1">
      <c r="A269" s="109" t="s">
        <v>4103</v>
      </c>
      <c r="B269" s="110" t="s">
        <v>4104</v>
      </c>
      <c r="C269" s="110" t="s">
        <v>4105</v>
      </c>
      <c r="D269" s="111" t="s">
        <v>4106</v>
      </c>
      <c r="E269" s="111" t="s">
        <v>4086</v>
      </c>
      <c r="F269" s="109" t="s">
        <v>346</v>
      </c>
      <c r="G269" s="109"/>
      <c r="H269" s="109"/>
      <c r="I269" s="109" t="s">
        <v>346</v>
      </c>
      <c r="J269" s="109"/>
      <c r="K269" s="109"/>
      <c r="L269" s="109" t="s">
        <v>346</v>
      </c>
      <c r="M269" s="109"/>
      <c r="N269" s="109"/>
      <c r="O269" s="113" t="s">
        <v>2816</v>
      </c>
    </row>
    <row r="270" spans="1:15" ht="70.05" customHeight="1" outlineLevel="1">
      <c r="A270" s="109" t="s">
        <v>4107</v>
      </c>
      <c r="B270" s="110" t="s">
        <v>4108</v>
      </c>
      <c r="C270" s="110" t="s">
        <v>4084</v>
      </c>
      <c r="D270" s="111" t="s">
        <v>4109</v>
      </c>
      <c r="E270" s="111" t="s">
        <v>4110</v>
      </c>
      <c r="F270" s="109" t="s">
        <v>346</v>
      </c>
      <c r="G270" s="109"/>
      <c r="H270" s="109"/>
      <c r="I270" s="109" t="s">
        <v>346</v>
      </c>
      <c r="J270" s="109"/>
      <c r="K270" s="109"/>
      <c r="L270" s="109" t="s">
        <v>346</v>
      </c>
      <c r="M270" s="109"/>
      <c r="N270" s="109"/>
      <c r="O270" s="113" t="s">
        <v>2816</v>
      </c>
    </row>
    <row r="271" spans="1:15" ht="70.05" customHeight="1" outlineLevel="1">
      <c r="A271" s="109" t="s">
        <v>4111</v>
      </c>
      <c r="B271" s="110" t="s">
        <v>4108</v>
      </c>
      <c r="C271" s="110" t="s">
        <v>4084</v>
      </c>
      <c r="D271" s="111" t="s">
        <v>4112</v>
      </c>
      <c r="E271" s="111" t="s">
        <v>4113</v>
      </c>
      <c r="F271" s="109" t="s">
        <v>346</v>
      </c>
      <c r="G271" s="109"/>
      <c r="H271" s="109"/>
      <c r="I271" s="109" t="s">
        <v>346</v>
      </c>
      <c r="J271" s="109"/>
      <c r="K271" s="109"/>
      <c r="L271" s="109" t="s">
        <v>346</v>
      </c>
      <c r="M271" s="109"/>
      <c r="N271" s="109"/>
      <c r="O271" s="113" t="s">
        <v>2816</v>
      </c>
    </row>
    <row r="272" spans="1:15" ht="70.05" customHeight="1" outlineLevel="1">
      <c r="A272" s="109" t="s">
        <v>4114</v>
      </c>
      <c r="B272" s="110" t="s">
        <v>4108</v>
      </c>
      <c r="C272" s="110" t="s">
        <v>4084</v>
      </c>
      <c r="D272" s="111" t="s">
        <v>4115</v>
      </c>
      <c r="E272" s="111" t="s">
        <v>4086</v>
      </c>
      <c r="F272" s="109" t="s">
        <v>346</v>
      </c>
      <c r="G272" s="109"/>
      <c r="H272" s="109"/>
      <c r="I272" s="109" t="s">
        <v>346</v>
      </c>
      <c r="J272" s="109"/>
      <c r="K272" s="109"/>
      <c r="L272" s="109" t="s">
        <v>346</v>
      </c>
      <c r="M272" s="109"/>
      <c r="N272" s="109"/>
      <c r="O272" s="113" t="s">
        <v>2816</v>
      </c>
    </row>
    <row r="273" spans="1:15" ht="70.05" customHeight="1" outlineLevel="1">
      <c r="A273" s="109" t="s">
        <v>4116</v>
      </c>
      <c r="B273" s="110" t="s">
        <v>4117</v>
      </c>
      <c r="C273" s="110" t="s">
        <v>4084</v>
      </c>
      <c r="D273" s="111" t="s">
        <v>4055</v>
      </c>
      <c r="E273" s="111" t="s">
        <v>4118</v>
      </c>
      <c r="F273" s="109" t="s">
        <v>346</v>
      </c>
      <c r="G273" s="109"/>
      <c r="H273" s="109"/>
      <c r="I273" s="109" t="s">
        <v>346</v>
      </c>
      <c r="J273" s="109"/>
      <c r="K273" s="109"/>
      <c r="L273" s="109" t="s">
        <v>346</v>
      </c>
      <c r="M273" s="109"/>
      <c r="N273" s="109"/>
      <c r="O273" s="113" t="s">
        <v>2816</v>
      </c>
    </row>
    <row r="274" spans="1:15" ht="70.05" customHeight="1" outlineLevel="1">
      <c r="A274" s="109" t="s">
        <v>4119</v>
      </c>
      <c r="B274" s="110" t="s">
        <v>4120</v>
      </c>
      <c r="C274" s="110" t="s">
        <v>4121</v>
      </c>
      <c r="D274" s="111" t="s">
        <v>3942</v>
      </c>
      <c r="E274" s="111" t="s">
        <v>4122</v>
      </c>
      <c r="F274" s="109" t="s">
        <v>346</v>
      </c>
      <c r="G274" s="109"/>
      <c r="H274" s="109"/>
      <c r="I274" s="109" t="s">
        <v>346</v>
      </c>
      <c r="J274" s="109"/>
      <c r="K274" s="109"/>
      <c r="L274" s="109" t="s">
        <v>346</v>
      </c>
      <c r="M274" s="109"/>
      <c r="N274" s="109"/>
      <c r="O274" s="113" t="s">
        <v>2816</v>
      </c>
    </row>
    <row r="275" spans="1:15" ht="70.05" customHeight="1" outlineLevel="1">
      <c r="A275" s="109" t="s">
        <v>4123</v>
      </c>
      <c r="B275" s="110" t="s">
        <v>4124</v>
      </c>
      <c r="C275" s="110" t="s">
        <v>4125</v>
      </c>
      <c r="D275" s="111" t="s">
        <v>3942</v>
      </c>
      <c r="E275" s="111" t="s">
        <v>4126</v>
      </c>
      <c r="F275" s="109" t="s">
        <v>346</v>
      </c>
      <c r="G275" s="109"/>
      <c r="H275" s="109"/>
      <c r="I275" s="109" t="s">
        <v>346</v>
      </c>
      <c r="J275" s="109"/>
      <c r="K275" s="109"/>
      <c r="L275" s="109" t="s">
        <v>346</v>
      </c>
      <c r="M275" s="109"/>
      <c r="N275" s="109"/>
      <c r="O275" s="113" t="s">
        <v>2816</v>
      </c>
    </row>
    <row r="276" spans="1:15" ht="70.05" customHeight="1" outlineLevel="1">
      <c r="A276" s="109" t="s">
        <v>4127</v>
      </c>
      <c r="B276" s="110" t="s">
        <v>4128</v>
      </c>
      <c r="C276" s="110" t="s">
        <v>4129</v>
      </c>
      <c r="D276" s="111" t="s">
        <v>4072</v>
      </c>
      <c r="E276" s="111" t="s">
        <v>1838</v>
      </c>
      <c r="F276" s="109" t="s">
        <v>346</v>
      </c>
      <c r="G276" s="109"/>
      <c r="H276" s="109"/>
      <c r="I276" s="109" t="s">
        <v>346</v>
      </c>
      <c r="J276" s="109"/>
      <c r="K276" s="109"/>
      <c r="L276" s="109" t="s">
        <v>346</v>
      </c>
      <c r="M276" s="109"/>
      <c r="N276" s="109"/>
      <c r="O276" s="113" t="s">
        <v>2816</v>
      </c>
    </row>
    <row r="277" spans="1:15" ht="70.05" customHeight="1" outlineLevel="1">
      <c r="A277" s="109" t="s">
        <v>4130</v>
      </c>
      <c r="B277" s="110" t="s">
        <v>4117</v>
      </c>
      <c r="C277" s="110" t="s">
        <v>4084</v>
      </c>
      <c r="D277" s="111" t="s">
        <v>4055</v>
      </c>
      <c r="E277" s="111" t="s">
        <v>4131</v>
      </c>
      <c r="F277" s="109" t="s">
        <v>346</v>
      </c>
      <c r="G277" s="109"/>
      <c r="H277" s="109"/>
      <c r="I277" s="109" t="s">
        <v>346</v>
      </c>
      <c r="J277" s="109"/>
      <c r="K277" s="109"/>
      <c r="L277" s="109" t="s">
        <v>346</v>
      </c>
      <c r="M277" s="109"/>
      <c r="N277" s="109"/>
      <c r="O277" s="113" t="s">
        <v>2816</v>
      </c>
    </row>
    <row r="278" spans="1:15" ht="70.05" customHeight="1" outlineLevel="1">
      <c r="A278" s="109" t="s">
        <v>4132</v>
      </c>
      <c r="B278" s="110" t="s">
        <v>4133</v>
      </c>
      <c r="C278" s="110" t="s">
        <v>4134</v>
      </c>
      <c r="D278" s="111" t="s">
        <v>3942</v>
      </c>
      <c r="E278" s="111" t="s">
        <v>4081</v>
      </c>
      <c r="F278" s="109" t="s">
        <v>346</v>
      </c>
      <c r="G278" s="109"/>
      <c r="H278" s="109"/>
      <c r="I278" s="109" t="s">
        <v>346</v>
      </c>
      <c r="J278" s="109"/>
      <c r="K278" s="109"/>
      <c r="L278" s="109" t="s">
        <v>346</v>
      </c>
      <c r="M278" s="109"/>
      <c r="N278" s="109"/>
      <c r="O278" s="113" t="s">
        <v>2816</v>
      </c>
    </row>
    <row r="279" spans="1:15" ht="70.05" customHeight="1" outlineLevel="1">
      <c r="A279" s="109" t="s">
        <v>4135</v>
      </c>
      <c r="B279" s="110" t="s">
        <v>4117</v>
      </c>
      <c r="C279" s="110" t="s">
        <v>4084</v>
      </c>
      <c r="D279" s="111" t="s">
        <v>4136</v>
      </c>
      <c r="E279" s="111" t="s">
        <v>4137</v>
      </c>
      <c r="F279" s="109" t="s">
        <v>346</v>
      </c>
      <c r="G279" s="109"/>
      <c r="H279" s="109"/>
      <c r="I279" s="109" t="s">
        <v>346</v>
      </c>
      <c r="J279" s="109"/>
      <c r="K279" s="109"/>
      <c r="L279" s="109" t="s">
        <v>346</v>
      </c>
      <c r="M279" s="109"/>
      <c r="N279" s="109"/>
      <c r="O279" s="113" t="s">
        <v>2816</v>
      </c>
    </row>
    <row r="280" spans="1:15" ht="15.75" customHeight="1">
      <c r="A280" s="60" t="s">
        <v>180</v>
      </c>
      <c r="B280" s="60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2"/>
    </row>
    <row r="281" spans="1:15" ht="70.05" customHeight="1" outlineLevel="1">
      <c r="A281" s="109" t="s">
        <v>4138</v>
      </c>
      <c r="B281" s="110" t="s">
        <v>4139</v>
      </c>
      <c r="C281" s="110" t="s">
        <v>4140</v>
      </c>
      <c r="D281" s="111" t="s">
        <v>4141</v>
      </c>
      <c r="E281" s="111" t="s">
        <v>4142</v>
      </c>
      <c r="F281" s="109" t="s">
        <v>344</v>
      </c>
      <c r="G281" s="109" t="s">
        <v>4143</v>
      </c>
      <c r="H281" s="109" t="s">
        <v>4</v>
      </c>
      <c r="I281" s="109" t="s">
        <v>346</v>
      </c>
      <c r="J281" s="109"/>
      <c r="K281" s="109"/>
      <c r="L281" s="109" t="s">
        <v>346</v>
      </c>
      <c r="M281" s="109"/>
      <c r="N281" s="109"/>
      <c r="O281" s="113" t="s">
        <v>2816</v>
      </c>
    </row>
    <row r="282" spans="1:15" ht="70.05" customHeight="1" outlineLevel="1">
      <c r="A282" s="109" t="s">
        <v>4144</v>
      </c>
      <c r="B282" s="110" t="s">
        <v>4145</v>
      </c>
      <c r="C282" s="110" t="s">
        <v>4146</v>
      </c>
      <c r="D282" s="111" t="s">
        <v>4147</v>
      </c>
      <c r="E282" s="111" t="s">
        <v>4142</v>
      </c>
      <c r="F282" s="109" t="s">
        <v>344</v>
      </c>
      <c r="G282" s="109" t="s">
        <v>4143</v>
      </c>
      <c r="H282" s="109" t="s">
        <v>4</v>
      </c>
      <c r="I282" s="109" t="s">
        <v>346</v>
      </c>
      <c r="J282" s="109"/>
      <c r="K282" s="109"/>
      <c r="L282" s="109" t="s">
        <v>346</v>
      </c>
      <c r="M282" s="109"/>
      <c r="N282" s="109"/>
      <c r="O282" s="113" t="s">
        <v>2816</v>
      </c>
    </row>
    <row r="283" spans="1:15" ht="70.05" customHeight="1" outlineLevel="1">
      <c r="A283" s="109" t="s">
        <v>4148</v>
      </c>
      <c r="B283" s="110" t="s">
        <v>4149</v>
      </c>
      <c r="C283" s="110" t="s">
        <v>4150</v>
      </c>
      <c r="D283" s="111" t="s">
        <v>4151</v>
      </c>
      <c r="E283" s="111" t="s">
        <v>4142</v>
      </c>
      <c r="F283" s="109" t="s">
        <v>344</v>
      </c>
      <c r="G283" s="109" t="s">
        <v>4143</v>
      </c>
      <c r="H283" s="109" t="s">
        <v>4</v>
      </c>
      <c r="I283" s="109" t="s">
        <v>346</v>
      </c>
      <c r="J283" s="109"/>
      <c r="K283" s="109"/>
      <c r="L283" s="109" t="s">
        <v>346</v>
      </c>
      <c r="M283" s="109"/>
      <c r="N283" s="109"/>
      <c r="O283" s="113" t="s">
        <v>2816</v>
      </c>
    </row>
    <row r="284" spans="1:15" ht="70.05" customHeight="1" outlineLevel="1">
      <c r="A284" s="109" t="s">
        <v>4152</v>
      </c>
      <c r="B284" s="110" t="s">
        <v>4139</v>
      </c>
      <c r="C284" s="110" t="s">
        <v>4153</v>
      </c>
      <c r="D284" s="111" t="s">
        <v>4154</v>
      </c>
      <c r="E284" s="111" t="s">
        <v>4142</v>
      </c>
      <c r="F284" s="109" t="s">
        <v>344</v>
      </c>
      <c r="G284" s="109" t="s">
        <v>4143</v>
      </c>
      <c r="H284" s="109" t="s">
        <v>4</v>
      </c>
      <c r="I284" s="109" t="s">
        <v>346</v>
      </c>
      <c r="J284" s="109"/>
      <c r="K284" s="109"/>
      <c r="L284" s="109" t="s">
        <v>346</v>
      </c>
      <c r="M284" s="109"/>
      <c r="N284" s="109"/>
      <c r="O284" s="113" t="s">
        <v>2816</v>
      </c>
    </row>
    <row r="285" spans="1:15" ht="70.05" customHeight="1" outlineLevel="1">
      <c r="A285" s="109" t="s">
        <v>4155</v>
      </c>
      <c r="B285" s="110" t="s">
        <v>4139</v>
      </c>
      <c r="C285" s="110" t="s">
        <v>4140</v>
      </c>
      <c r="D285" s="111" t="s">
        <v>4156</v>
      </c>
      <c r="E285" s="111" t="s">
        <v>4142</v>
      </c>
      <c r="F285" s="109" t="s">
        <v>344</v>
      </c>
      <c r="G285" s="109" t="s">
        <v>4143</v>
      </c>
      <c r="H285" s="109" t="s">
        <v>4</v>
      </c>
      <c r="I285" s="109" t="s">
        <v>346</v>
      </c>
      <c r="J285" s="109"/>
      <c r="K285" s="109"/>
      <c r="L285" s="109" t="s">
        <v>346</v>
      </c>
      <c r="M285" s="109"/>
      <c r="N285" s="109"/>
      <c r="O285" s="113" t="s">
        <v>2816</v>
      </c>
    </row>
    <row r="286" spans="1:15" ht="70.05" customHeight="1" outlineLevel="1">
      <c r="A286" s="109" t="s">
        <v>4157</v>
      </c>
      <c r="B286" s="110" t="s">
        <v>4139</v>
      </c>
      <c r="C286" s="110" t="s">
        <v>4140</v>
      </c>
      <c r="D286" s="111" t="s">
        <v>4158</v>
      </c>
      <c r="E286" s="111" t="s">
        <v>4142</v>
      </c>
      <c r="F286" s="109" t="s">
        <v>344</v>
      </c>
      <c r="G286" s="109" t="s">
        <v>4143</v>
      </c>
      <c r="H286" s="109" t="s">
        <v>4</v>
      </c>
      <c r="I286" s="109" t="s">
        <v>346</v>
      </c>
      <c r="J286" s="109"/>
      <c r="K286" s="109"/>
      <c r="L286" s="109" t="s">
        <v>346</v>
      </c>
      <c r="M286" s="109"/>
      <c r="N286" s="109"/>
      <c r="O286" s="113" t="s">
        <v>2816</v>
      </c>
    </row>
    <row r="287" spans="1:15" ht="70.05" customHeight="1" outlineLevel="1">
      <c r="A287" s="109" t="s">
        <v>4159</v>
      </c>
      <c r="B287" s="110" t="s">
        <v>4139</v>
      </c>
      <c r="C287" s="110" t="s">
        <v>4140</v>
      </c>
      <c r="D287" s="111" t="s">
        <v>4160</v>
      </c>
      <c r="E287" s="111" t="s">
        <v>4161</v>
      </c>
      <c r="F287" s="109" t="s">
        <v>344</v>
      </c>
      <c r="G287" s="109" t="s">
        <v>4143</v>
      </c>
      <c r="H287" s="109" t="s">
        <v>4</v>
      </c>
      <c r="I287" s="109" t="s">
        <v>346</v>
      </c>
      <c r="J287" s="109"/>
      <c r="K287" s="109"/>
      <c r="L287" s="109" t="s">
        <v>346</v>
      </c>
      <c r="M287" s="109"/>
      <c r="N287" s="109"/>
      <c r="O287" s="113" t="s">
        <v>2816</v>
      </c>
    </row>
    <row r="288" spans="1:15" ht="70.05" customHeight="1" outlineLevel="1">
      <c r="A288" s="109" t="s">
        <v>4162</v>
      </c>
      <c r="B288" s="110" t="s">
        <v>4163</v>
      </c>
      <c r="C288" s="110" t="s">
        <v>4164</v>
      </c>
      <c r="D288" s="111" t="s">
        <v>4165</v>
      </c>
      <c r="E288" s="111" t="s">
        <v>4142</v>
      </c>
      <c r="F288" s="109" t="s">
        <v>344</v>
      </c>
      <c r="G288" s="109" t="s">
        <v>4143</v>
      </c>
      <c r="H288" s="109" t="s">
        <v>4</v>
      </c>
      <c r="I288" s="109" t="s">
        <v>346</v>
      </c>
      <c r="J288" s="109"/>
      <c r="K288" s="109"/>
      <c r="L288" s="109" t="s">
        <v>346</v>
      </c>
      <c r="M288" s="109"/>
      <c r="N288" s="109"/>
      <c r="O288" s="113" t="s">
        <v>2816</v>
      </c>
    </row>
    <row r="289" spans="1:15" ht="70.05" customHeight="1" outlineLevel="1">
      <c r="A289" s="109" t="s">
        <v>4166</v>
      </c>
      <c r="B289" s="110" t="s">
        <v>4163</v>
      </c>
      <c r="C289" s="110" t="s">
        <v>4167</v>
      </c>
      <c r="D289" s="111" t="s">
        <v>4168</v>
      </c>
      <c r="E289" s="111" t="s">
        <v>4142</v>
      </c>
      <c r="F289" s="109" t="s">
        <v>344</v>
      </c>
      <c r="G289" s="109" t="s">
        <v>4143</v>
      </c>
      <c r="H289" s="109" t="s">
        <v>4</v>
      </c>
      <c r="I289" s="109" t="s">
        <v>346</v>
      </c>
      <c r="J289" s="109"/>
      <c r="K289" s="109"/>
      <c r="L289" s="109" t="s">
        <v>346</v>
      </c>
      <c r="M289" s="109"/>
      <c r="N289" s="109"/>
      <c r="O289" s="113" t="s">
        <v>2816</v>
      </c>
    </row>
    <row r="290" spans="1:15" ht="70.05" customHeight="1" outlineLevel="1">
      <c r="A290" s="109" t="s">
        <v>4169</v>
      </c>
      <c r="B290" s="110" t="s">
        <v>4163</v>
      </c>
      <c r="C290" s="110" t="s">
        <v>4170</v>
      </c>
      <c r="D290" s="111" t="s">
        <v>4171</v>
      </c>
      <c r="E290" s="111" t="s">
        <v>4142</v>
      </c>
      <c r="F290" s="109" t="s">
        <v>344</v>
      </c>
      <c r="G290" s="109" t="s">
        <v>4143</v>
      </c>
      <c r="H290" s="109" t="s">
        <v>4</v>
      </c>
      <c r="I290" s="109" t="s">
        <v>346</v>
      </c>
      <c r="J290" s="109"/>
      <c r="K290" s="109"/>
      <c r="L290" s="109" t="s">
        <v>346</v>
      </c>
      <c r="M290" s="109"/>
      <c r="N290" s="109"/>
      <c r="O290" s="113" t="s">
        <v>2816</v>
      </c>
    </row>
    <row r="291" spans="1:15" ht="70.05" customHeight="1" outlineLevel="1">
      <c r="A291" s="109" t="s">
        <v>4172</v>
      </c>
      <c r="B291" s="110" t="s">
        <v>4163</v>
      </c>
      <c r="C291" s="110" t="s">
        <v>4173</v>
      </c>
      <c r="D291" s="111" t="s">
        <v>4174</v>
      </c>
      <c r="E291" s="111" t="s">
        <v>4142</v>
      </c>
      <c r="F291" s="109" t="s">
        <v>344</v>
      </c>
      <c r="G291" s="109" t="s">
        <v>4143</v>
      </c>
      <c r="H291" s="109" t="s">
        <v>4</v>
      </c>
      <c r="I291" s="109" t="s">
        <v>346</v>
      </c>
      <c r="J291" s="109"/>
      <c r="K291" s="109"/>
      <c r="L291" s="109" t="s">
        <v>346</v>
      </c>
      <c r="M291" s="109"/>
      <c r="N291" s="109"/>
      <c r="O291" s="113" t="s">
        <v>2816</v>
      </c>
    </row>
    <row r="292" spans="1:15" ht="70.05" customHeight="1" outlineLevel="1">
      <c r="A292" s="109" t="s">
        <v>4175</v>
      </c>
      <c r="B292" s="110" t="s">
        <v>4176</v>
      </c>
      <c r="C292" s="110" t="s">
        <v>4177</v>
      </c>
      <c r="D292" s="111" t="s">
        <v>4178</v>
      </c>
      <c r="E292" s="111" t="s">
        <v>4179</v>
      </c>
      <c r="F292" s="109" t="s">
        <v>344</v>
      </c>
      <c r="G292" s="109" t="s">
        <v>4143</v>
      </c>
      <c r="H292" s="109" t="s">
        <v>4</v>
      </c>
      <c r="I292" s="109" t="s">
        <v>346</v>
      </c>
      <c r="J292" s="109"/>
      <c r="K292" s="109"/>
      <c r="L292" s="109" t="s">
        <v>346</v>
      </c>
      <c r="M292" s="109"/>
      <c r="N292" s="109"/>
      <c r="O292" s="113" t="s">
        <v>2816</v>
      </c>
    </row>
    <row r="293" spans="1:15" ht="70.05" customHeight="1" outlineLevel="1">
      <c r="A293" s="109" t="s">
        <v>4180</v>
      </c>
      <c r="B293" s="110" t="s">
        <v>4181</v>
      </c>
      <c r="C293" s="110" t="s">
        <v>4182</v>
      </c>
      <c r="D293" s="111" t="s">
        <v>4183</v>
      </c>
      <c r="E293" s="111" t="s">
        <v>4184</v>
      </c>
      <c r="F293" s="109" t="s">
        <v>344</v>
      </c>
      <c r="G293" s="109" t="s">
        <v>4143</v>
      </c>
      <c r="H293" s="109" t="s">
        <v>4</v>
      </c>
      <c r="I293" s="109" t="s">
        <v>346</v>
      </c>
      <c r="J293" s="109"/>
      <c r="K293" s="109"/>
      <c r="L293" s="109" t="s">
        <v>346</v>
      </c>
      <c r="M293" s="109"/>
      <c r="N293" s="109"/>
      <c r="O293" s="113" t="s">
        <v>2816</v>
      </c>
    </row>
    <row r="294" spans="1:15" ht="70.05" customHeight="1" outlineLevel="1">
      <c r="A294" s="109" t="s">
        <v>4185</v>
      </c>
      <c r="B294" s="110" t="s">
        <v>4186</v>
      </c>
      <c r="C294" s="110" t="s">
        <v>4187</v>
      </c>
      <c r="D294" s="111" t="s">
        <v>3942</v>
      </c>
      <c r="E294" s="111" t="s">
        <v>4188</v>
      </c>
      <c r="F294" s="109" t="s">
        <v>344</v>
      </c>
      <c r="G294" s="109" t="s">
        <v>4143</v>
      </c>
      <c r="H294" s="109" t="s">
        <v>4</v>
      </c>
      <c r="I294" s="109" t="s">
        <v>346</v>
      </c>
      <c r="J294" s="109"/>
      <c r="K294" s="109"/>
      <c r="L294" s="109" t="s">
        <v>346</v>
      </c>
      <c r="M294" s="109"/>
      <c r="N294" s="109"/>
      <c r="O294" s="113" t="s">
        <v>2816</v>
      </c>
    </row>
    <row r="295" spans="1:15" ht="70.05" customHeight="1" outlineLevel="1">
      <c r="A295" s="109" t="s">
        <v>4189</v>
      </c>
      <c r="B295" s="110" t="s">
        <v>4190</v>
      </c>
      <c r="C295" s="110" t="s">
        <v>4191</v>
      </c>
      <c r="D295" s="111" t="s">
        <v>4192</v>
      </c>
      <c r="E295" s="111" t="s">
        <v>4193</v>
      </c>
      <c r="F295" s="109" t="s">
        <v>344</v>
      </c>
      <c r="G295" s="109" t="s">
        <v>4143</v>
      </c>
      <c r="H295" s="109" t="s">
        <v>4</v>
      </c>
      <c r="I295" s="109" t="s">
        <v>346</v>
      </c>
      <c r="J295" s="109"/>
      <c r="K295" s="109"/>
      <c r="L295" s="109" t="s">
        <v>346</v>
      </c>
      <c r="M295" s="109"/>
      <c r="N295" s="109"/>
      <c r="O295" s="113" t="s">
        <v>2816</v>
      </c>
    </row>
    <row r="296" spans="1:15" ht="70.05" customHeight="1" outlineLevel="1">
      <c r="A296" s="109" t="s">
        <v>4194</v>
      </c>
      <c r="B296" s="110" t="s">
        <v>4195</v>
      </c>
      <c r="C296" s="110" t="s">
        <v>4140</v>
      </c>
      <c r="D296" s="111" t="s">
        <v>4055</v>
      </c>
      <c r="E296" s="111" t="s">
        <v>4196</v>
      </c>
      <c r="F296" s="109" t="s">
        <v>344</v>
      </c>
      <c r="G296" s="109" t="s">
        <v>4143</v>
      </c>
      <c r="H296" s="109" t="s">
        <v>4</v>
      </c>
      <c r="I296" s="109" t="s">
        <v>346</v>
      </c>
      <c r="J296" s="109"/>
      <c r="K296" s="109"/>
      <c r="L296" s="109" t="s">
        <v>346</v>
      </c>
      <c r="M296" s="109"/>
      <c r="N296" s="109"/>
      <c r="O296" s="113" t="s">
        <v>2816</v>
      </c>
    </row>
    <row r="297" spans="1:15" ht="70.05" customHeight="1" outlineLevel="1">
      <c r="A297" s="109" t="s">
        <v>4197</v>
      </c>
      <c r="B297" s="110" t="s">
        <v>4198</v>
      </c>
      <c r="C297" s="110" t="s">
        <v>4199</v>
      </c>
      <c r="D297" s="111" t="s">
        <v>4200</v>
      </c>
      <c r="E297" s="111" t="s">
        <v>4142</v>
      </c>
      <c r="F297" s="109" t="s">
        <v>344</v>
      </c>
      <c r="G297" s="109" t="s">
        <v>4143</v>
      </c>
      <c r="H297" s="109" t="s">
        <v>4</v>
      </c>
      <c r="I297" s="109" t="s">
        <v>346</v>
      </c>
      <c r="J297" s="109"/>
      <c r="K297" s="109"/>
      <c r="L297" s="109" t="s">
        <v>346</v>
      </c>
      <c r="M297" s="109"/>
      <c r="N297" s="109"/>
      <c r="O297" s="113" t="s">
        <v>2816</v>
      </c>
    </row>
    <row r="298" spans="1:15" ht="70.05" customHeight="1" outlineLevel="1">
      <c r="A298" s="109" t="s">
        <v>4201</v>
      </c>
      <c r="B298" s="110" t="s">
        <v>4202</v>
      </c>
      <c r="C298" s="110" t="s">
        <v>4203</v>
      </c>
      <c r="D298" s="111" t="s">
        <v>4204</v>
      </c>
      <c r="E298" s="111" t="s">
        <v>4142</v>
      </c>
      <c r="F298" s="109" t="s">
        <v>344</v>
      </c>
      <c r="G298" s="109" t="s">
        <v>4143</v>
      </c>
      <c r="H298" s="109" t="s">
        <v>4</v>
      </c>
      <c r="I298" s="109" t="s">
        <v>346</v>
      </c>
      <c r="J298" s="109"/>
      <c r="K298" s="109"/>
      <c r="L298" s="109" t="s">
        <v>346</v>
      </c>
      <c r="M298" s="109"/>
      <c r="N298" s="109"/>
      <c r="O298" s="113" t="s">
        <v>2816</v>
      </c>
    </row>
    <row r="299" spans="1:15" ht="15.75" customHeight="1">
      <c r="A299" s="60" t="s">
        <v>183</v>
      </c>
      <c r="B299" s="60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2"/>
    </row>
    <row r="300" spans="1:15" ht="70.05" customHeight="1" outlineLevel="1">
      <c r="A300" s="109" t="s">
        <v>4205</v>
      </c>
      <c r="B300" s="110" t="s">
        <v>4206</v>
      </c>
      <c r="C300" s="110" t="s">
        <v>4207</v>
      </c>
      <c r="D300" s="111" t="s">
        <v>4208</v>
      </c>
      <c r="E300" s="111" t="s">
        <v>4209</v>
      </c>
      <c r="F300" s="109" t="s">
        <v>346</v>
      </c>
      <c r="G300" s="109"/>
      <c r="H300" s="109"/>
      <c r="I300" s="109" t="s">
        <v>346</v>
      </c>
      <c r="J300" s="109"/>
      <c r="K300" s="109"/>
      <c r="L300" s="109" t="s">
        <v>346</v>
      </c>
      <c r="M300" s="109"/>
      <c r="N300" s="109"/>
      <c r="O300" s="113" t="s">
        <v>2816</v>
      </c>
    </row>
    <row r="301" spans="1:15" ht="70.05" customHeight="1" outlineLevel="1">
      <c r="A301" s="109" t="s">
        <v>4210</v>
      </c>
      <c r="B301" s="110" t="s">
        <v>4206</v>
      </c>
      <c r="C301" s="110" t="s">
        <v>4207</v>
      </c>
      <c r="D301" s="111" t="s">
        <v>4211</v>
      </c>
      <c r="E301" s="111" t="s">
        <v>4212</v>
      </c>
      <c r="F301" s="109" t="s">
        <v>346</v>
      </c>
      <c r="G301" s="109"/>
      <c r="H301" s="109"/>
      <c r="I301" s="109" t="s">
        <v>346</v>
      </c>
      <c r="J301" s="109"/>
      <c r="K301" s="109"/>
      <c r="L301" s="109" t="s">
        <v>346</v>
      </c>
      <c r="M301" s="109"/>
      <c r="N301" s="109"/>
      <c r="O301" s="113" t="s">
        <v>2816</v>
      </c>
    </row>
    <row r="302" spans="1:15" ht="70.05" customHeight="1" outlineLevel="1">
      <c r="A302" s="109" t="s">
        <v>4213</v>
      </c>
      <c r="B302" s="110" t="s">
        <v>4206</v>
      </c>
      <c r="C302" s="110" t="s">
        <v>4207</v>
      </c>
      <c r="D302" s="111" t="s">
        <v>4211</v>
      </c>
      <c r="E302" s="111" t="s">
        <v>4214</v>
      </c>
      <c r="F302" s="109" t="s">
        <v>346</v>
      </c>
      <c r="G302" s="109"/>
      <c r="H302" s="109"/>
      <c r="I302" s="109" t="s">
        <v>346</v>
      </c>
      <c r="J302" s="109"/>
      <c r="K302" s="109"/>
      <c r="L302" s="109" t="s">
        <v>346</v>
      </c>
      <c r="M302" s="109"/>
      <c r="N302" s="109"/>
      <c r="O302" s="113" t="s">
        <v>2816</v>
      </c>
    </row>
    <row r="303" spans="1:15" ht="70.05" customHeight="1" outlineLevel="1">
      <c r="A303" s="109" t="s">
        <v>4215</v>
      </c>
      <c r="B303" s="110" t="s">
        <v>4216</v>
      </c>
      <c r="C303" s="110" t="s">
        <v>4217</v>
      </c>
      <c r="D303" s="111" t="s">
        <v>4218</v>
      </c>
      <c r="E303" s="111" t="s">
        <v>4209</v>
      </c>
      <c r="F303" s="109" t="s">
        <v>346</v>
      </c>
      <c r="G303" s="109"/>
      <c r="H303" s="109"/>
      <c r="I303" s="109" t="s">
        <v>346</v>
      </c>
      <c r="J303" s="109"/>
      <c r="K303" s="109"/>
      <c r="L303" s="109" t="s">
        <v>346</v>
      </c>
      <c r="M303" s="109"/>
      <c r="N303" s="109"/>
      <c r="O303" s="113" t="s">
        <v>2816</v>
      </c>
    </row>
    <row r="304" spans="1:15" ht="70.05" customHeight="1" outlineLevel="1">
      <c r="A304" s="109" t="s">
        <v>4219</v>
      </c>
      <c r="B304" s="110" t="s">
        <v>4206</v>
      </c>
      <c r="C304" s="110" t="s">
        <v>4207</v>
      </c>
      <c r="D304" s="111" t="s">
        <v>4220</v>
      </c>
      <c r="E304" s="111" t="s">
        <v>4209</v>
      </c>
      <c r="F304" s="109" t="s">
        <v>346</v>
      </c>
      <c r="G304" s="109"/>
      <c r="H304" s="109"/>
      <c r="I304" s="109" t="s">
        <v>346</v>
      </c>
      <c r="J304" s="109"/>
      <c r="K304" s="109"/>
      <c r="L304" s="109" t="s">
        <v>346</v>
      </c>
      <c r="M304" s="109"/>
      <c r="N304" s="109"/>
      <c r="O304" s="113" t="s">
        <v>2816</v>
      </c>
    </row>
    <row r="305" spans="1:15" ht="70.05" customHeight="1" outlineLevel="1">
      <c r="A305" s="109" t="s">
        <v>4221</v>
      </c>
      <c r="B305" s="110" t="s">
        <v>4206</v>
      </c>
      <c r="C305" s="110" t="s">
        <v>4207</v>
      </c>
      <c r="D305" s="111" t="s">
        <v>4222</v>
      </c>
      <c r="E305" s="111" t="s">
        <v>4209</v>
      </c>
      <c r="F305" s="109" t="s">
        <v>346</v>
      </c>
      <c r="G305" s="109"/>
      <c r="H305" s="109"/>
      <c r="I305" s="109" t="s">
        <v>346</v>
      </c>
      <c r="J305" s="109"/>
      <c r="K305" s="109"/>
      <c r="L305" s="109" t="s">
        <v>346</v>
      </c>
      <c r="M305" s="109"/>
      <c r="N305" s="109"/>
      <c r="O305" s="113" t="s">
        <v>2816</v>
      </c>
    </row>
    <row r="306" spans="1:15" ht="70.05" customHeight="1" outlineLevel="1">
      <c r="A306" s="109" t="s">
        <v>4223</v>
      </c>
      <c r="B306" s="110" t="s">
        <v>4224</v>
      </c>
      <c r="C306" s="110" t="s">
        <v>4225</v>
      </c>
      <c r="D306" s="111" t="s">
        <v>4211</v>
      </c>
      <c r="E306" s="111" t="s">
        <v>4226</v>
      </c>
      <c r="F306" s="109" t="s">
        <v>346</v>
      </c>
      <c r="G306" s="109"/>
      <c r="H306" s="109"/>
      <c r="I306" s="109" t="s">
        <v>346</v>
      </c>
      <c r="J306" s="109"/>
      <c r="K306" s="109"/>
      <c r="L306" s="109" t="s">
        <v>346</v>
      </c>
      <c r="M306" s="109"/>
      <c r="N306" s="109"/>
      <c r="O306" s="113" t="s">
        <v>2816</v>
      </c>
    </row>
    <row r="307" spans="1:15" ht="70.05" customHeight="1" outlineLevel="1">
      <c r="A307" s="109" t="s">
        <v>4227</v>
      </c>
      <c r="B307" s="110" t="s">
        <v>4206</v>
      </c>
      <c r="C307" s="110" t="s">
        <v>4207</v>
      </c>
      <c r="D307" s="111" t="s">
        <v>4228</v>
      </c>
      <c r="E307" s="111" t="s">
        <v>4209</v>
      </c>
      <c r="F307" s="109" t="s">
        <v>346</v>
      </c>
      <c r="G307" s="109"/>
      <c r="H307" s="109"/>
      <c r="I307" s="109" t="s">
        <v>346</v>
      </c>
      <c r="J307" s="109"/>
      <c r="K307" s="109"/>
      <c r="L307" s="109" t="s">
        <v>346</v>
      </c>
      <c r="M307" s="109"/>
      <c r="N307" s="109"/>
      <c r="O307" s="113" t="s">
        <v>2816</v>
      </c>
    </row>
    <row r="308" spans="1:15" ht="70.05" customHeight="1" outlineLevel="1">
      <c r="A308" s="109" t="s">
        <v>4229</v>
      </c>
      <c r="B308" s="110" t="s">
        <v>4230</v>
      </c>
      <c r="C308" s="110" t="s">
        <v>4231</v>
      </c>
      <c r="D308" s="111" t="s">
        <v>4232</v>
      </c>
      <c r="E308" s="111" t="s">
        <v>4233</v>
      </c>
      <c r="F308" s="109" t="s">
        <v>346</v>
      </c>
      <c r="G308" s="109"/>
      <c r="H308" s="109"/>
      <c r="I308" s="109" t="s">
        <v>346</v>
      </c>
      <c r="J308" s="109"/>
      <c r="K308" s="109"/>
      <c r="L308" s="109" t="s">
        <v>346</v>
      </c>
      <c r="M308" s="109"/>
      <c r="N308" s="109"/>
      <c r="O308" s="113" t="s">
        <v>2816</v>
      </c>
    </row>
    <row r="309" spans="1:15" ht="70.05" customHeight="1" outlineLevel="1">
      <c r="A309" s="109" t="s">
        <v>4234</v>
      </c>
      <c r="B309" s="110" t="s">
        <v>4235</v>
      </c>
      <c r="C309" s="110" t="s">
        <v>4236</v>
      </c>
      <c r="D309" s="111" t="s">
        <v>4237</v>
      </c>
      <c r="E309" s="111" t="s">
        <v>4238</v>
      </c>
      <c r="F309" s="109" t="s">
        <v>346</v>
      </c>
      <c r="G309" s="109"/>
      <c r="H309" s="109"/>
      <c r="I309" s="109" t="s">
        <v>346</v>
      </c>
      <c r="J309" s="109"/>
      <c r="K309" s="109"/>
      <c r="L309" s="109" t="s">
        <v>346</v>
      </c>
      <c r="M309" s="109"/>
      <c r="N309" s="109"/>
      <c r="O309" s="113" t="s">
        <v>2816</v>
      </c>
    </row>
    <row r="310" spans="1:15" ht="70.05" customHeight="1" outlineLevel="1">
      <c r="A310" s="109" t="s">
        <v>4239</v>
      </c>
      <c r="B310" s="110" t="s">
        <v>4240</v>
      </c>
      <c r="C310" s="110" t="s">
        <v>4207</v>
      </c>
      <c r="D310" s="111" t="s">
        <v>4211</v>
      </c>
      <c r="E310" s="111" t="s">
        <v>4241</v>
      </c>
      <c r="F310" s="109" t="s">
        <v>346</v>
      </c>
      <c r="G310" s="109"/>
      <c r="H310" s="109"/>
      <c r="I310" s="109" t="s">
        <v>346</v>
      </c>
      <c r="J310" s="109"/>
      <c r="K310" s="109"/>
      <c r="L310" s="109" t="s">
        <v>346</v>
      </c>
      <c r="M310" s="109"/>
      <c r="N310" s="109"/>
      <c r="O310" s="113" t="s">
        <v>2816</v>
      </c>
    </row>
    <row r="311" spans="1:15" ht="70.05" customHeight="1" outlineLevel="1">
      <c r="A311" s="109" t="s">
        <v>4242</v>
      </c>
      <c r="B311" s="110" t="s">
        <v>4243</v>
      </c>
      <c r="C311" s="110" t="s">
        <v>4244</v>
      </c>
      <c r="D311" s="111" t="s">
        <v>3942</v>
      </c>
      <c r="E311" s="111" t="s">
        <v>4245</v>
      </c>
      <c r="F311" s="109" t="s">
        <v>346</v>
      </c>
      <c r="G311" s="109"/>
      <c r="H311" s="109"/>
      <c r="I311" s="109" t="s">
        <v>346</v>
      </c>
      <c r="J311" s="109"/>
      <c r="K311" s="109"/>
      <c r="L311" s="109" t="s">
        <v>346</v>
      </c>
      <c r="M311" s="109"/>
      <c r="N311" s="109"/>
      <c r="O311" s="113" t="s">
        <v>2816</v>
      </c>
    </row>
    <row r="312" spans="1:15" ht="70.05" customHeight="1" outlineLevel="1">
      <c r="A312" s="109" t="s">
        <v>4246</v>
      </c>
      <c r="B312" s="110" t="s">
        <v>4247</v>
      </c>
      <c r="C312" s="110" t="s">
        <v>4248</v>
      </c>
      <c r="D312" s="111" t="s">
        <v>3942</v>
      </c>
      <c r="E312" s="111" t="s">
        <v>4249</v>
      </c>
      <c r="F312" s="109" t="s">
        <v>346</v>
      </c>
      <c r="G312" s="109"/>
      <c r="H312" s="109"/>
      <c r="I312" s="109" t="s">
        <v>346</v>
      </c>
      <c r="J312" s="109"/>
      <c r="K312" s="109"/>
      <c r="L312" s="109" t="s">
        <v>346</v>
      </c>
      <c r="M312" s="109"/>
      <c r="N312" s="109"/>
      <c r="O312" s="113" t="s">
        <v>2816</v>
      </c>
    </row>
    <row r="313" spans="1:15" ht="70.05" customHeight="1" outlineLevel="1">
      <c r="A313" s="109" t="s">
        <v>4250</v>
      </c>
      <c r="B313" s="110" t="s">
        <v>4251</v>
      </c>
      <c r="C313" s="110" t="s">
        <v>4207</v>
      </c>
      <c r="D313" s="111" t="s">
        <v>4055</v>
      </c>
      <c r="E313" s="111" t="s">
        <v>4252</v>
      </c>
      <c r="F313" s="109" t="s">
        <v>346</v>
      </c>
      <c r="G313" s="109"/>
      <c r="H313" s="109"/>
      <c r="I313" s="109" t="s">
        <v>346</v>
      </c>
      <c r="J313" s="109"/>
      <c r="K313" s="109"/>
      <c r="L313" s="109" t="s">
        <v>346</v>
      </c>
      <c r="M313" s="109"/>
      <c r="N313" s="109"/>
      <c r="O313" s="113" t="s">
        <v>2816</v>
      </c>
    </row>
    <row r="314" spans="1:15" ht="70.05" customHeight="1" outlineLevel="1">
      <c r="A314" s="109" t="s">
        <v>4253</v>
      </c>
      <c r="B314" s="110" t="s">
        <v>4251</v>
      </c>
      <c r="C314" s="110" t="s">
        <v>4207</v>
      </c>
      <c r="D314" s="111" t="s">
        <v>4136</v>
      </c>
      <c r="E314" s="111" t="s">
        <v>4254</v>
      </c>
      <c r="F314" s="109" t="s">
        <v>346</v>
      </c>
      <c r="G314" s="109"/>
      <c r="H314" s="109"/>
      <c r="I314" s="109" t="s">
        <v>346</v>
      </c>
      <c r="J314" s="109"/>
      <c r="K314" s="109"/>
      <c r="L314" s="109" t="s">
        <v>346</v>
      </c>
      <c r="M314" s="109"/>
      <c r="N314" s="109"/>
      <c r="O314" s="113" t="s">
        <v>2816</v>
      </c>
    </row>
    <row r="315" spans="1:15" ht="70.05" customHeight="1" outlineLevel="1">
      <c r="A315" s="109" t="s">
        <v>4255</v>
      </c>
      <c r="B315" s="110" t="s">
        <v>4256</v>
      </c>
      <c r="C315" s="110" t="s">
        <v>4257</v>
      </c>
      <c r="D315" s="111" t="s">
        <v>4072</v>
      </c>
      <c r="E315" s="111" t="s">
        <v>4258</v>
      </c>
      <c r="F315" s="109" t="s">
        <v>346</v>
      </c>
      <c r="G315" s="109"/>
      <c r="H315" s="109"/>
      <c r="I315" s="109" t="s">
        <v>346</v>
      </c>
      <c r="J315" s="109"/>
      <c r="K315" s="109"/>
      <c r="L315" s="109" t="s">
        <v>346</v>
      </c>
      <c r="M315" s="109"/>
      <c r="N315" s="109"/>
      <c r="O315" s="113" t="s">
        <v>2816</v>
      </c>
    </row>
    <row r="316" spans="1:15" ht="70.05" customHeight="1" outlineLevel="1">
      <c r="A316" s="109" t="s">
        <v>4259</v>
      </c>
      <c r="B316" s="110" t="s">
        <v>4260</v>
      </c>
      <c r="C316" s="110" t="s">
        <v>4261</v>
      </c>
      <c r="D316" s="111" t="s">
        <v>3942</v>
      </c>
      <c r="E316" s="111" t="s">
        <v>4262</v>
      </c>
      <c r="F316" s="109" t="s">
        <v>346</v>
      </c>
      <c r="G316" s="109"/>
      <c r="H316" s="109"/>
      <c r="I316" s="109" t="s">
        <v>346</v>
      </c>
      <c r="J316" s="109"/>
      <c r="K316" s="109"/>
      <c r="L316" s="109" t="s">
        <v>346</v>
      </c>
      <c r="M316" s="109"/>
      <c r="N316" s="109"/>
      <c r="O316" s="113" t="s">
        <v>2816</v>
      </c>
    </row>
    <row r="317" spans="1:15" ht="15.75" customHeight="1">
      <c r="A317" s="60" t="s">
        <v>186</v>
      </c>
      <c r="B317" s="60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2"/>
    </row>
    <row r="318" spans="1:15" ht="70.05" customHeight="1" outlineLevel="1">
      <c r="A318" s="109" t="s">
        <v>4263</v>
      </c>
      <c r="B318" s="110" t="s">
        <v>4264</v>
      </c>
      <c r="C318" s="110" t="s">
        <v>4265</v>
      </c>
      <c r="D318" s="111" t="s">
        <v>4266</v>
      </c>
      <c r="E318" s="111" t="s">
        <v>4267</v>
      </c>
      <c r="F318" s="109" t="s">
        <v>346</v>
      </c>
      <c r="G318" s="109"/>
      <c r="H318" s="109"/>
      <c r="I318" s="109" t="s">
        <v>346</v>
      </c>
      <c r="J318" s="109"/>
      <c r="K318" s="109"/>
      <c r="L318" s="109" t="s">
        <v>346</v>
      </c>
      <c r="M318" s="109"/>
      <c r="N318" s="109"/>
      <c r="O318" s="113" t="s">
        <v>2816</v>
      </c>
    </row>
    <row r="319" spans="1:15" ht="70.05" customHeight="1" outlineLevel="1">
      <c r="A319" s="109" t="s">
        <v>4268</v>
      </c>
      <c r="B319" s="110" t="s">
        <v>4269</v>
      </c>
      <c r="C319" s="110" t="s">
        <v>4270</v>
      </c>
      <c r="D319" s="111" t="s">
        <v>4271</v>
      </c>
      <c r="E319" s="111" t="s">
        <v>4267</v>
      </c>
      <c r="F319" s="109" t="s">
        <v>346</v>
      </c>
      <c r="G319" s="109"/>
      <c r="H319" s="109"/>
      <c r="I319" s="109" t="s">
        <v>346</v>
      </c>
      <c r="J319" s="109"/>
      <c r="K319" s="109"/>
      <c r="L319" s="109" t="s">
        <v>346</v>
      </c>
      <c r="M319" s="109"/>
      <c r="N319" s="109"/>
      <c r="O319" s="113" t="s">
        <v>2816</v>
      </c>
    </row>
    <row r="320" spans="1:15" ht="70.05" customHeight="1" outlineLevel="1">
      <c r="A320" s="109" t="s">
        <v>4272</v>
      </c>
      <c r="B320" s="110" t="s">
        <v>4273</v>
      </c>
      <c r="C320" s="110" t="s">
        <v>4274</v>
      </c>
      <c r="D320" s="111" t="s">
        <v>4275</v>
      </c>
      <c r="E320" s="111" t="s">
        <v>4276</v>
      </c>
      <c r="F320" s="109" t="s">
        <v>346</v>
      </c>
      <c r="G320" s="109"/>
      <c r="H320" s="109"/>
      <c r="I320" s="109" t="s">
        <v>346</v>
      </c>
      <c r="J320" s="109"/>
      <c r="K320" s="109"/>
      <c r="L320" s="109" t="s">
        <v>346</v>
      </c>
      <c r="M320" s="109"/>
      <c r="N320" s="109"/>
      <c r="O320" s="113" t="s">
        <v>2816</v>
      </c>
    </row>
    <row r="321" spans="1:15" ht="70.05" customHeight="1" outlineLevel="1">
      <c r="A321" s="109" t="s">
        <v>4277</v>
      </c>
      <c r="B321" s="110" t="s">
        <v>4278</v>
      </c>
      <c r="C321" s="110" t="s">
        <v>4279</v>
      </c>
      <c r="D321" s="111" t="s">
        <v>4280</v>
      </c>
      <c r="E321" s="111" t="s">
        <v>4267</v>
      </c>
      <c r="F321" s="109" t="s">
        <v>346</v>
      </c>
      <c r="G321" s="109"/>
      <c r="H321" s="109"/>
      <c r="I321" s="109" t="s">
        <v>346</v>
      </c>
      <c r="J321" s="109"/>
      <c r="K321" s="109"/>
      <c r="L321" s="109" t="s">
        <v>346</v>
      </c>
      <c r="M321" s="109"/>
      <c r="N321" s="109"/>
      <c r="O321" s="113" t="s">
        <v>2816</v>
      </c>
    </row>
    <row r="322" spans="1:15" ht="70.05" customHeight="1" outlineLevel="1">
      <c r="A322" s="109" t="s">
        <v>4281</v>
      </c>
      <c r="B322" s="110" t="s">
        <v>4282</v>
      </c>
      <c r="C322" s="110" t="s">
        <v>4283</v>
      </c>
      <c r="D322" s="111" t="s">
        <v>4284</v>
      </c>
      <c r="E322" s="111" t="s">
        <v>4267</v>
      </c>
      <c r="F322" s="109" t="s">
        <v>346</v>
      </c>
      <c r="G322" s="109"/>
      <c r="H322" s="109"/>
      <c r="I322" s="109" t="s">
        <v>346</v>
      </c>
      <c r="J322" s="109"/>
      <c r="K322" s="109"/>
      <c r="L322" s="109" t="s">
        <v>346</v>
      </c>
      <c r="M322" s="109"/>
      <c r="N322" s="109"/>
      <c r="O322" s="113" t="s">
        <v>2816</v>
      </c>
    </row>
    <row r="323" spans="1:15" ht="70.05" customHeight="1" outlineLevel="1">
      <c r="A323" s="109" t="s">
        <v>4285</v>
      </c>
      <c r="B323" s="110" t="s">
        <v>4286</v>
      </c>
      <c r="C323" s="110" t="s">
        <v>4287</v>
      </c>
      <c r="D323" s="111" t="s">
        <v>4288</v>
      </c>
      <c r="E323" s="111" t="s">
        <v>4289</v>
      </c>
      <c r="F323" s="109" t="s">
        <v>346</v>
      </c>
      <c r="G323" s="109"/>
      <c r="H323" s="109"/>
      <c r="I323" s="109" t="s">
        <v>346</v>
      </c>
      <c r="J323" s="109"/>
      <c r="K323" s="109"/>
      <c r="L323" s="109" t="s">
        <v>346</v>
      </c>
      <c r="M323" s="109"/>
      <c r="N323" s="109"/>
      <c r="O323" s="113" t="s">
        <v>2816</v>
      </c>
    </row>
    <row r="324" spans="1:15" ht="70.05" customHeight="1" outlineLevel="1">
      <c r="A324" s="109" t="s">
        <v>4290</v>
      </c>
      <c r="B324" s="110" t="s">
        <v>4291</v>
      </c>
      <c r="C324" s="110" t="s">
        <v>4292</v>
      </c>
      <c r="D324" s="111" t="s">
        <v>4293</v>
      </c>
      <c r="E324" s="111" t="s">
        <v>4294</v>
      </c>
      <c r="F324" s="109" t="s">
        <v>346</v>
      </c>
      <c r="G324" s="109"/>
      <c r="H324" s="109"/>
      <c r="I324" s="109" t="s">
        <v>346</v>
      </c>
      <c r="J324" s="109"/>
      <c r="K324" s="109"/>
      <c r="L324" s="109" t="s">
        <v>346</v>
      </c>
      <c r="M324" s="109"/>
      <c r="N324" s="109"/>
      <c r="O324" s="113" t="s">
        <v>2816</v>
      </c>
    </row>
    <row r="325" spans="1:15" ht="70.05" customHeight="1" outlineLevel="1">
      <c r="A325" s="109" t="s">
        <v>4295</v>
      </c>
      <c r="B325" s="110" t="s">
        <v>4296</v>
      </c>
      <c r="C325" s="110" t="s">
        <v>4297</v>
      </c>
      <c r="D325" s="111" t="s">
        <v>4298</v>
      </c>
      <c r="E325" s="111" t="s">
        <v>4267</v>
      </c>
      <c r="F325" s="109" t="s">
        <v>346</v>
      </c>
      <c r="G325" s="109"/>
      <c r="H325" s="109"/>
      <c r="I325" s="109" t="s">
        <v>346</v>
      </c>
      <c r="J325" s="109"/>
      <c r="K325" s="109"/>
      <c r="L325" s="109" t="s">
        <v>346</v>
      </c>
      <c r="M325" s="109"/>
      <c r="N325" s="109"/>
      <c r="O325" s="113" t="s">
        <v>2816</v>
      </c>
    </row>
    <row r="326" spans="1:15" ht="70.05" customHeight="1" outlineLevel="1">
      <c r="A326" s="109" t="s">
        <v>4299</v>
      </c>
      <c r="B326" s="110" t="s">
        <v>4300</v>
      </c>
      <c r="C326" s="110" t="s">
        <v>4301</v>
      </c>
      <c r="D326" s="111" t="s">
        <v>4302</v>
      </c>
      <c r="E326" s="111" t="s">
        <v>4267</v>
      </c>
      <c r="F326" s="109" t="s">
        <v>346</v>
      </c>
      <c r="G326" s="109"/>
      <c r="H326" s="109"/>
      <c r="I326" s="109" t="s">
        <v>346</v>
      </c>
      <c r="J326" s="109"/>
      <c r="K326" s="109"/>
      <c r="L326" s="109" t="s">
        <v>346</v>
      </c>
      <c r="M326" s="109"/>
      <c r="N326" s="109"/>
      <c r="O326" s="113" t="s">
        <v>2816</v>
      </c>
    </row>
    <row r="327" spans="1:15" ht="70.05" customHeight="1" outlineLevel="1">
      <c r="A327" s="109" t="s">
        <v>4303</v>
      </c>
      <c r="B327" s="110" t="s">
        <v>4304</v>
      </c>
      <c r="C327" s="110" t="s">
        <v>4305</v>
      </c>
      <c r="D327" s="111" t="s">
        <v>4306</v>
      </c>
      <c r="E327" s="111" t="s">
        <v>4267</v>
      </c>
      <c r="F327" s="109" t="s">
        <v>346</v>
      </c>
      <c r="G327" s="109"/>
      <c r="H327" s="109"/>
      <c r="I327" s="109" t="s">
        <v>346</v>
      </c>
      <c r="J327" s="109"/>
      <c r="K327" s="109"/>
      <c r="L327" s="109" t="s">
        <v>346</v>
      </c>
      <c r="M327" s="109"/>
      <c r="N327" s="109"/>
      <c r="O327" s="113" t="s">
        <v>2816</v>
      </c>
    </row>
    <row r="328" spans="1:15" ht="70.05" customHeight="1" outlineLevel="1">
      <c r="A328" s="109" t="s">
        <v>4307</v>
      </c>
      <c r="B328" s="110" t="s">
        <v>4308</v>
      </c>
      <c r="C328" s="110" t="s">
        <v>4309</v>
      </c>
      <c r="D328" s="111" t="s">
        <v>4310</v>
      </c>
      <c r="E328" s="111" t="s">
        <v>4267</v>
      </c>
      <c r="F328" s="109" t="s">
        <v>346</v>
      </c>
      <c r="G328" s="109"/>
      <c r="H328" s="109"/>
      <c r="I328" s="109" t="s">
        <v>346</v>
      </c>
      <c r="J328" s="109"/>
      <c r="K328" s="109"/>
      <c r="L328" s="109" t="s">
        <v>346</v>
      </c>
      <c r="M328" s="109"/>
      <c r="N328" s="109"/>
      <c r="O328" s="113" t="s">
        <v>2816</v>
      </c>
    </row>
    <row r="329" spans="1:15" ht="70.05" customHeight="1" outlineLevel="1">
      <c r="A329" s="109" t="s">
        <v>4311</v>
      </c>
      <c r="B329" s="110" t="s">
        <v>4312</v>
      </c>
      <c r="C329" s="110" t="s">
        <v>4313</v>
      </c>
      <c r="D329" s="111" t="s">
        <v>4314</v>
      </c>
      <c r="E329" s="111" t="s">
        <v>4267</v>
      </c>
      <c r="F329" s="109" t="s">
        <v>346</v>
      </c>
      <c r="G329" s="109"/>
      <c r="H329" s="109"/>
      <c r="I329" s="109" t="s">
        <v>346</v>
      </c>
      <c r="J329" s="109"/>
      <c r="K329" s="109"/>
      <c r="L329" s="109" t="s">
        <v>346</v>
      </c>
      <c r="M329" s="109"/>
      <c r="N329" s="109"/>
      <c r="O329" s="113" t="s">
        <v>2816</v>
      </c>
    </row>
    <row r="330" spans="1:15" ht="70.05" customHeight="1" outlineLevel="1">
      <c r="A330" s="109" t="s">
        <v>4315</v>
      </c>
      <c r="B330" s="110" t="s">
        <v>4316</v>
      </c>
      <c r="C330" s="110" t="s">
        <v>4317</v>
      </c>
      <c r="D330" s="111" t="s">
        <v>4314</v>
      </c>
      <c r="E330" s="111" t="s">
        <v>4267</v>
      </c>
      <c r="F330" s="109" t="s">
        <v>346</v>
      </c>
      <c r="G330" s="109"/>
      <c r="H330" s="109"/>
      <c r="I330" s="109" t="s">
        <v>346</v>
      </c>
      <c r="J330" s="109"/>
      <c r="K330" s="109"/>
      <c r="L330" s="109" t="s">
        <v>346</v>
      </c>
      <c r="M330" s="109"/>
      <c r="N330" s="109"/>
      <c r="O330" s="113" t="s">
        <v>2816</v>
      </c>
    </row>
    <row r="331" spans="1:15" ht="70.05" customHeight="1" outlineLevel="1">
      <c r="A331" s="109" t="s">
        <v>4318</v>
      </c>
      <c r="B331" s="110" t="s">
        <v>4319</v>
      </c>
      <c r="C331" s="110" t="s">
        <v>4320</v>
      </c>
      <c r="D331" s="111" t="s">
        <v>4321</v>
      </c>
      <c r="E331" s="111" t="s">
        <v>4267</v>
      </c>
      <c r="F331" s="109" t="s">
        <v>346</v>
      </c>
      <c r="G331" s="109"/>
      <c r="H331" s="109"/>
      <c r="I331" s="109" t="s">
        <v>346</v>
      </c>
      <c r="J331" s="109"/>
      <c r="K331" s="109"/>
      <c r="L331" s="109" t="s">
        <v>346</v>
      </c>
      <c r="M331" s="109"/>
      <c r="N331" s="109"/>
      <c r="O331" s="113" t="s">
        <v>2816</v>
      </c>
    </row>
    <row r="332" spans="1:15" ht="70.05" customHeight="1" outlineLevel="1">
      <c r="A332" s="109" t="s">
        <v>4322</v>
      </c>
      <c r="B332" s="110" t="s">
        <v>4323</v>
      </c>
      <c r="C332" s="110" t="s">
        <v>4324</v>
      </c>
      <c r="D332" s="111" t="s">
        <v>4325</v>
      </c>
      <c r="E332" s="111" t="s">
        <v>4326</v>
      </c>
      <c r="F332" s="109" t="s">
        <v>346</v>
      </c>
      <c r="G332" s="109"/>
      <c r="H332" s="109"/>
      <c r="I332" s="109" t="s">
        <v>346</v>
      </c>
      <c r="J332" s="109"/>
      <c r="K332" s="109"/>
      <c r="L332" s="109" t="s">
        <v>346</v>
      </c>
      <c r="M332" s="109"/>
      <c r="N332" s="109"/>
      <c r="O332" s="113" t="s">
        <v>2816</v>
      </c>
    </row>
    <row r="333" spans="1:15" ht="70.05" customHeight="1" outlineLevel="1">
      <c r="A333" s="109" t="s">
        <v>4327</v>
      </c>
      <c r="B333" s="110" t="s">
        <v>4328</v>
      </c>
      <c r="C333" s="110" t="s">
        <v>4329</v>
      </c>
      <c r="D333" s="111" t="s">
        <v>4330</v>
      </c>
      <c r="E333" s="111" t="s">
        <v>4331</v>
      </c>
      <c r="F333" s="109" t="s">
        <v>346</v>
      </c>
      <c r="G333" s="109"/>
      <c r="H333" s="109"/>
      <c r="I333" s="109" t="s">
        <v>346</v>
      </c>
      <c r="J333" s="109"/>
      <c r="K333" s="109"/>
      <c r="L333" s="109" t="s">
        <v>346</v>
      </c>
      <c r="M333" s="109"/>
      <c r="N333" s="109"/>
      <c r="O333" s="113" t="s">
        <v>2816</v>
      </c>
    </row>
    <row r="334" spans="1:15" ht="70.05" customHeight="1" outlineLevel="1">
      <c r="A334" s="109" t="s">
        <v>4332</v>
      </c>
      <c r="B334" s="110" t="s">
        <v>4333</v>
      </c>
      <c r="C334" s="110" t="s">
        <v>4265</v>
      </c>
      <c r="D334" s="111" t="s">
        <v>4055</v>
      </c>
      <c r="E334" s="111" t="s">
        <v>4334</v>
      </c>
      <c r="F334" s="109" t="s">
        <v>346</v>
      </c>
      <c r="G334" s="109"/>
      <c r="H334" s="109"/>
      <c r="I334" s="109" t="s">
        <v>346</v>
      </c>
      <c r="J334" s="109"/>
      <c r="K334" s="109"/>
      <c r="L334" s="109" t="s">
        <v>346</v>
      </c>
      <c r="M334" s="109"/>
      <c r="N334" s="109"/>
      <c r="O334" s="113" t="s">
        <v>2816</v>
      </c>
    </row>
    <row r="335" spans="1:15" ht="70.05" customHeight="1" outlineLevel="1">
      <c r="A335" s="109" t="s">
        <v>4335</v>
      </c>
      <c r="B335" s="110" t="s">
        <v>4336</v>
      </c>
      <c r="C335" s="110" t="s">
        <v>4337</v>
      </c>
      <c r="D335" s="111" t="s">
        <v>4338</v>
      </c>
      <c r="E335" s="111" t="s">
        <v>4267</v>
      </c>
      <c r="F335" s="109" t="s">
        <v>346</v>
      </c>
      <c r="G335" s="109"/>
      <c r="H335" s="109"/>
      <c r="I335" s="109" t="s">
        <v>346</v>
      </c>
      <c r="J335" s="109"/>
      <c r="K335" s="109"/>
      <c r="L335" s="109" t="s">
        <v>346</v>
      </c>
      <c r="M335" s="109"/>
      <c r="N335" s="109"/>
      <c r="O335" s="113" t="s">
        <v>2816</v>
      </c>
    </row>
    <row r="336" spans="1:15" ht="15.75" customHeight="1">
      <c r="A336" s="60" t="s">
        <v>189</v>
      </c>
      <c r="B336" s="60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2"/>
    </row>
    <row r="337" spans="1:15" ht="70.05" customHeight="1" outlineLevel="1">
      <c r="A337" s="109" t="s">
        <v>4339</v>
      </c>
      <c r="B337" s="110" t="s">
        <v>4340</v>
      </c>
      <c r="C337" s="110" t="s">
        <v>4341</v>
      </c>
      <c r="D337" s="111" t="s">
        <v>4342</v>
      </c>
      <c r="E337" s="111" t="s">
        <v>4343</v>
      </c>
      <c r="F337" s="109" t="s">
        <v>346</v>
      </c>
      <c r="G337" s="109"/>
      <c r="H337" s="109"/>
      <c r="I337" s="109" t="s">
        <v>346</v>
      </c>
      <c r="J337" s="109"/>
      <c r="K337" s="109"/>
      <c r="L337" s="109" t="s">
        <v>346</v>
      </c>
      <c r="M337" s="109"/>
      <c r="N337" s="109"/>
      <c r="O337" s="113" t="s">
        <v>2816</v>
      </c>
    </row>
    <row r="338" spans="1:15" ht="70.05" customHeight="1" outlineLevel="1">
      <c r="A338" s="109" t="s">
        <v>4344</v>
      </c>
      <c r="B338" s="110" t="s">
        <v>4340</v>
      </c>
      <c r="C338" s="110" t="s">
        <v>4341</v>
      </c>
      <c r="D338" s="111" t="s">
        <v>4345</v>
      </c>
      <c r="E338" s="111" t="s">
        <v>4346</v>
      </c>
      <c r="F338" s="109" t="s">
        <v>346</v>
      </c>
      <c r="G338" s="109"/>
      <c r="H338" s="109"/>
      <c r="I338" s="109" t="s">
        <v>346</v>
      </c>
      <c r="J338" s="109"/>
      <c r="K338" s="109"/>
      <c r="L338" s="109" t="s">
        <v>346</v>
      </c>
      <c r="M338" s="109"/>
      <c r="N338" s="109"/>
      <c r="O338" s="113" t="s">
        <v>2816</v>
      </c>
    </row>
    <row r="339" spans="1:15" ht="70.05" customHeight="1" outlineLevel="1">
      <c r="A339" s="109" t="s">
        <v>4347</v>
      </c>
      <c r="B339" s="110" t="s">
        <v>4340</v>
      </c>
      <c r="C339" s="110" t="s">
        <v>4341</v>
      </c>
      <c r="D339" s="111" t="s">
        <v>4348</v>
      </c>
      <c r="E339" s="111" t="s">
        <v>4349</v>
      </c>
      <c r="F339" s="109" t="s">
        <v>346</v>
      </c>
      <c r="G339" s="109"/>
      <c r="H339" s="109"/>
      <c r="I339" s="109" t="s">
        <v>346</v>
      </c>
      <c r="J339" s="109"/>
      <c r="K339" s="109"/>
      <c r="L339" s="109" t="s">
        <v>346</v>
      </c>
      <c r="M339" s="109"/>
      <c r="N339" s="109"/>
      <c r="O339" s="113" t="s">
        <v>2816</v>
      </c>
    </row>
    <row r="340" spans="1:15" ht="70.05" customHeight="1" outlineLevel="1">
      <c r="A340" s="109" t="s">
        <v>4350</v>
      </c>
      <c r="B340" s="110" t="s">
        <v>4340</v>
      </c>
      <c r="C340" s="110" t="s">
        <v>4341</v>
      </c>
      <c r="D340" s="111" t="s">
        <v>4351</v>
      </c>
      <c r="E340" s="111" t="s">
        <v>4352</v>
      </c>
      <c r="F340" s="109" t="s">
        <v>346</v>
      </c>
      <c r="G340" s="109"/>
      <c r="H340" s="109"/>
      <c r="I340" s="109" t="s">
        <v>346</v>
      </c>
      <c r="J340" s="109"/>
      <c r="K340" s="109"/>
      <c r="L340" s="109" t="s">
        <v>346</v>
      </c>
      <c r="M340" s="109"/>
      <c r="N340" s="109"/>
      <c r="O340" s="113" t="s">
        <v>2816</v>
      </c>
    </row>
    <row r="341" spans="1:15" ht="70.05" customHeight="1" outlineLevel="1">
      <c r="A341" s="109" t="s">
        <v>4353</v>
      </c>
      <c r="B341" s="110" t="s">
        <v>4340</v>
      </c>
      <c r="C341" s="110" t="s">
        <v>4341</v>
      </c>
      <c r="D341" s="111" t="s">
        <v>4354</v>
      </c>
      <c r="E341" s="111" t="s">
        <v>4343</v>
      </c>
      <c r="F341" s="109" t="s">
        <v>346</v>
      </c>
      <c r="G341" s="109"/>
      <c r="H341" s="109"/>
      <c r="I341" s="109" t="s">
        <v>346</v>
      </c>
      <c r="J341" s="109"/>
      <c r="K341" s="109"/>
      <c r="L341" s="109" t="s">
        <v>346</v>
      </c>
      <c r="M341" s="109"/>
      <c r="N341" s="109"/>
      <c r="O341" s="113" t="s">
        <v>2816</v>
      </c>
    </row>
    <row r="342" spans="1:15" ht="70.05" customHeight="1" outlineLevel="1">
      <c r="A342" s="109" t="s">
        <v>4355</v>
      </c>
      <c r="B342" s="110" t="s">
        <v>4356</v>
      </c>
      <c r="C342" s="110" t="s">
        <v>4357</v>
      </c>
      <c r="D342" s="111" t="s">
        <v>4358</v>
      </c>
      <c r="E342" s="111" t="s">
        <v>4343</v>
      </c>
      <c r="F342" s="109" t="s">
        <v>346</v>
      </c>
      <c r="G342" s="109"/>
      <c r="H342" s="109"/>
      <c r="I342" s="109" t="s">
        <v>346</v>
      </c>
      <c r="J342" s="109"/>
      <c r="K342" s="109"/>
      <c r="L342" s="109" t="s">
        <v>346</v>
      </c>
      <c r="M342" s="109"/>
      <c r="N342" s="109"/>
      <c r="O342" s="113" t="s">
        <v>2816</v>
      </c>
    </row>
    <row r="343" spans="1:15" ht="70.05" customHeight="1" outlineLevel="1">
      <c r="A343" s="109" t="s">
        <v>4359</v>
      </c>
      <c r="B343" s="110" t="s">
        <v>4340</v>
      </c>
      <c r="C343" s="110" t="s">
        <v>4341</v>
      </c>
      <c r="D343" s="111" t="s">
        <v>4360</v>
      </c>
      <c r="E343" s="111" t="s">
        <v>4361</v>
      </c>
      <c r="F343" s="109" t="s">
        <v>346</v>
      </c>
      <c r="G343" s="109"/>
      <c r="H343" s="109"/>
      <c r="I343" s="109" t="s">
        <v>346</v>
      </c>
      <c r="J343" s="109"/>
      <c r="K343" s="109"/>
      <c r="L343" s="109" t="s">
        <v>346</v>
      </c>
      <c r="M343" s="109"/>
      <c r="N343" s="109"/>
      <c r="O343" s="113" t="s">
        <v>2816</v>
      </c>
    </row>
    <row r="344" spans="1:15" ht="70.05" customHeight="1" outlineLevel="1">
      <c r="A344" s="109" t="s">
        <v>4362</v>
      </c>
      <c r="B344" s="110" t="s">
        <v>4340</v>
      </c>
      <c r="C344" s="110" t="s">
        <v>4341</v>
      </c>
      <c r="D344" s="111" t="s">
        <v>4363</v>
      </c>
      <c r="E344" s="111" t="s">
        <v>4364</v>
      </c>
      <c r="F344" s="109" t="s">
        <v>346</v>
      </c>
      <c r="G344" s="109"/>
      <c r="H344" s="109"/>
      <c r="I344" s="109" t="s">
        <v>346</v>
      </c>
      <c r="J344" s="109"/>
      <c r="K344" s="109"/>
      <c r="L344" s="109" t="s">
        <v>346</v>
      </c>
      <c r="M344" s="109"/>
      <c r="N344" s="109"/>
      <c r="O344" s="113" t="s">
        <v>2816</v>
      </c>
    </row>
    <row r="345" spans="1:15" ht="70.05" customHeight="1" outlineLevel="1">
      <c r="A345" s="109" t="s">
        <v>4365</v>
      </c>
      <c r="B345" s="110" t="s">
        <v>4366</v>
      </c>
      <c r="C345" s="110" t="s">
        <v>4341</v>
      </c>
      <c r="D345" s="111" t="s">
        <v>3402</v>
      </c>
      <c r="E345" s="111" t="s">
        <v>4367</v>
      </c>
      <c r="F345" s="109" t="s">
        <v>346</v>
      </c>
      <c r="G345" s="109"/>
      <c r="H345" s="109"/>
      <c r="I345" s="109" t="s">
        <v>346</v>
      </c>
      <c r="J345" s="109"/>
      <c r="K345" s="109"/>
      <c r="L345" s="109" t="s">
        <v>346</v>
      </c>
      <c r="M345" s="109"/>
      <c r="N345" s="109"/>
      <c r="O345" s="113" t="s">
        <v>2816</v>
      </c>
    </row>
    <row r="346" spans="1:15" ht="70.05" customHeight="1" outlineLevel="1">
      <c r="A346" s="109" t="s">
        <v>4368</v>
      </c>
      <c r="B346" s="110" t="s">
        <v>4366</v>
      </c>
      <c r="C346" s="110" t="s">
        <v>4341</v>
      </c>
      <c r="D346" s="111" t="s">
        <v>4369</v>
      </c>
      <c r="E346" s="111" t="s">
        <v>4370</v>
      </c>
      <c r="F346" s="109" t="s">
        <v>346</v>
      </c>
      <c r="G346" s="109"/>
      <c r="H346" s="109"/>
      <c r="I346" s="109" t="s">
        <v>346</v>
      </c>
      <c r="J346" s="109"/>
      <c r="K346" s="109"/>
      <c r="L346" s="109" t="s">
        <v>346</v>
      </c>
      <c r="M346" s="109"/>
      <c r="N346" s="109"/>
      <c r="O346" s="113" t="s">
        <v>2816</v>
      </c>
    </row>
    <row r="347" spans="1:15" ht="70.05" customHeight="1" outlineLevel="1">
      <c r="A347" s="109" t="s">
        <v>4371</v>
      </c>
      <c r="B347" s="110" t="s">
        <v>4366</v>
      </c>
      <c r="C347" s="110" t="s">
        <v>4341</v>
      </c>
      <c r="D347" s="111" t="s">
        <v>4372</v>
      </c>
      <c r="E347" s="111" t="s">
        <v>4373</v>
      </c>
      <c r="F347" s="109" t="s">
        <v>346</v>
      </c>
      <c r="G347" s="109"/>
      <c r="H347" s="109"/>
      <c r="I347" s="109" t="s">
        <v>346</v>
      </c>
      <c r="J347" s="109"/>
      <c r="K347" s="109"/>
      <c r="L347" s="109" t="s">
        <v>346</v>
      </c>
      <c r="M347" s="109"/>
      <c r="N347" s="109"/>
      <c r="O347" s="113" t="s">
        <v>2816</v>
      </c>
    </row>
    <row r="348" spans="1:15" ht="70.05" customHeight="1" outlineLevel="1">
      <c r="A348" s="109" t="s">
        <v>4374</v>
      </c>
      <c r="B348" s="110" t="s">
        <v>4366</v>
      </c>
      <c r="C348" s="110" t="s">
        <v>4341</v>
      </c>
      <c r="D348" s="111" t="s">
        <v>3402</v>
      </c>
      <c r="E348" s="111" t="s">
        <v>4375</v>
      </c>
      <c r="F348" s="109" t="s">
        <v>346</v>
      </c>
      <c r="G348" s="109"/>
      <c r="H348" s="109"/>
      <c r="I348" s="109" t="s">
        <v>346</v>
      </c>
      <c r="J348" s="109"/>
      <c r="K348" s="109"/>
      <c r="L348" s="109" t="s">
        <v>346</v>
      </c>
      <c r="M348" s="109"/>
      <c r="N348" s="109"/>
      <c r="O348" s="113" t="s">
        <v>2816</v>
      </c>
    </row>
    <row r="349" spans="1:15" ht="70.05" customHeight="1" outlineLevel="1">
      <c r="A349" s="109" t="s">
        <v>4376</v>
      </c>
      <c r="B349" s="110" t="s">
        <v>4377</v>
      </c>
      <c r="C349" s="110" t="s">
        <v>4341</v>
      </c>
      <c r="D349" s="111" t="s">
        <v>4055</v>
      </c>
      <c r="E349" s="111" t="s">
        <v>4009</v>
      </c>
      <c r="F349" s="109" t="s">
        <v>346</v>
      </c>
      <c r="G349" s="109"/>
      <c r="H349" s="109"/>
      <c r="I349" s="109" t="s">
        <v>346</v>
      </c>
      <c r="J349" s="109"/>
      <c r="K349" s="109"/>
      <c r="L349" s="109" t="s">
        <v>346</v>
      </c>
      <c r="M349" s="109"/>
      <c r="N349" s="109"/>
      <c r="O349" s="113" t="s">
        <v>2816</v>
      </c>
    </row>
    <row r="350" spans="1:15" ht="70.05" customHeight="1" outlineLevel="1">
      <c r="A350" s="109" t="s">
        <v>4378</v>
      </c>
      <c r="B350" s="110" t="s">
        <v>4377</v>
      </c>
      <c r="C350" s="110" t="s">
        <v>4341</v>
      </c>
      <c r="D350" s="111" t="s">
        <v>4136</v>
      </c>
      <c r="E350" s="111" t="s">
        <v>4379</v>
      </c>
      <c r="F350" s="109" t="s">
        <v>346</v>
      </c>
      <c r="G350" s="109"/>
      <c r="H350" s="109"/>
      <c r="I350" s="109" t="s">
        <v>346</v>
      </c>
      <c r="J350" s="109"/>
      <c r="K350" s="109"/>
      <c r="L350" s="109" t="s">
        <v>346</v>
      </c>
      <c r="M350" s="109"/>
      <c r="N350" s="109"/>
      <c r="O350" s="113" t="s">
        <v>2816</v>
      </c>
    </row>
    <row r="351" spans="1:15" ht="70.05" customHeight="1" outlineLevel="1">
      <c r="A351" s="109" t="s">
        <v>4380</v>
      </c>
      <c r="B351" s="110" t="s">
        <v>4381</v>
      </c>
      <c r="C351" s="110" t="s">
        <v>4382</v>
      </c>
      <c r="D351" s="111" t="s">
        <v>4072</v>
      </c>
      <c r="E351" s="111" t="s">
        <v>4383</v>
      </c>
      <c r="F351" s="109" t="s">
        <v>346</v>
      </c>
      <c r="G351" s="109"/>
      <c r="H351" s="109"/>
      <c r="I351" s="109" t="s">
        <v>346</v>
      </c>
      <c r="J351" s="109"/>
      <c r="K351" s="109"/>
      <c r="L351" s="109" t="s">
        <v>346</v>
      </c>
      <c r="M351" s="109"/>
      <c r="N351" s="109"/>
      <c r="O351" s="113" t="s">
        <v>2816</v>
      </c>
    </row>
    <row r="352" spans="1:15" ht="70.05" customHeight="1" outlineLevel="1">
      <c r="A352" s="109" t="s">
        <v>4384</v>
      </c>
      <c r="B352" s="110" t="s">
        <v>4385</v>
      </c>
      <c r="C352" s="110" t="s">
        <v>4386</v>
      </c>
      <c r="D352" s="111" t="s">
        <v>4387</v>
      </c>
      <c r="E352" s="111" t="s">
        <v>4343</v>
      </c>
      <c r="F352" s="109" t="s">
        <v>346</v>
      </c>
      <c r="G352" s="109"/>
      <c r="H352" s="109"/>
      <c r="I352" s="109" t="s">
        <v>346</v>
      </c>
      <c r="J352" s="109"/>
      <c r="K352" s="109"/>
      <c r="L352" s="109" t="s">
        <v>346</v>
      </c>
      <c r="M352" s="109"/>
      <c r="N352" s="109"/>
      <c r="O352" s="113" t="s">
        <v>2816</v>
      </c>
    </row>
    <row r="353" spans="1:15" ht="70.05" customHeight="1" outlineLevel="1">
      <c r="A353" s="109" t="s">
        <v>4388</v>
      </c>
      <c r="B353" s="110" t="s">
        <v>4377</v>
      </c>
      <c r="C353" s="110" t="s">
        <v>4341</v>
      </c>
      <c r="D353" s="111" t="s">
        <v>4055</v>
      </c>
      <c r="E353" s="111" t="s">
        <v>4389</v>
      </c>
      <c r="F353" s="109" t="s">
        <v>346</v>
      </c>
      <c r="G353" s="109"/>
      <c r="H353" s="109"/>
      <c r="I353" s="109" t="s">
        <v>346</v>
      </c>
      <c r="J353" s="109"/>
      <c r="K353" s="109"/>
      <c r="L353" s="109" t="s">
        <v>346</v>
      </c>
      <c r="M353" s="109"/>
      <c r="N353" s="109"/>
      <c r="O353" s="113" t="s">
        <v>2816</v>
      </c>
    </row>
    <row r="354" spans="1:15" ht="15.75" customHeight="1">
      <c r="A354" s="60" t="s">
        <v>191</v>
      </c>
      <c r="B354" s="60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2"/>
    </row>
    <row r="355" spans="1:15" ht="70.05" customHeight="1" outlineLevel="1">
      <c r="A355" s="109" t="s">
        <v>4390</v>
      </c>
      <c r="B355" s="110" t="s">
        <v>4391</v>
      </c>
      <c r="C355" s="110" t="s">
        <v>4392</v>
      </c>
      <c r="D355" s="111" t="s">
        <v>4393</v>
      </c>
      <c r="E355" s="111" t="s">
        <v>4394</v>
      </c>
      <c r="F355" s="109" t="s">
        <v>346</v>
      </c>
      <c r="G355" s="109"/>
      <c r="H355" s="109"/>
      <c r="I355" s="109" t="s">
        <v>346</v>
      </c>
      <c r="J355" s="109"/>
      <c r="K355" s="109"/>
      <c r="L355" s="109" t="s">
        <v>346</v>
      </c>
      <c r="M355" s="109"/>
      <c r="N355" s="109"/>
      <c r="O355" s="113" t="s">
        <v>2816</v>
      </c>
    </row>
    <row r="356" spans="1:15" ht="70.05" customHeight="1" outlineLevel="1">
      <c r="A356" s="109" t="s">
        <v>4395</v>
      </c>
      <c r="B356" s="110" t="s">
        <v>4396</v>
      </c>
      <c r="C356" s="110" t="s">
        <v>4397</v>
      </c>
      <c r="D356" s="111" t="s">
        <v>4398</v>
      </c>
      <c r="E356" s="111" t="s">
        <v>4399</v>
      </c>
      <c r="F356" s="109" t="s">
        <v>346</v>
      </c>
      <c r="G356" s="109"/>
      <c r="H356" s="109"/>
      <c r="I356" s="109" t="s">
        <v>346</v>
      </c>
      <c r="J356" s="109"/>
      <c r="K356" s="109"/>
      <c r="L356" s="109" t="s">
        <v>346</v>
      </c>
      <c r="M356" s="109"/>
      <c r="N356" s="109"/>
      <c r="O356" s="113" t="s">
        <v>2816</v>
      </c>
    </row>
    <row r="357" spans="1:15" ht="70.05" customHeight="1" outlineLevel="1">
      <c r="A357" s="109" t="s">
        <v>4400</v>
      </c>
      <c r="B357" s="110" t="s">
        <v>4401</v>
      </c>
      <c r="C357" s="110" t="s">
        <v>4402</v>
      </c>
      <c r="D357" s="111" t="s">
        <v>4403</v>
      </c>
      <c r="E357" s="111" t="s">
        <v>4404</v>
      </c>
      <c r="F357" s="109" t="s">
        <v>346</v>
      </c>
      <c r="G357" s="109"/>
      <c r="H357" s="109"/>
      <c r="I357" s="109" t="s">
        <v>346</v>
      </c>
      <c r="J357" s="109"/>
      <c r="K357" s="109"/>
      <c r="L357" s="109" t="s">
        <v>346</v>
      </c>
      <c r="M357" s="109"/>
      <c r="N357" s="109"/>
      <c r="O357" s="113" t="s">
        <v>2816</v>
      </c>
    </row>
    <row r="358" spans="1:15" ht="70.05" customHeight="1" outlineLevel="1">
      <c r="A358" s="109" t="s">
        <v>4405</v>
      </c>
      <c r="B358" s="110" t="s">
        <v>4406</v>
      </c>
      <c r="C358" s="110" t="s">
        <v>4407</v>
      </c>
      <c r="D358" s="111" t="s">
        <v>4408</v>
      </c>
      <c r="E358" s="111" t="s">
        <v>4394</v>
      </c>
      <c r="F358" s="109" t="s">
        <v>346</v>
      </c>
      <c r="G358" s="109"/>
      <c r="H358" s="109"/>
      <c r="I358" s="109" t="s">
        <v>346</v>
      </c>
      <c r="J358" s="109"/>
      <c r="K358" s="109"/>
      <c r="L358" s="109" t="s">
        <v>346</v>
      </c>
      <c r="M358" s="109"/>
      <c r="N358" s="109"/>
      <c r="O358" s="113" t="s">
        <v>2816</v>
      </c>
    </row>
    <row r="359" spans="1:15" ht="70.05" customHeight="1" outlineLevel="1">
      <c r="A359" s="109" t="s">
        <v>4409</v>
      </c>
      <c r="B359" s="110" t="s">
        <v>4391</v>
      </c>
      <c r="C359" s="110" t="s">
        <v>4392</v>
      </c>
      <c r="D359" s="111" t="s">
        <v>4410</v>
      </c>
      <c r="E359" s="111" t="s">
        <v>4399</v>
      </c>
      <c r="F359" s="109" t="s">
        <v>346</v>
      </c>
      <c r="G359" s="109"/>
      <c r="H359" s="109"/>
      <c r="I359" s="109" t="s">
        <v>346</v>
      </c>
      <c r="J359" s="109"/>
      <c r="K359" s="109"/>
      <c r="L359" s="109" t="s">
        <v>346</v>
      </c>
      <c r="M359" s="109"/>
      <c r="N359" s="109"/>
      <c r="O359" s="113" t="s">
        <v>2816</v>
      </c>
    </row>
    <row r="360" spans="1:15" ht="70.05" customHeight="1" outlineLevel="1">
      <c r="A360" s="109" t="s">
        <v>4411</v>
      </c>
      <c r="B360" s="110" t="s">
        <v>4412</v>
      </c>
      <c r="C360" s="110" t="s">
        <v>4413</v>
      </c>
      <c r="D360" s="111" t="s">
        <v>4414</v>
      </c>
      <c r="E360" s="111" t="s">
        <v>4394</v>
      </c>
      <c r="F360" s="109" t="s">
        <v>346</v>
      </c>
      <c r="G360" s="109"/>
      <c r="H360" s="109"/>
      <c r="I360" s="109" t="s">
        <v>346</v>
      </c>
      <c r="J360" s="109"/>
      <c r="K360" s="109"/>
      <c r="L360" s="109" t="s">
        <v>346</v>
      </c>
      <c r="M360" s="109"/>
      <c r="N360" s="109"/>
      <c r="O360" s="113" t="s">
        <v>2816</v>
      </c>
    </row>
    <row r="361" spans="1:15" ht="70.05" customHeight="1" outlineLevel="1">
      <c r="A361" s="109" t="s">
        <v>4415</v>
      </c>
      <c r="B361" s="110" t="s">
        <v>4391</v>
      </c>
      <c r="C361" s="110" t="s">
        <v>4392</v>
      </c>
      <c r="D361" s="111" t="s">
        <v>4416</v>
      </c>
      <c r="E361" s="111" t="s">
        <v>4417</v>
      </c>
      <c r="F361" s="109" t="s">
        <v>346</v>
      </c>
      <c r="G361" s="109"/>
      <c r="H361" s="109"/>
      <c r="I361" s="109" t="s">
        <v>346</v>
      </c>
      <c r="J361" s="109"/>
      <c r="K361" s="109"/>
      <c r="L361" s="109" t="s">
        <v>346</v>
      </c>
      <c r="M361" s="109"/>
      <c r="N361" s="109"/>
      <c r="O361" s="113" t="s">
        <v>2816</v>
      </c>
    </row>
    <row r="362" spans="1:15" ht="70.05" customHeight="1" outlineLevel="1">
      <c r="A362" s="109" t="s">
        <v>4418</v>
      </c>
      <c r="B362" s="110" t="s">
        <v>4391</v>
      </c>
      <c r="C362" s="110" t="s">
        <v>4392</v>
      </c>
      <c r="D362" s="111" t="s">
        <v>4419</v>
      </c>
      <c r="E362" s="111" t="s">
        <v>4420</v>
      </c>
      <c r="F362" s="109" t="s">
        <v>346</v>
      </c>
      <c r="G362" s="109"/>
      <c r="H362" s="109"/>
      <c r="I362" s="109" t="s">
        <v>346</v>
      </c>
      <c r="J362" s="109"/>
      <c r="K362" s="109"/>
      <c r="L362" s="109" t="s">
        <v>346</v>
      </c>
      <c r="M362" s="109"/>
      <c r="N362" s="109"/>
      <c r="O362" s="113" t="s">
        <v>2816</v>
      </c>
    </row>
    <row r="363" spans="1:15" ht="70.05" customHeight="1" outlineLevel="1">
      <c r="A363" s="109" t="s">
        <v>4421</v>
      </c>
      <c r="B363" s="110" t="s">
        <v>4422</v>
      </c>
      <c r="C363" s="110" t="s">
        <v>4423</v>
      </c>
      <c r="D363" s="111" t="s">
        <v>4424</v>
      </c>
      <c r="E363" s="111" t="s">
        <v>4394</v>
      </c>
      <c r="F363" s="109" t="s">
        <v>346</v>
      </c>
      <c r="G363" s="109"/>
      <c r="H363" s="109"/>
      <c r="I363" s="109" t="s">
        <v>346</v>
      </c>
      <c r="J363" s="109"/>
      <c r="K363" s="109"/>
      <c r="L363" s="109" t="s">
        <v>346</v>
      </c>
      <c r="M363" s="109"/>
      <c r="N363" s="109"/>
      <c r="O363" s="113" t="s">
        <v>2816</v>
      </c>
    </row>
    <row r="364" spans="1:15" ht="70.05" customHeight="1" outlineLevel="1">
      <c r="A364" s="109" t="s">
        <v>4425</v>
      </c>
      <c r="B364" s="110" t="s">
        <v>4426</v>
      </c>
      <c r="C364" s="110" t="s">
        <v>4427</v>
      </c>
      <c r="D364" s="111" t="s">
        <v>4428</v>
      </c>
      <c r="E364" s="111" t="s">
        <v>4394</v>
      </c>
      <c r="F364" s="109" t="s">
        <v>346</v>
      </c>
      <c r="G364" s="109"/>
      <c r="H364" s="109"/>
      <c r="I364" s="109" t="s">
        <v>346</v>
      </c>
      <c r="J364" s="109"/>
      <c r="K364" s="109"/>
      <c r="L364" s="109" t="s">
        <v>346</v>
      </c>
      <c r="M364" s="109"/>
      <c r="N364" s="109"/>
      <c r="O364" s="113" t="s">
        <v>2816</v>
      </c>
    </row>
    <row r="365" spans="1:15" ht="70.05" customHeight="1" outlineLevel="1">
      <c r="A365" s="109" t="s">
        <v>4429</v>
      </c>
      <c r="B365" s="110" t="s">
        <v>4430</v>
      </c>
      <c r="C365" s="110" t="s">
        <v>4431</v>
      </c>
      <c r="D365" s="111" t="s">
        <v>4432</v>
      </c>
      <c r="E365" s="111" t="s">
        <v>4394</v>
      </c>
      <c r="F365" s="109" t="s">
        <v>346</v>
      </c>
      <c r="G365" s="109"/>
      <c r="H365" s="109"/>
      <c r="I365" s="109" t="s">
        <v>346</v>
      </c>
      <c r="J365" s="109"/>
      <c r="K365" s="109"/>
      <c r="L365" s="109" t="s">
        <v>346</v>
      </c>
      <c r="M365" s="109"/>
      <c r="N365" s="109"/>
      <c r="O365" s="113" t="s">
        <v>2816</v>
      </c>
    </row>
    <row r="366" spans="1:15" ht="70.05" customHeight="1" outlineLevel="1">
      <c r="A366" s="109" t="s">
        <v>4433</v>
      </c>
      <c r="B366" s="110" t="s">
        <v>4434</v>
      </c>
      <c r="C366" s="110" t="s">
        <v>4435</v>
      </c>
      <c r="D366" s="111" t="s">
        <v>4436</v>
      </c>
      <c r="E366" s="111" t="s">
        <v>4394</v>
      </c>
      <c r="F366" s="109" t="s">
        <v>346</v>
      </c>
      <c r="G366" s="109"/>
      <c r="H366" s="109"/>
      <c r="I366" s="109" t="s">
        <v>346</v>
      </c>
      <c r="J366" s="109"/>
      <c r="K366" s="109"/>
      <c r="L366" s="109" t="s">
        <v>346</v>
      </c>
      <c r="M366" s="109"/>
      <c r="N366" s="109"/>
      <c r="O366" s="113" t="s">
        <v>2816</v>
      </c>
    </row>
    <row r="367" spans="1:15" ht="70.05" customHeight="1" outlineLevel="1">
      <c r="A367" s="109" t="s">
        <v>4437</v>
      </c>
      <c r="B367" s="110" t="s">
        <v>4438</v>
      </c>
      <c r="C367" s="110" t="s">
        <v>4392</v>
      </c>
      <c r="D367" s="111" t="s">
        <v>4439</v>
      </c>
      <c r="E367" s="111" t="s">
        <v>4440</v>
      </c>
      <c r="F367" s="109" t="s">
        <v>346</v>
      </c>
      <c r="G367" s="109"/>
      <c r="H367" s="109"/>
      <c r="I367" s="109" t="s">
        <v>346</v>
      </c>
      <c r="J367" s="109"/>
      <c r="K367" s="109"/>
      <c r="L367" s="109" t="s">
        <v>346</v>
      </c>
      <c r="M367" s="109"/>
      <c r="N367" s="109"/>
      <c r="O367" s="113" t="s">
        <v>2816</v>
      </c>
    </row>
    <row r="368" spans="1:15" ht="70.05" customHeight="1" outlineLevel="1">
      <c r="A368" s="109" t="s">
        <v>4441</v>
      </c>
      <c r="B368" s="110" t="s">
        <v>4442</v>
      </c>
      <c r="C368" s="110" t="s">
        <v>4443</v>
      </c>
      <c r="D368" s="111" t="s">
        <v>4439</v>
      </c>
      <c r="E368" s="111" t="s">
        <v>4444</v>
      </c>
      <c r="F368" s="109" t="s">
        <v>346</v>
      </c>
      <c r="G368" s="109"/>
      <c r="H368" s="109"/>
      <c r="I368" s="109" t="s">
        <v>346</v>
      </c>
      <c r="J368" s="109"/>
      <c r="K368" s="109"/>
      <c r="L368" s="109" t="s">
        <v>346</v>
      </c>
      <c r="M368" s="109"/>
      <c r="N368" s="109"/>
      <c r="O368" s="113" t="s">
        <v>2816</v>
      </c>
    </row>
    <row r="369" spans="1:15" ht="70.05" customHeight="1" outlineLevel="1">
      <c r="A369" s="109" t="s">
        <v>4445</v>
      </c>
      <c r="B369" s="110" t="s">
        <v>4446</v>
      </c>
      <c r="C369" s="110" t="s">
        <v>4447</v>
      </c>
      <c r="D369" s="111" t="s">
        <v>4436</v>
      </c>
      <c r="E369" s="111" t="s">
        <v>4394</v>
      </c>
      <c r="F369" s="109" t="s">
        <v>346</v>
      </c>
      <c r="G369" s="109"/>
      <c r="H369" s="109"/>
      <c r="I369" s="109" t="s">
        <v>346</v>
      </c>
      <c r="J369" s="109"/>
      <c r="K369" s="109"/>
      <c r="L369" s="109" t="s">
        <v>346</v>
      </c>
      <c r="M369" s="109"/>
      <c r="N369" s="109"/>
      <c r="O369" s="113" t="s">
        <v>2816</v>
      </c>
    </row>
    <row r="370" spans="1:15" ht="70.05" customHeight="1" outlineLevel="1">
      <c r="A370" s="109" t="s">
        <v>4448</v>
      </c>
      <c r="B370" s="110" t="s">
        <v>4449</v>
      </c>
      <c r="C370" s="110" t="s">
        <v>4450</v>
      </c>
      <c r="D370" s="111" t="s">
        <v>4451</v>
      </c>
      <c r="E370" s="111" t="s">
        <v>4394</v>
      </c>
      <c r="F370" s="109" t="s">
        <v>346</v>
      </c>
      <c r="G370" s="109"/>
      <c r="H370" s="109"/>
      <c r="I370" s="109" t="s">
        <v>346</v>
      </c>
      <c r="J370" s="109"/>
      <c r="K370" s="109"/>
      <c r="L370" s="109" t="s">
        <v>346</v>
      </c>
      <c r="M370" s="109"/>
      <c r="N370" s="109"/>
      <c r="O370" s="113" t="s">
        <v>2816</v>
      </c>
    </row>
    <row r="371" spans="1:15" ht="70.05" customHeight="1" outlineLevel="1">
      <c r="A371" s="109" t="s">
        <v>4452</v>
      </c>
      <c r="B371" s="110" t="s">
        <v>4453</v>
      </c>
      <c r="C371" s="110" t="s">
        <v>4454</v>
      </c>
      <c r="D371" s="111" t="s">
        <v>4387</v>
      </c>
      <c r="E371" s="111" t="s">
        <v>4394</v>
      </c>
      <c r="F371" s="109" t="s">
        <v>346</v>
      </c>
      <c r="G371" s="109"/>
      <c r="H371" s="109"/>
      <c r="I371" s="109" t="s">
        <v>346</v>
      </c>
      <c r="J371" s="109"/>
      <c r="K371" s="109"/>
      <c r="L371" s="109" t="s">
        <v>346</v>
      </c>
      <c r="M371" s="109"/>
      <c r="N371" s="109"/>
      <c r="O371" s="113" t="s">
        <v>2816</v>
      </c>
    </row>
    <row r="372" spans="1:15" ht="70.05" customHeight="1" outlineLevel="1">
      <c r="A372" s="109" t="s">
        <v>4455</v>
      </c>
      <c r="B372" s="110" t="s">
        <v>4456</v>
      </c>
      <c r="C372" s="110" t="s">
        <v>4457</v>
      </c>
      <c r="D372" s="111" t="s">
        <v>4458</v>
      </c>
      <c r="E372" s="111" t="s">
        <v>4394</v>
      </c>
      <c r="F372" s="109" t="s">
        <v>346</v>
      </c>
      <c r="G372" s="109"/>
      <c r="H372" s="109"/>
      <c r="I372" s="109" t="s">
        <v>346</v>
      </c>
      <c r="J372" s="109"/>
      <c r="K372" s="109"/>
      <c r="L372" s="109" t="s">
        <v>346</v>
      </c>
      <c r="M372" s="109"/>
      <c r="N372" s="109"/>
      <c r="O372" s="113" t="s">
        <v>2816</v>
      </c>
    </row>
    <row r="373" spans="1:15" ht="70.05" customHeight="1" outlineLevel="1">
      <c r="A373" s="109" t="s">
        <v>4459</v>
      </c>
      <c r="B373" s="110" t="s">
        <v>4438</v>
      </c>
      <c r="C373" s="110" t="s">
        <v>4392</v>
      </c>
      <c r="D373" s="111" t="s">
        <v>4055</v>
      </c>
      <c r="E373" s="111" t="s">
        <v>4460</v>
      </c>
      <c r="F373" s="109" t="s">
        <v>346</v>
      </c>
      <c r="G373" s="109"/>
      <c r="H373" s="109"/>
      <c r="I373" s="109" t="s">
        <v>346</v>
      </c>
      <c r="J373" s="109"/>
      <c r="K373" s="109"/>
      <c r="L373" s="109" t="s">
        <v>346</v>
      </c>
      <c r="M373" s="109"/>
      <c r="N373" s="109"/>
      <c r="O373" s="113" t="s">
        <v>2816</v>
      </c>
    </row>
    <row r="374" spans="1:15" ht="70.05" customHeight="1" outlineLevel="1">
      <c r="A374" s="109" t="s">
        <v>4461</v>
      </c>
      <c r="B374" s="110" t="s">
        <v>4462</v>
      </c>
      <c r="C374" s="110" t="s">
        <v>4463</v>
      </c>
      <c r="D374" s="111" t="s">
        <v>4072</v>
      </c>
      <c r="E374" s="111" t="s">
        <v>4464</v>
      </c>
      <c r="F374" s="109" t="s">
        <v>346</v>
      </c>
      <c r="G374" s="109"/>
      <c r="H374" s="109"/>
      <c r="I374" s="109" t="s">
        <v>346</v>
      </c>
      <c r="J374" s="109"/>
      <c r="K374" s="109"/>
      <c r="L374" s="109" t="s">
        <v>346</v>
      </c>
      <c r="M374" s="109"/>
      <c r="N374" s="109"/>
      <c r="O374" s="113" t="s">
        <v>2816</v>
      </c>
    </row>
    <row r="375" spans="1:15" ht="15.75" customHeight="1">
      <c r="A375" s="60" t="s">
        <v>193</v>
      </c>
      <c r="B375" s="60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2"/>
    </row>
    <row r="376" spans="1:15" ht="70.05" customHeight="1" outlineLevel="1">
      <c r="A376" s="109" t="s">
        <v>4465</v>
      </c>
      <c r="B376" s="110" t="s">
        <v>4466</v>
      </c>
      <c r="C376" s="110" t="s">
        <v>4467</v>
      </c>
      <c r="D376" s="111" t="s">
        <v>4468</v>
      </c>
      <c r="E376" s="111" t="s">
        <v>4469</v>
      </c>
      <c r="F376" s="109" t="s">
        <v>346</v>
      </c>
      <c r="G376" s="109"/>
      <c r="H376" s="109"/>
      <c r="I376" s="109" t="s">
        <v>346</v>
      </c>
      <c r="J376" s="109"/>
      <c r="K376" s="109"/>
      <c r="L376" s="109" t="s">
        <v>346</v>
      </c>
      <c r="M376" s="109"/>
      <c r="N376" s="109"/>
      <c r="O376" s="113" t="s">
        <v>2816</v>
      </c>
    </row>
    <row r="377" spans="1:15" ht="70.05" customHeight="1" outlineLevel="1">
      <c r="A377" s="109" t="s">
        <v>4470</v>
      </c>
      <c r="B377" s="110" t="s">
        <v>4471</v>
      </c>
      <c r="C377" s="110" t="s">
        <v>4472</v>
      </c>
      <c r="D377" s="111" t="s">
        <v>4473</v>
      </c>
      <c r="E377" s="111" t="s">
        <v>4469</v>
      </c>
      <c r="F377" s="109" t="s">
        <v>346</v>
      </c>
      <c r="G377" s="109"/>
      <c r="H377" s="109"/>
      <c r="I377" s="109" t="s">
        <v>346</v>
      </c>
      <c r="J377" s="109"/>
      <c r="K377" s="109"/>
      <c r="L377" s="109" t="s">
        <v>346</v>
      </c>
      <c r="M377" s="109"/>
      <c r="N377" s="109"/>
      <c r="O377" s="113" t="s">
        <v>2816</v>
      </c>
    </row>
    <row r="378" spans="1:15" ht="70.05" customHeight="1" outlineLevel="1">
      <c r="A378" s="109" t="s">
        <v>4474</v>
      </c>
      <c r="B378" s="110" t="s">
        <v>4475</v>
      </c>
      <c r="C378" s="110" t="s">
        <v>4476</v>
      </c>
      <c r="D378" s="111" t="s">
        <v>4477</v>
      </c>
      <c r="E378" s="111" t="s">
        <v>4478</v>
      </c>
      <c r="F378" s="109" t="s">
        <v>346</v>
      </c>
      <c r="G378" s="109"/>
      <c r="H378" s="109"/>
      <c r="I378" s="109" t="s">
        <v>346</v>
      </c>
      <c r="J378" s="109"/>
      <c r="K378" s="109"/>
      <c r="L378" s="109" t="s">
        <v>346</v>
      </c>
      <c r="M378" s="109"/>
      <c r="N378" s="109"/>
      <c r="O378" s="113" t="s">
        <v>2816</v>
      </c>
    </row>
    <row r="379" spans="1:15" ht="70.05" customHeight="1" outlineLevel="1">
      <c r="A379" s="109" t="s">
        <v>4479</v>
      </c>
      <c r="B379" s="110" t="s">
        <v>4480</v>
      </c>
      <c r="C379" s="110" t="s">
        <v>4481</v>
      </c>
      <c r="D379" s="111" t="s">
        <v>4482</v>
      </c>
      <c r="E379" s="111" t="s">
        <v>4478</v>
      </c>
      <c r="F379" s="109" t="s">
        <v>346</v>
      </c>
      <c r="G379" s="109"/>
      <c r="H379" s="109"/>
      <c r="I379" s="109" t="s">
        <v>346</v>
      </c>
      <c r="J379" s="109"/>
      <c r="K379" s="109"/>
      <c r="L379" s="109" t="s">
        <v>346</v>
      </c>
      <c r="M379" s="109"/>
      <c r="N379" s="109"/>
      <c r="O379" s="113" t="s">
        <v>2816</v>
      </c>
    </row>
    <row r="380" spans="1:15" ht="70.05" customHeight="1" outlineLevel="1">
      <c r="A380" s="109" t="s">
        <v>4483</v>
      </c>
      <c r="B380" s="110" t="s">
        <v>4466</v>
      </c>
      <c r="C380" s="110" t="s">
        <v>4484</v>
      </c>
      <c r="D380" s="111" t="s">
        <v>4485</v>
      </c>
      <c r="E380" s="111" t="s">
        <v>4469</v>
      </c>
      <c r="F380" s="109" t="s">
        <v>346</v>
      </c>
      <c r="G380" s="109"/>
      <c r="H380" s="109"/>
      <c r="I380" s="109" t="s">
        <v>346</v>
      </c>
      <c r="J380" s="109"/>
      <c r="K380" s="109"/>
      <c r="L380" s="109" t="s">
        <v>346</v>
      </c>
      <c r="M380" s="109"/>
      <c r="N380" s="109"/>
      <c r="O380" s="113" t="s">
        <v>2816</v>
      </c>
    </row>
    <row r="381" spans="1:15" ht="70.05" customHeight="1" outlineLevel="1">
      <c r="A381" s="109" t="s">
        <v>4486</v>
      </c>
      <c r="B381" s="110" t="s">
        <v>4466</v>
      </c>
      <c r="C381" s="110" t="s">
        <v>4467</v>
      </c>
      <c r="D381" s="111" t="s">
        <v>4487</v>
      </c>
      <c r="E381" s="111" t="s">
        <v>4488</v>
      </c>
      <c r="F381" s="109" t="s">
        <v>346</v>
      </c>
      <c r="G381" s="109"/>
      <c r="H381" s="109"/>
      <c r="I381" s="109" t="s">
        <v>346</v>
      </c>
      <c r="J381" s="109"/>
      <c r="K381" s="109"/>
      <c r="L381" s="109" t="s">
        <v>346</v>
      </c>
      <c r="M381" s="109"/>
      <c r="N381" s="109"/>
      <c r="O381" s="113" t="s">
        <v>2816</v>
      </c>
    </row>
    <row r="382" spans="1:15" ht="70.05" customHeight="1" outlineLevel="1">
      <c r="A382" s="109" t="s">
        <v>4489</v>
      </c>
      <c r="B382" s="110" t="s">
        <v>4490</v>
      </c>
      <c r="C382" s="110" t="s">
        <v>4491</v>
      </c>
      <c r="D382" s="111" t="s">
        <v>4492</v>
      </c>
      <c r="E382" s="111" t="s">
        <v>4469</v>
      </c>
      <c r="F382" s="109" t="s">
        <v>346</v>
      </c>
      <c r="G382" s="109"/>
      <c r="H382" s="109"/>
      <c r="I382" s="109" t="s">
        <v>346</v>
      </c>
      <c r="J382" s="109"/>
      <c r="K382" s="109"/>
      <c r="L382" s="109" t="s">
        <v>346</v>
      </c>
      <c r="M382" s="109"/>
      <c r="N382" s="109"/>
      <c r="O382" s="113" t="s">
        <v>2816</v>
      </c>
    </row>
    <row r="383" spans="1:15" ht="70.05" customHeight="1" outlineLevel="1">
      <c r="A383" s="109" t="s">
        <v>4493</v>
      </c>
      <c r="B383" s="110" t="s">
        <v>4494</v>
      </c>
      <c r="C383" s="110" t="s">
        <v>4495</v>
      </c>
      <c r="D383" s="111" t="s">
        <v>4496</v>
      </c>
      <c r="E383" s="111" t="s">
        <v>4469</v>
      </c>
      <c r="F383" s="109" t="s">
        <v>346</v>
      </c>
      <c r="G383" s="109"/>
      <c r="H383" s="109"/>
      <c r="I383" s="109" t="s">
        <v>346</v>
      </c>
      <c r="J383" s="109"/>
      <c r="K383" s="109"/>
      <c r="L383" s="109" t="s">
        <v>346</v>
      </c>
      <c r="M383" s="109"/>
      <c r="N383" s="109"/>
      <c r="O383" s="113" t="s">
        <v>2816</v>
      </c>
    </row>
    <row r="384" spans="1:15" ht="70.05" customHeight="1" outlineLevel="1">
      <c r="A384" s="109" t="s">
        <v>4497</v>
      </c>
      <c r="B384" s="110" t="s">
        <v>4498</v>
      </c>
      <c r="C384" s="110" t="s">
        <v>4499</v>
      </c>
      <c r="D384" s="111" t="s">
        <v>4500</v>
      </c>
      <c r="E384" s="111" t="s">
        <v>4469</v>
      </c>
      <c r="F384" s="109" t="s">
        <v>346</v>
      </c>
      <c r="G384" s="109"/>
      <c r="H384" s="109"/>
      <c r="I384" s="109" t="s">
        <v>346</v>
      </c>
      <c r="J384" s="109"/>
      <c r="K384" s="109"/>
      <c r="L384" s="109" t="s">
        <v>346</v>
      </c>
      <c r="M384" s="109"/>
      <c r="N384" s="109"/>
      <c r="O384" s="113" t="s">
        <v>2816</v>
      </c>
    </row>
    <row r="385" spans="1:15" ht="70.05" customHeight="1" outlineLevel="1">
      <c r="A385" s="109" t="s">
        <v>4501</v>
      </c>
      <c r="B385" s="110" t="s">
        <v>4502</v>
      </c>
      <c r="C385" s="110" t="s">
        <v>4503</v>
      </c>
      <c r="D385" s="111" t="s">
        <v>4504</v>
      </c>
      <c r="E385" s="111" t="s">
        <v>4469</v>
      </c>
      <c r="F385" s="109" t="s">
        <v>346</v>
      </c>
      <c r="G385" s="109"/>
      <c r="H385" s="109"/>
      <c r="I385" s="109" t="s">
        <v>346</v>
      </c>
      <c r="J385" s="109"/>
      <c r="K385" s="109"/>
      <c r="L385" s="109" t="s">
        <v>346</v>
      </c>
      <c r="M385" s="109"/>
      <c r="N385" s="109"/>
      <c r="O385" s="113" t="s">
        <v>2816</v>
      </c>
    </row>
    <row r="386" spans="1:15" ht="70.05" customHeight="1" outlineLevel="1">
      <c r="A386" s="109" t="s">
        <v>4505</v>
      </c>
      <c r="B386" s="110" t="s">
        <v>4506</v>
      </c>
      <c r="C386" s="110" t="s">
        <v>4507</v>
      </c>
      <c r="D386" s="111" t="s">
        <v>4432</v>
      </c>
      <c r="E386" s="111" t="s">
        <v>4469</v>
      </c>
      <c r="F386" s="109" t="s">
        <v>346</v>
      </c>
      <c r="G386" s="109"/>
      <c r="H386" s="109"/>
      <c r="I386" s="109" t="s">
        <v>346</v>
      </c>
      <c r="J386" s="109"/>
      <c r="K386" s="109"/>
      <c r="L386" s="109" t="s">
        <v>346</v>
      </c>
      <c r="M386" s="109"/>
      <c r="N386" s="109"/>
      <c r="O386" s="113" t="s">
        <v>2816</v>
      </c>
    </row>
    <row r="387" spans="1:15" ht="70.05" customHeight="1" outlineLevel="1">
      <c r="A387" s="109" t="s">
        <v>4508</v>
      </c>
      <c r="B387" s="110" t="s">
        <v>4509</v>
      </c>
      <c r="C387" s="110" t="s">
        <v>4510</v>
      </c>
      <c r="D387" s="111" t="s">
        <v>4511</v>
      </c>
      <c r="E387" s="111" t="s">
        <v>4469</v>
      </c>
      <c r="F387" s="109" t="s">
        <v>346</v>
      </c>
      <c r="G387" s="109"/>
      <c r="H387" s="109"/>
      <c r="I387" s="109" t="s">
        <v>346</v>
      </c>
      <c r="J387" s="109"/>
      <c r="K387" s="109"/>
      <c r="L387" s="109" t="s">
        <v>346</v>
      </c>
      <c r="M387" s="109"/>
      <c r="N387" s="109"/>
      <c r="O387" s="113" t="s">
        <v>2816</v>
      </c>
    </row>
    <row r="388" spans="1:15" ht="70.05" customHeight="1" outlineLevel="1">
      <c r="A388" s="109" t="s">
        <v>4512</v>
      </c>
      <c r="B388" s="110" t="s">
        <v>4513</v>
      </c>
      <c r="C388" s="110" t="s">
        <v>4467</v>
      </c>
      <c r="D388" s="111" t="s">
        <v>4055</v>
      </c>
      <c r="E388" s="111" t="s">
        <v>4514</v>
      </c>
      <c r="F388" s="109" t="s">
        <v>346</v>
      </c>
      <c r="G388" s="109"/>
      <c r="H388" s="109"/>
      <c r="I388" s="109" t="s">
        <v>346</v>
      </c>
      <c r="J388" s="109"/>
      <c r="K388" s="109"/>
      <c r="L388" s="109" t="s">
        <v>346</v>
      </c>
      <c r="M388" s="109"/>
      <c r="N388" s="109"/>
      <c r="O388" s="113" t="s">
        <v>2816</v>
      </c>
    </row>
    <row r="389" spans="1:15" ht="70.05" customHeight="1" outlineLevel="1">
      <c r="A389" s="109" t="s">
        <v>4515</v>
      </c>
      <c r="B389" s="110" t="s">
        <v>4516</v>
      </c>
      <c r="C389" s="110" t="s">
        <v>4517</v>
      </c>
      <c r="D389" s="111" t="s">
        <v>4518</v>
      </c>
      <c r="E389" s="111" t="s">
        <v>4519</v>
      </c>
      <c r="F389" s="109" t="s">
        <v>346</v>
      </c>
      <c r="G389" s="109"/>
      <c r="H389" s="109"/>
      <c r="I389" s="109" t="s">
        <v>346</v>
      </c>
      <c r="J389" s="109"/>
      <c r="K389" s="109"/>
      <c r="L389" s="109" t="s">
        <v>346</v>
      </c>
      <c r="M389" s="109"/>
      <c r="N389" s="109"/>
      <c r="O389" s="113" t="s">
        <v>2816</v>
      </c>
    </row>
    <row r="390" spans="1:15" ht="70.05" customHeight="1" outlineLevel="1">
      <c r="A390" s="109" t="s">
        <v>4520</v>
      </c>
      <c r="B390" s="110" t="s">
        <v>4521</v>
      </c>
      <c r="C390" s="110" t="s">
        <v>4522</v>
      </c>
      <c r="D390" s="111" t="s">
        <v>4518</v>
      </c>
      <c r="E390" s="111" t="s">
        <v>4523</v>
      </c>
      <c r="F390" s="109" t="s">
        <v>346</v>
      </c>
      <c r="G390" s="109"/>
      <c r="H390" s="109"/>
      <c r="I390" s="109" t="s">
        <v>346</v>
      </c>
      <c r="J390" s="109"/>
      <c r="K390" s="109"/>
      <c r="L390" s="109" t="s">
        <v>346</v>
      </c>
      <c r="M390" s="109"/>
      <c r="N390" s="109"/>
      <c r="O390" s="113" t="s">
        <v>2816</v>
      </c>
    </row>
    <row r="391" spans="1:15" ht="70.05" customHeight="1" outlineLevel="1">
      <c r="A391" s="109" t="s">
        <v>4524</v>
      </c>
      <c r="B391" s="110" t="s">
        <v>4525</v>
      </c>
      <c r="C391" s="110" t="s">
        <v>4526</v>
      </c>
      <c r="D391" s="111" t="s">
        <v>4439</v>
      </c>
      <c r="E391" s="111" t="s">
        <v>4527</v>
      </c>
      <c r="F391" s="109" t="s">
        <v>346</v>
      </c>
      <c r="G391" s="109"/>
      <c r="H391" s="109"/>
      <c r="I391" s="109" t="s">
        <v>346</v>
      </c>
      <c r="J391" s="109"/>
      <c r="K391" s="109"/>
      <c r="L391" s="109" t="s">
        <v>346</v>
      </c>
      <c r="M391" s="109"/>
      <c r="N391" s="109"/>
      <c r="O391" s="113" t="s">
        <v>2816</v>
      </c>
    </row>
    <row r="392" spans="1:15" ht="70.05" customHeight="1" outlineLevel="1">
      <c r="A392" s="109" t="s">
        <v>4528</v>
      </c>
      <c r="B392" s="110" t="s">
        <v>4529</v>
      </c>
      <c r="C392" s="110" t="s">
        <v>4530</v>
      </c>
      <c r="D392" s="111" t="s">
        <v>4387</v>
      </c>
      <c r="E392" s="111" t="s">
        <v>4469</v>
      </c>
      <c r="F392" s="109" t="s">
        <v>346</v>
      </c>
      <c r="G392" s="109"/>
      <c r="H392" s="109"/>
      <c r="I392" s="109" t="s">
        <v>346</v>
      </c>
      <c r="J392" s="109"/>
      <c r="K392" s="109"/>
      <c r="L392" s="109" t="s">
        <v>346</v>
      </c>
      <c r="M392" s="109"/>
      <c r="N392" s="109"/>
      <c r="O392" s="113" t="s">
        <v>2816</v>
      </c>
    </row>
    <row r="393" spans="1:15" ht="70.05" customHeight="1" outlineLevel="1">
      <c r="A393" s="109" t="s">
        <v>4531</v>
      </c>
      <c r="B393" s="110" t="s">
        <v>4532</v>
      </c>
      <c r="C393" s="110" t="s">
        <v>4533</v>
      </c>
      <c r="D393" s="111" t="s">
        <v>4072</v>
      </c>
      <c r="E393" s="111" t="s">
        <v>4534</v>
      </c>
      <c r="F393" s="109" t="s">
        <v>346</v>
      </c>
      <c r="G393" s="109"/>
      <c r="H393" s="109"/>
      <c r="I393" s="109" t="s">
        <v>346</v>
      </c>
      <c r="J393" s="109"/>
      <c r="K393" s="109"/>
      <c r="L393" s="109" t="s">
        <v>346</v>
      </c>
      <c r="M393" s="109"/>
      <c r="N393" s="109"/>
      <c r="O393" s="113" t="s">
        <v>2816</v>
      </c>
    </row>
    <row r="394" spans="1:15" ht="70.05" customHeight="1" outlineLevel="1">
      <c r="A394" s="109" t="s">
        <v>4535</v>
      </c>
      <c r="B394" s="110" t="s">
        <v>4536</v>
      </c>
      <c r="C394" s="110" t="s">
        <v>4537</v>
      </c>
      <c r="D394" s="111" t="s">
        <v>4518</v>
      </c>
      <c r="E394" s="111" t="s">
        <v>4538</v>
      </c>
      <c r="F394" s="109" t="s">
        <v>346</v>
      </c>
      <c r="G394" s="109"/>
      <c r="H394" s="109"/>
      <c r="I394" s="109" t="s">
        <v>346</v>
      </c>
      <c r="J394" s="109"/>
      <c r="K394" s="109"/>
      <c r="L394" s="109" t="s">
        <v>346</v>
      </c>
      <c r="M394" s="109"/>
      <c r="N394" s="109"/>
      <c r="O394" s="113" t="s">
        <v>2816</v>
      </c>
    </row>
    <row r="395" spans="1:15" ht="15.75" customHeight="1">
      <c r="A395" s="60" t="s">
        <v>196</v>
      </c>
      <c r="B395" s="60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2"/>
    </row>
    <row r="396" spans="1:15" ht="70.05" customHeight="1" outlineLevel="1">
      <c r="A396" s="109" t="s">
        <v>4539</v>
      </c>
      <c r="B396" s="110" t="s">
        <v>4540</v>
      </c>
      <c r="C396" s="110" t="s">
        <v>4541</v>
      </c>
      <c r="D396" s="111" t="s">
        <v>4542</v>
      </c>
      <c r="E396" s="111" t="s">
        <v>4543</v>
      </c>
      <c r="F396" s="109" t="s">
        <v>346</v>
      </c>
      <c r="G396" s="109"/>
      <c r="H396" s="109"/>
      <c r="I396" s="109" t="s">
        <v>346</v>
      </c>
      <c r="J396" s="109"/>
      <c r="K396" s="109"/>
      <c r="L396" s="109" t="s">
        <v>346</v>
      </c>
      <c r="M396" s="109"/>
      <c r="N396" s="109"/>
      <c r="O396" s="113" t="s">
        <v>2816</v>
      </c>
    </row>
    <row r="397" spans="1:15" ht="70.05" customHeight="1" outlineLevel="1">
      <c r="A397" s="109" t="s">
        <v>4544</v>
      </c>
      <c r="B397" s="110" t="s">
        <v>4540</v>
      </c>
      <c r="C397" s="110" t="s">
        <v>4541</v>
      </c>
      <c r="D397" s="111" t="s">
        <v>4088</v>
      </c>
      <c r="E397" s="111" t="s">
        <v>4545</v>
      </c>
      <c r="F397" s="109" t="s">
        <v>346</v>
      </c>
      <c r="G397" s="109"/>
      <c r="H397" s="109"/>
      <c r="I397" s="109" t="s">
        <v>346</v>
      </c>
      <c r="J397" s="109"/>
      <c r="K397" s="109"/>
      <c r="L397" s="109" t="s">
        <v>346</v>
      </c>
      <c r="M397" s="109"/>
      <c r="N397" s="109"/>
      <c r="O397" s="113" t="s">
        <v>2816</v>
      </c>
    </row>
    <row r="398" spans="1:15" ht="70.05" customHeight="1" outlineLevel="1">
      <c r="A398" s="109" t="s">
        <v>4546</v>
      </c>
      <c r="B398" s="110" t="s">
        <v>4540</v>
      </c>
      <c r="C398" s="110" t="s">
        <v>4541</v>
      </c>
      <c r="D398" s="111" t="s">
        <v>4547</v>
      </c>
      <c r="E398" s="111" t="s">
        <v>4548</v>
      </c>
      <c r="F398" s="109" t="s">
        <v>346</v>
      </c>
      <c r="G398" s="109"/>
      <c r="H398" s="109"/>
      <c r="I398" s="109" t="s">
        <v>346</v>
      </c>
      <c r="J398" s="109"/>
      <c r="K398" s="109"/>
      <c r="L398" s="109" t="s">
        <v>346</v>
      </c>
      <c r="M398" s="109"/>
      <c r="N398" s="109"/>
      <c r="O398" s="113" t="s">
        <v>2816</v>
      </c>
    </row>
    <row r="399" spans="1:15" ht="70.05" customHeight="1" outlineLevel="1">
      <c r="A399" s="109" t="s">
        <v>4549</v>
      </c>
      <c r="B399" s="110" t="s">
        <v>4540</v>
      </c>
      <c r="C399" s="110" t="s">
        <v>4541</v>
      </c>
      <c r="D399" s="111" t="s">
        <v>4550</v>
      </c>
      <c r="E399" s="111" t="s">
        <v>4543</v>
      </c>
      <c r="F399" s="109" t="s">
        <v>346</v>
      </c>
      <c r="G399" s="109"/>
      <c r="H399" s="109"/>
      <c r="I399" s="109" t="s">
        <v>346</v>
      </c>
      <c r="J399" s="109"/>
      <c r="K399" s="109"/>
      <c r="L399" s="109" t="s">
        <v>346</v>
      </c>
      <c r="M399" s="109"/>
      <c r="N399" s="109"/>
      <c r="O399" s="113" t="s">
        <v>2816</v>
      </c>
    </row>
    <row r="400" spans="1:15" ht="70.05" customHeight="1" outlineLevel="1">
      <c r="A400" s="109" t="s">
        <v>4551</v>
      </c>
      <c r="B400" s="110" t="s">
        <v>4540</v>
      </c>
      <c r="C400" s="110" t="s">
        <v>4541</v>
      </c>
      <c r="D400" s="111" t="s">
        <v>4552</v>
      </c>
      <c r="E400" s="111" t="s">
        <v>4543</v>
      </c>
      <c r="F400" s="109" t="s">
        <v>346</v>
      </c>
      <c r="G400" s="109"/>
      <c r="H400" s="109"/>
      <c r="I400" s="109" t="s">
        <v>346</v>
      </c>
      <c r="J400" s="109"/>
      <c r="K400" s="109"/>
      <c r="L400" s="109" t="s">
        <v>346</v>
      </c>
      <c r="M400" s="109"/>
      <c r="N400" s="109"/>
      <c r="O400" s="113" t="s">
        <v>2816</v>
      </c>
    </row>
    <row r="401" spans="1:15" ht="70.05" customHeight="1" outlineLevel="1">
      <c r="A401" s="109" t="s">
        <v>4553</v>
      </c>
      <c r="B401" s="110" t="s">
        <v>4540</v>
      </c>
      <c r="C401" s="110" t="s">
        <v>4541</v>
      </c>
      <c r="D401" s="111" t="s">
        <v>4554</v>
      </c>
      <c r="E401" s="111" t="s">
        <v>4555</v>
      </c>
      <c r="F401" s="109" t="s">
        <v>346</v>
      </c>
      <c r="G401" s="109"/>
      <c r="H401" s="109"/>
      <c r="I401" s="109" t="s">
        <v>346</v>
      </c>
      <c r="J401" s="109"/>
      <c r="K401" s="109"/>
      <c r="L401" s="109" t="s">
        <v>346</v>
      </c>
      <c r="M401" s="109"/>
      <c r="N401" s="109"/>
      <c r="O401" s="113" t="s">
        <v>2816</v>
      </c>
    </row>
    <row r="402" spans="1:15" ht="70.05" customHeight="1" outlineLevel="1">
      <c r="A402" s="109" t="s">
        <v>4556</v>
      </c>
      <c r="B402" s="110" t="s">
        <v>4540</v>
      </c>
      <c r="C402" s="110" t="s">
        <v>4541</v>
      </c>
      <c r="D402" s="111" t="s">
        <v>4557</v>
      </c>
      <c r="E402" s="111" t="s">
        <v>4558</v>
      </c>
      <c r="F402" s="109" t="s">
        <v>346</v>
      </c>
      <c r="G402" s="109"/>
      <c r="H402" s="109"/>
      <c r="I402" s="109" t="s">
        <v>346</v>
      </c>
      <c r="J402" s="109"/>
      <c r="K402" s="109"/>
      <c r="L402" s="109" t="s">
        <v>346</v>
      </c>
      <c r="M402" s="109"/>
      <c r="N402" s="109"/>
      <c r="O402" s="113" t="s">
        <v>2816</v>
      </c>
    </row>
    <row r="403" spans="1:15" ht="70.05" customHeight="1" outlineLevel="1">
      <c r="A403" s="109" t="s">
        <v>4559</v>
      </c>
      <c r="B403" s="110" t="s">
        <v>4560</v>
      </c>
      <c r="C403" s="110" t="s">
        <v>4541</v>
      </c>
      <c r="D403" s="111" t="s">
        <v>4561</v>
      </c>
      <c r="E403" s="111" t="s">
        <v>4562</v>
      </c>
      <c r="F403" s="109" t="s">
        <v>346</v>
      </c>
      <c r="G403" s="109"/>
      <c r="H403" s="109"/>
      <c r="I403" s="109" t="s">
        <v>346</v>
      </c>
      <c r="J403" s="109"/>
      <c r="K403" s="109"/>
      <c r="L403" s="109" t="s">
        <v>346</v>
      </c>
      <c r="M403" s="109"/>
      <c r="N403" s="109"/>
      <c r="O403" s="113" t="s">
        <v>2816</v>
      </c>
    </row>
    <row r="404" spans="1:15" ht="70.05" customHeight="1" outlineLevel="1">
      <c r="A404" s="109" t="s">
        <v>4563</v>
      </c>
      <c r="B404" s="110" t="s">
        <v>4560</v>
      </c>
      <c r="C404" s="110" t="s">
        <v>4541</v>
      </c>
      <c r="D404" s="111" t="s">
        <v>4112</v>
      </c>
      <c r="E404" s="111" t="s">
        <v>4564</v>
      </c>
      <c r="F404" s="109" t="s">
        <v>346</v>
      </c>
      <c r="G404" s="109"/>
      <c r="H404" s="109"/>
      <c r="I404" s="109" t="s">
        <v>346</v>
      </c>
      <c r="J404" s="109"/>
      <c r="K404" s="109"/>
      <c r="L404" s="109" t="s">
        <v>346</v>
      </c>
      <c r="M404" s="109"/>
      <c r="N404" s="109"/>
      <c r="O404" s="113" t="s">
        <v>2816</v>
      </c>
    </row>
    <row r="405" spans="1:15" ht="70.05" customHeight="1" outlineLevel="1">
      <c r="A405" s="109" t="s">
        <v>4565</v>
      </c>
      <c r="B405" s="110" t="s">
        <v>4560</v>
      </c>
      <c r="C405" s="110" t="s">
        <v>4541</v>
      </c>
      <c r="D405" s="111" t="s">
        <v>4566</v>
      </c>
      <c r="E405" s="111" t="s">
        <v>4543</v>
      </c>
      <c r="F405" s="109" t="s">
        <v>346</v>
      </c>
      <c r="G405" s="109"/>
      <c r="H405" s="109"/>
      <c r="I405" s="109" t="s">
        <v>346</v>
      </c>
      <c r="J405" s="109"/>
      <c r="K405" s="109"/>
      <c r="L405" s="109" t="s">
        <v>346</v>
      </c>
      <c r="M405" s="109"/>
      <c r="N405" s="109"/>
      <c r="O405" s="113" t="s">
        <v>2816</v>
      </c>
    </row>
    <row r="406" spans="1:15" ht="70.05" customHeight="1" outlineLevel="1">
      <c r="A406" s="109" t="s">
        <v>4567</v>
      </c>
      <c r="B406" s="110" t="s">
        <v>4568</v>
      </c>
      <c r="C406" s="110" t="s">
        <v>4541</v>
      </c>
      <c r="D406" s="111" t="s">
        <v>4055</v>
      </c>
      <c r="E406" s="111" t="s">
        <v>4569</v>
      </c>
      <c r="F406" s="109" t="s">
        <v>346</v>
      </c>
      <c r="G406" s="109"/>
      <c r="H406" s="109"/>
      <c r="I406" s="109" t="s">
        <v>346</v>
      </c>
      <c r="J406" s="109"/>
      <c r="K406" s="109"/>
      <c r="L406" s="109" t="s">
        <v>346</v>
      </c>
      <c r="M406" s="109"/>
      <c r="N406" s="109"/>
      <c r="O406" s="113" t="s">
        <v>2816</v>
      </c>
    </row>
    <row r="407" spans="1:15" ht="70.05" customHeight="1" outlineLevel="1">
      <c r="A407" s="109" t="s">
        <v>4570</v>
      </c>
      <c r="B407" s="110" t="s">
        <v>4571</v>
      </c>
      <c r="C407" s="110" t="s">
        <v>4572</v>
      </c>
      <c r="D407" s="111" t="s">
        <v>4518</v>
      </c>
      <c r="E407" s="111" t="s">
        <v>4573</v>
      </c>
      <c r="F407" s="109" t="s">
        <v>346</v>
      </c>
      <c r="G407" s="109"/>
      <c r="H407" s="109"/>
      <c r="I407" s="109" t="s">
        <v>346</v>
      </c>
      <c r="J407" s="109"/>
      <c r="K407" s="109"/>
      <c r="L407" s="109" t="s">
        <v>346</v>
      </c>
      <c r="M407" s="109"/>
      <c r="N407" s="109"/>
      <c r="O407" s="113" t="s">
        <v>2816</v>
      </c>
    </row>
    <row r="408" spans="1:15" ht="70.05" customHeight="1" outlineLevel="1">
      <c r="A408" s="109" t="s">
        <v>4574</v>
      </c>
      <c r="B408" s="110" t="s">
        <v>4575</v>
      </c>
      <c r="C408" s="110" t="s">
        <v>4576</v>
      </c>
      <c r="D408" s="111" t="s">
        <v>4518</v>
      </c>
      <c r="E408" s="111" t="s">
        <v>4577</v>
      </c>
      <c r="F408" s="109" t="s">
        <v>346</v>
      </c>
      <c r="G408" s="109"/>
      <c r="H408" s="109"/>
      <c r="I408" s="109" t="s">
        <v>346</v>
      </c>
      <c r="J408" s="109"/>
      <c r="K408" s="109"/>
      <c r="L408" s="109" t="s">
        <v>346</v>
      </c>
      <c r="M408" s="109"/>
      <c r="N408" s="109"/>
      <c r="O408" s="113" t="s">
        <v>2816</v>
      </c>
    </row>
    <row r="409" spans="1:15" ht="70.05" customHeight="1" outlineLevel="1">
      <c r="A409" s="109" t="s">
        <v>4578</v>
      </c>
      <c r="B409" s="110" t="s">
        <v>4579</v>
      </c>
      <c r="C409" s="110" t="s">
        <v>4580</v>
      </c>
      <c r="D409" s="111" t="s">
        <v>4072</v>
      </c>
      <c r="E409" s="111" t="s">
        <v>4464</v>
      </c>
      <c r="F409" s="109" t="s">
        <v>346</v>
      </c>
      <c r="G409" s="109"/>
      <c r="H409" s="109"/>
      <c r="I409" s="109" t="s">
        <v>346</v>
      </c>
      <c r="J409" s="109"/>
      <c r="K409" s="109"/>
      <c r="L409" s="109" t="s">
        <v>346</v>
      </c>
      <c r="M409" s="109"/>
      <c r="N409" s="109"/>
      <c r="O409" s="113" t="s">
        <v>2816</v>
      </c>
    </row>
    <row r="410" spans="1:15" ht="70.05" customHeight="1" outlineLevel="1">
      <c r="A410" s="109" t="s">
        <v>4581</v>
      </c>
      <c r="B410" s="110" t="s">
        <v>4582</v>
      </c>
      <c r="C410" s="110" t="s">
        <v>4583</v>
      </c>
      <c r="D410" s="111" t="s">
        <v>4518</v>
      </c>
      <c r="E410" s="111" t="s">
        <v>4584</v>
      </c>
      <c r="F410" s="109" t="s">
        <v>346</v>
      </c>
      <c r="G410" s="109"/>
      <c r="H410" s="109"/>
      <c r="I410" s="109" t="s">
        <v>346</v>
      </c>
      <c r="J410" s="109"/>
      <c r="K410" s="109"/>
      <c r="L410" s="109" t="s">
        <v>346</v>
      </c>
      <c r="M410" s="109"/>
      <c r="N410" s="109"/>
      <c r="O410" s="113" t="s">
        <v>2816</v>
      </c>
    </row>
    <row r="411" spans="1:15" ht="70.05" customHeight="1" outlineLevel="1">
      <c r="A411" s="109" t="s">
        <v>4585</v>
      </c>
      <c r="B411" s="110" t="s">
        <v>4568</v>
      </c>
      <c r="C411" s="110" t="s">
        <v>4541</v>
      </c>
      <c r="D411" s="111" t="s">
        <v>4136</v>
      </c>
      <c r="E411" s="111" t="s">
        <v>4586</v>
      </c>
      <c r="F411" s="109" t="s">
        <v>346</v>
      </c>
      <c r="G411" s="109"/>
      <c r="H411" s="109"/>
      <c r="I411" s="109" t="s">
        <v>346</v>
      </c>
      <c r="J411" s="109"/>
      <c r="K411" s="109"/>
      <c r="L411" s="109" t="s">
        <v>346</v>
      </c>
      <c r="M411" s="109"/>
      <c r="N411" s="109"/>
      <c r="O411" s="113" t="s">
        <v>2816</v>
      </c>
    </row>
    <row r="412" spans="1:15" ht="15.75" customHeight="1">
      <c r="A412" s="60" t="s">
        <v>198</v>
      </c>
      <c r="B412" s="60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2"/>
    </row>
    <row r="413" spans="1:15" ht="70.05" customHeight="1" outlineLevel="1">
      <c r="A413" s="109" t="s">
        <v>4587</v>
      </c>
      <c r="B413" s="110" t="s">
        <v>4588</v>
      </c>
      <c r="C413" s="110" t="s">
        <v>4589</v>
      </c>
      <c r="D413" s="111" t="s">
        <v>4590</v>
      </c>
      <c r="E413" s="111" t="s">
        <v>4591</v>
      </c>
      <c r="F413" s="109" t="s">
        <v>346</v>
      </c>
      <c r="G413" s="109"/>
      <c r="H413" s="109"/>
      <c r="I413" s="109" t="s">
        <v>346</v>
      </c>
      <c r="J413" s="109"/>
      <c r="K413" s="109"/>
      <c r="L413" s="109" t="s">
        <v>346</v>
      </c>
      <c r="M413" s="109"/>
      <c r="N413" s="109"/>
      <c r="O413" s="113" t="s">
        <v>2816</v>
      </c>
    </row>
    <row r="414" spans="1:15" ht="70.05" customHeight="1" outlineLevel="1">
      <c r="A414" s="109" t="s">
        <v>4592</v>
      </c>
      <c r="B414" s="110" t="s">
        <v>4593</v>
      </c>
      <c r="C414" s="110" t="s">
        <v>4594</v>
      </c>
      <c r="D414" s="111" t="s">
        <v>4595</v>
      </c>
      <c r="E414" s="111" t="s">
        <v>4596</v>
      </c>
      <c r="F414" s="109" t="s">
        <v>346</v>
      </c>
      <c r="G414" s="109"/>
      <c r="H414" s="109"/>
      <c r="I414" s="109" t="s">
        <v>346</v>
      </c>
      <c r="J414" s="109"/>
      <c r="K414" s="109"/>
      <c r="L414" s="109" t="s">
        <v>346</v>
      </c>
      <c r="M414" s="109"/>
      <c r="N414" s="109"/>
      <c r="O414" s="113" t="s">
        <v>2816</v>
      </c>
    </row>
    <row r="415" spans="1:15" ht="70.05" customHeight="1" outlineLevel="1">
      <c r="A415" s="109" t="s">
        <v>4597</v>
      </c>
      <c r="B415" s="110" t="s">
        <v>4598</v>
      </c>
      <c r="C415" s="110" t="s">
        <v>4599</v>
      </c>
      <c r="D415" s="111" t="s">
        <v>4595</v>
      </c>
      <c r="E415" s="111" t="s">
        <v>4600</v>
      </c>
      <c r="F415" s="109" t="s">
        <v>346</v>
      </c>
      <c r="G415" s="109"/>
      <c r="H415" s="109"/>
      <c r="I415" s="109" t="s">
        <v>346</v>
      </c>
      <c r="J415" s="109"/>
      <c r="K415" s="109"/>
      <c r="L415" s="109" t="s">
        <v>346</v>
      </c>
      <c r="M415" s="109"/>
      <c r="N415" s="109"/>
      <c r="O415" s="113" t="s">
        <v>2816</v>
      </c>
    </row>
    <row r="416" spans="1:15" ht="70.05" customHeight="1" outlineLevel="1">
      <c r="A416" s="109" t="s">
        <v>4601</v>
      </c>
      <c r="B416" s="110" t="s">
        <v>4602</v>
      </c>
      <c r="C416" s="110" t="s">
        <v>4603</v>
      </c>
      <c r="D416" s="111" t="s">
        <v>4604</v>
      </c>
      <c r="E416" s="111" t="s">
        <v>4605</v>
      </c>
      <c r="F416" s="109" t="s">
        <v>346</v>
      </c>
      <c r="G416" s="109"/>
      <c r="H416" s="109"/>
      <c r="I416" s="109" t="s">
        <v>346</v>
      </c>
      <c r="J416" s="109"/>
      <c r="K416" s="109"/>
      <c r="L416" s="109" t="s">
        <v>346</v>
      </c>
      <c r="M416" s="109"/>
      <c r="N416" s="109"/>
      <c r="O416" s="113" t="s">
        <v>2816</v>
      </c>
    </row>
    <row r="417" spans="1:15" ht="70.05" customHeight="1" outlineLevel="1">
      <c r="A417" s="109" t="s">
        <v>4606</v>
      </c>
      <c r="B417" s="110" t="s">
        <v>4607</v>
      </c>
      <c r="C417" s="110" t="s">
        <v>4608</v>
      </c>
      <c r="D417" s="111" t="s">
        <v>4609</v>
      </c>
      <c r="E417" s="111" t="s">
        <v>4591</v>
      </c>
      <c r="F417" s="109" t="s">
        <v>346</v>
      </c>
      <c r="G417" s="109"/>
      <c r="H417" s="109"/>
      <c r="I417" s="109" t="s">
        <v>346</v>
      </c>
      <c r="J417" s="109"/>
      <c r="K417" s="109"/>
      <c r="L417" s="109" t="s">
        <v>346</v>
      </c>
      <c r="M417" s="109"/>
      <c r="N417" s="109"/>
      <c r="O417" s="113" t="s">
        <v>2816</v>
      </c>
    </row>
    <row r="418" spans="1:15" ht="70.05" customHeight="1" outlineLevel="1">
      <c r="A418" s="109" t="s">
        <v>4610</v>
      </c>
      <c r="B418" s="110" t="s">
        <v>4611</v>
      </c>
      <c r="C418" s="110" t="s">
        <v>4612</v>
      </c>
      <c r="D418" s="111" t="s">
        <v>4613</v>
      </c>
      <c r="E418" s="111" t="s">
        <v>4591</v>
      </c>
      <c r="F418" s="109" t="s">
        <v>346</v>
      </c>
      <c r="G418" s="109"/>
      <c r="H418" s="109"/>
      <c r="I418" s="109" t="s">
        <v>346</v>
      </c>
      <c r="J418" s="109"/>
      <c r="K418" s="109"/>
      <c r="L418" s="109" t="s">
        <v>346</v>
      </c>
      <c r="M418" s="109"/>
      <c r="N418" s="109"/>
      <c r="O418" s="113" t="s">
        <v>2816</v>
      </c>
    </row>
    <row r="419" spans="1:15" ht="70.05" customHeight="1" outlineLevel="1">
      <c r="A419" s="109" t="s">
        <v>4614</v>
      </c>
      <c r="B419" s="110" t="s">
        <v>4615</v>
      </c>
      <c r="C419" s="110" t="s">
        <v>4616</v>
      </c>
      <c r="D419" s="111" t="s">
        <v>4617</v>
      </c>
      <c r="E419" s="111" t="s">
        <v>4618</v>
      </c>
      <c r="F419" s="109" t="s">
        <v>346</v>
      </c>
      <c r="G419" s="109"/>
      <c r="H419" s="109"/>
      <c r="I419" s="109" t="s">
        <v>346</v>
      </c>
      <c r="J419" s="109"/>
      <c r="K419" s="109"/>
      <c r="L419" s="109" t="s">
        <v>346</v>
      </c>
      <c r="M419" s="109"/>
      <c r="N419" s="109"/>
      <c r="O419" s="113" t="s">
        <v>2816</v>
      </c>
    </row>
    <row r="420" spans="1:15" ht="70.05" customHeight="1" outlineLevel="1">
      <c r="A420" s="109" t="s">
        <v>4619</v>
      </c>
      <c r="B420" s="110" t="s">
        <v>4620</v>
      </c>
      <c r="C420" s="110" t="s">
        <v>4621</v>
      </c>
      <c r="D420" s="111" t="s">
        <v>4622</v>
      </c>
      <c r="E420" s="111" t="s">
        <v>4591</v>
      </c>
      <c r="F420" s="109" t="s">
        <v>346</v>
      </c>
      <c r="G420" s="109"/>
      <c r="H420" s="109"/>
      <c r="I420" s="109" t="s">
        <v>346</v>
      </c>
      <c r="J420" s="109"/>
      <c r="K420" s="109"/>
      <c r="L420" s="109" t="s">
        <v>346</v>
      </c>
      <c r="M420" s="109"/>
      <c r="N420" s="109"/>
      <c r="O420" s="113" t="s">
        <v>2816</v>
      </c>
    </row>
    <row r="421" spans="1:15" ht="70.05" customHeight="1" outlineLevel="1">
      <c r="A421" s="109" t="s">
        <v>4623</v>
      </c>
      <c r="B421" s="110" t="s">
        <v>4624</v>
      </c>
      <c r="C421" s="110" t="s">
        <v>4625</v>
      </c>
      <c r="D421" s="111" t="s">
        <v>4626</v>
      </c>
      <c r="E421" s="111" t="s">
        <v>4591</v>
      </c>
      <c r="F421" s="109" t="s">
        <v>346</v>
      </c>
      <c r="G421" s="109"/>
      <c r="H421" s="109"/>
      <c r="I421" s="109" t="s">
        <v>346</v>
      </c>
      <c r="J421" s="109"/>
      <c r="K421" s="109"/>
      <c r="L421" s="109" t="s">
        <v>346</v>
      </c>
      <c r="M421" s="109"/>
      <c r="N421" s="109"/>
      <c r="O421" s="113" t="s">
        <v>2816</v>
      </c>
    </row>
    <row r="422" spans="1:15" ht="70.05" customHeight="1" outlineLevel="1">
      <c r="A422" s="109" t="s">
        <v>4627</v>
      </c>
      <c r="B422" s="110" t="s">
        <v>4628</v>
      </c>
      <c r="C422" s="110" t="s">
        <v>4629</v>
      </c>
      <c r="D422" s="111" t="s">
        <v>4630</v>
      </c>
      <c r="E422" s="111" t="s">
        <v>4591</v>
      </c>
      <c r="F422" s="109" t="s">
        <v>346</v>
      </c>
      <c r="G422" s="109"/>
      <c r="H422" s="109"/>
      <c r="I422" s="109" t="s">
        <v>346</v>
      </c>
      <c r="J422" s="109"/>
      <c r="K422" s="109"/>
      <c r="L422" s="109" t="s">
        <v>346</v>
      </c>
      <c r="M422" s="109"/>
      <c r="N422" s="109"/>
      <c r="O422" s="113" t="s">
        <v>2816</v>
      </c>
    </row>
    <row r="423" spans="1:15" ht="70.05" customHeight="1" outlineLevel="1">
      <c r="A423" s="109" t="s">
        <v>4631</v>
      </c>
      <c r="B423" s="110" t="s">
        <v>4632</v>
      </c>
      <c r="C423" s="110" t="s">
        <v>4633</v>
      </c>
      <c r="D423" s="111" t="s">
        <v>4634</v>
      </c>
      <c r="E423" s="111" t="s">
        <v>4591</v>
      </c>
      <c r="F423" s="109" t="s">
        <v>346</v>
      </c>
      <c r="G423" s="109"/>
      <c r="H423" s="109"/>
      <c r="I423" s="109" t="s">
        <v>346</v>
      </c>
      <c r="J423" s="109"/>
      <c r="K423" s="109"/>
      <c r="L423" s="109" t="s">
        <v>346</v>
      </c>
      <c r="M423" s="109"/>
      <c r="N423" s="109"/>
      <c r="O423" s="113" t="s">
        <v>2816</v>
      </c>
    </row>
    <row r="424" spans="1:15" ht="70.05" customHeight="1" outlineLevel="1">
      <c r="A424" s="109" t="s">
        <v>4635</v>
      </c>
      <c r="B424" s="110" t="s">
        <v>4636</v>
      </c>
      <c r="C424" s="110" t="s">
        <v>4637</v>
      </c>
      <c r="D424" s="111" t="s">
        <v>4330</v>
      </c>
      <c r="E424" s="111" t="s">
        <v>4638</v>
      </c>
      <c r="F424" s="109" t="s">
        <v>346</v>
      </c>
      <c r="G424" s="109"/>
      <c r="H424" s="109"/>
      <c r="I424" s="109" t="s">
        <v>346</v>
      </c>
      <c r="J424" s="109"/>
      <c r="K424" s="109"/>
      <c r="L424" s="109" t="s">
        <v>346</v>
      </c>
      <c r="M424" s="109"/>
      <c r="N424" s="109"/>
      <c r="O424" s="113" t="s">
        <v>2816</v>
      </c>
    </row>
    <row r="425" spans="1:15" ht="70.05" customHeight="1" outlineLevel="1">
      <c r="A425" s="109" t="s">
        <v>4639</v>
      </c>
      <c r="B425" s="110" t="s">
        <v>4640</v>
      </c>
      <c r="C425" s="110" t="s">
        <v>4641</v>
      </c>
      <c r="D425" s="111" t="s">
        <v>4325</v>
      </c>
      <c r="E425" s="111" t="s">
        <v>4642</v>
      </c>
      <c r="F425" s="109" t="s">
        <v>346</v>
      </c>
      <c r="G425" s="109"/>
      <c r="H425" s="109"/>
      <c r="I425" s="109" t="s">
        <v>346</v>
      </c>
      <c r="J425" s="109"/>
      <c r="K425" s="109"/>
      <c r="L425" s="109" t="s">
        <v>346</v>
      </c>
      <c r="M425" s="109"/>
      <c r="N425" s="109"/>
      <c r="O425" s="113" t="s">
        <v>2816</v>
      </c>
    </row>
    <row r="426" spans="1:15" ht="70.05" customHeight="1" outlineLevel="1">
      <c r="A426" s="109" t="s">
        <v>4643</v>
      </c>
      <c r="B426" s="110" t="s">
        <v>4644</v>
      </c>
      <c r="C426" s="110" t="s">
        <v>4616</v>
      </c>
      <c r="D426" s="111" t="s">
        <v>4055</v>
      </c>
      <c r="E426" s="111" t="s">
        <v>4645</v>
      </c>
      <c r="F426" s="109" t="s">
        <v>346</v>
      </c>
      <c r="G426" s="109"/>
      <c r="H426" s="109"/>
      <c r="I426" s="109" t="s">
        <v>346</v>
      </c>
      <c r="J426" s="109"/>
      <c r="K426" s="109"/>
      <c r="L426" s="109" t="s">
        <v>346</v>
      </c>
      <c r="M426" s="109"/>
      <c r="N426" s="109"/>
      <c r="O426" s="113" t="s">
        <v>2816</v>
      </c>
    </row>
    <row r="427" spans="1:15" ht="70.05" customHeight="1" outlineLevel="1">
      <c r="A427" s="109" t="s">
        <v>4646</v>
      </c>
      <c r="B427" s="110" t="s">
        <v>4647</v>
      </c>
      <c r="C427" s="110" t="s">
        <v>4648</v>
      </c>
      <c r="D427" s="111" t="s">
        <v>4634</v>
      </c>
      <c r="E427" s="111" t="s">
        <v>4591</v>
      </c>
      <c r="F427" s="109" t="s">
        <v>346</v>
      </c>
      <c r="G427" s="109"/>
      <c r="H427" s="109"/>
      <c r="I427" s="109" t="s">
        <v>346</v>
      </c>
      <c r="J427" s="109"/>
      <c r="K427" s="109"/>
      <c r="L427" s="109" t="s">
        <v>346</v>
      </c>
      <c r="M427" s="109"/>
      <c r="N427" s="109"/>
      <c r="O427" s="113" t="s">
        <v>2816</v>
      </c>
    </row>
    <row r="428" spans="1:15" ht="70.05" customHeight="1" outlineLevel="1">
      <c r="A428" s="109" t="s">
        <v>4649</v>
      </c>
      <c r="B428" s="110" t="s">
        <v>4644</v>
      </c>
      <c r="C428" s="110" t="s">
        <v>4650</v>
      </c>
      <c r="D428" s="111" t="s">
        <v>4651</v>
      </c>
      <c r="E428" s="111" t="s">
        <v>4591</v>
      </c>
      <c r="F428" s="109" t="s">
        <v>346</v>
      </c>
      <c r="G428" s="109"/>
      <c r="H428" s="109"/>
      <c r="I428" s="109" t="s">
        <v>346</v>
      </c>
      <c r="J428" s="109"/>
      <c r="K428" s="109"/>
      <c r="L428" s="109" t="s">
        <v>346</v>
      </c>
      <c r="M428" s="109"/>
      <c r="N428" s="109"/>
      <c r="O428" s="113" t="s">
        <v>2816</v>
      </c>
    </row>
    <row r="429" spans="1:15" ht="70.05" customHeight="1" outlineLevel="1">
      <c r="A429" s="109" t="s">
        <v>4652</v>
      </c>
      <c r="B429" s="110" t="s">
        <v>4653</v>
      </c>
      <c r="C429" s="110" t="s">
        <v>4654</v>
      </c>
      <c r="D429" s="111" t="s">
        <v>4072</v>
      </c>
      <c r="E429" s="111" t="s">
        <v>4655</v>
      </c>
      <c r="F429" s="109" t="s">
        <v>346</v>
      </c>
      <c r="G429" s="109"/>
      <c r="H429" s="109"/>
      <c r="I429" s="109" t="s">
        <v>346</v>
      </c>
      <c r="J429" s="109"/>
      <c r="K429" s="109"/>
      <c r="L429" s="109" t="s">
        <v>346</v>
      </c>
      <c r="M429" s="109"/>
      <c r="N429" s="109"/>
      <c r="O429" s="113" t="s">
        <v>2816</v>
      </c>
    </row>
    <row r="430" spans="1:15" ht="70.05" customHeight="1" outlineLevel="1">
      <c r="A430" s="109" t="s">
        <v>4656</v>
      </c>
      <c r="B430" s="110" t="s">
        <v>4657</v>
      </c>
      <c r="C430" s="110" t="s">
        <v>4658</v>
      </c>
      <c r="D430" s="111" t="s">
        <v>4325</v>
      </c>
      <c r="E430" s="111" t="s">
        <v>4659</v>
      </c>
      <c r="F430" s="109" t="s">
        <v>346</v>
      </c>
      <c r="G430" s="109"/>
      <c r="H430" s="109"/>
      <c r="I430" s="109" t="s">
        <v>346</v>
      </c>
      <c r="J430" s="109"/>
      <c r="K430" s="109"/>
      <c r="L430" s="109" t="s">
        <v>346</v>
      </c>
      <c r="M430" s="109"/>
      <c r="N430" s="109"/>
      <c r="O430" s="113" t="s">
        <v>2816</v>
      </c>
    </row>
    <row r="431" spans="1:15" ht="15.75" customHeight="1">
      <c r="A431" s="60" t="s">
        <v>201</v>
      </c>
      <c r="B431" s="60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2"/>
    </row>
    <row r="432" spans="1:15" ht="70.05" customHeight="1" outlineLevel="1">
      <c r="A432" s="109" t="s">
        <v>4660</v>
      </c>
      <c r="B432" s="110" t="s">
        <v>4661</v>
      </c>
      <c r="C432" s="110" t="s">
        <v>4662</v>
      </c>
      <c r="D432" s="111" t="s">
        <v>4663</v>
      </c>
      <c r="E432" s="111" t="s">
        <v>4664</v>
      </c>
      <c r="F432" s="109" t="s">
        <v>346</v>
      </c>
      <c r="G432" s="109"/>
      <c r="H432" s="109"/>
      <c r="I432" s="109" t="s">
        <v>346</v>
      </c>
      <c r="J432" s="109"/>
      <c r="K432" s="109"/>
      <c r="L432" s="109" t="s">
        <v>346</v>
      </c>
      <c r="M432" s="109"/>
      <c r="N432" s="109"/>
      <c r="O432" s="113" t="s">
        <v>2816</v>
      </c>
    </row>
    <row r="433" spans="1:15" ht="70.05" customHeight="1" outlineLevel="1">
      <c r="A433" s="109" t="s">
        <v>4665</v>
      </c>
      <c r="B433" s="110" t="s">
        <v>4666</v>
      </c>
      <c r="C433" s="110" t="s">
        <v>4667</v>
      </c>
      <c r="D433" s="111" t="s">
        <v>4668</v>
      </c>
      <c r="E433" s="111" t="s">
        <v>4664</v>
      </c>
      <c r="F433" s="109" t="s">
        <v>346</v>
      </c>
      <c r="G433" s="109"/>
      <c r="H433" s="109"/>
      <c r="I433" s="109" t="s">
        <v>346</v>
      </c>
      <c r="J433" s="109"/>
      <c r="K433" s="109"/>
      <c r="L433" s="109" t="s">
        <v>346</v>
      </c>
      <c r="M433" s="109"/>
      <c r="N433" s="109"/>
      <c r="O433" s="113" t="s">
        <v>2816</v>
      </c>
    </row>
    <row r="434" spans="1:15" ht="70.05" customHeight="1" outlineLevel="1">
      <c r="A434" s="109" t="s">
        <v>4669</v>
      </c>
      <c r="B434" s="110" t="s">
        <v>4670</v>
      </c>
      <c r="C434" s="110" t="s">
        <v>4671</v>
      </c>
      <c r="D434" s="111" t="s">
        <v>4672</v>
      </c>
      <c r="E434" s="111" t="s">
        <v>4673</v>
      </c>
      <c r="F434" s="109" t="s">
        <v>346</v>
      </c>
      <c r="G434" s="109"/>
      <c r="H434" s="109"/>
      <c r="I434" s="109" t="s">
        <v>346</v>
      </c>
      <c r="J434" s="109"/>
      <c r="K434" s="109"/>
      <c r="L434" s="109" t="s">
        <v>346</v>
      </c>
      <c r="M434" s="109"/>
      <c r="N434" s="109"/>
      <c r="O434" s="113" t="s">
        <v>2816</v>
      </c>
    </row>
    <row r="435" spans="1:15" ht="70.05" customHeight="1" outlineLevel="1">
      <c r="A435" s="109" t="s">
        <v>4674</v>
      </c>
      <c r="B435" s="110" t="s">
        <v>4675</v>
      </c>
      <c r="C435" s="110" t="s">
        <v>4676</v>
      </c>
      <c r="D435" s="111" t="s">
        <v>4677</v>
      </c>
      <c r="E435" s="111" t="s">
        <v>4664</v>
      </c>
      <c r="F435" s="109" t="s">
        <v>346</v>
      </c>
      <c r="G435" s="109"/>
      <c r="H435" s="109"/>
      <c r="I435" s="109" t="s">
        <v>346</v>
      </c>
      <c r="J435" s="109"/>
      <c r="K435" s="109"/>
      <c r="L435" s="109" t="s">
        <v>346</v>
      </c>
      <c r="M435" s="109"/>
      <c r="N435" s="109"/>
      <c r="O435" s="113" t="s">
        <v>2816</v>
      </c>
    </row>
    <row r="436" spans="1:15" ht="70.05" customHeight="1" outlineLevel="1">
      <c r="A436" s="109" t="s">
        <v>4678</v>
      </c>
      <c r="B436" s="110" t="s">
        <v>4679</v>
      </c>
      <c r="C436" s="110" t="s">
        <v>4680</v>
      </c>
      <c r="D436" s="111" t="s">
        <v>4681</v>
      </c>
      <c r="E436" s="111" t="s">
        <v>4664</v>
      </c>
      <c r="F436" s="109" t="s">
        <v>346</v>
      </c>
      <c r="G436" s="109"/>
      <c r="H436" s="109"/>
      <c r="I436" s="109" t="s">
        <v>346</v>
      </c>
      <c r="J436" s="109"/>
      <c r="K436" s="109"/>
      <c r="L436" s="109" t="s">
        <v>346</v>
      </c>
      <c r="M436" s="109"/>
      <c r="N436" s="109"/>
      <c r="O436" s="113" t="s">
        <v>2816</v>
      </c>
    </row>
    <row r="437" spans="1:15" ht="70.05" customHeight="1" outlineLevel="1">
      <c r="A437" s="109" t="s">
        <v>4682</v>
      </c>
      <c r="B437" s="110" t="s">
        <v>4683</v>
      </c>
      <c r="C437" s="110" t="s">
        <v>4684</v>
      </c>
      <c r="D437" s="111" t="s">
        <v>4685</v>
      </c>
      <c r="E437" s="111" t="s">
        <v>4664</v>
      </c>
      <c r="F437" s="109" t="s">
        <v>346</v>
      </c>
      <c r="G437" s="109"/>
      <c r="H437" s="109"/>
      <c r="I437" s="109" t="s">
        <v>346</v>
      </c>
      <c r="J437" s="109"/>
      <c r="K437" s="109"/>
      <c r="L437" s="109" t="s">
        <v>346</v>
      </c>
      <c r="M437" s="109"/>
      <c r="N437" s="109"/>
      <c r="O437" s="113" t="s">
        <v>2816</v>
      </c>
    </row>
    <row r="438" spans="1:15" ht="70.05" customHeight="1" outlineLevel="1">
      <c r="A438" s="109" t="s">
        <v>4686</v>
      </c>
      <c r="B438" s="110" t="s">
        <v>4687</v>
      </c>
      <c r="C438" s="110" t="s">
        <v>4688</v>
      </c>
      <c r="D438" s="111" t="s">
        <v>4689</v>
      </c>
      <c r="E438" s="111" t="s">
        <v>4690</v>
      </c>
      <c r="F438" s="109" t="s">
        <v>346</v>
      </c>
      <c r="G438" s="109"/>
      <c r="H438" s="109"/>
      <c r="I438" s="109" t="s">
        <v>346</v>
      </c>
      <c r="J438" s="109"/>
      <c r="K438" s="109"/>
      <c r="L438" s="109" t="s">
        <v>346</v>
      </c>
      <c r="M438" s="109"/>
      <c r="N438" s="109"/>
      <c r="O438" s="113" t="s">
        <v>2816</v>
      </c>
    </row>
    <row r="439" spans="1:15" ht="70.05" customHeight="1" outlineLevel="1">
      <c r="A439" s="109" t="s">
        <v>4691</v>
      </c>
      <c r="B439" s="110" t="s">
        <v>4692</v>
      </c>
      <c r="C439" s="110" t="s">
        <v>4693</v>
      </c>
      <c r="D439" s="111" t="s">
        <v>4694</v>
      </c>
      <c r="E439" s="111" t="s">
        <v>4664</v>
      </c>
      <c r="F439" s="109" t="s">
        <v>346</v>
      </c>
      <c r="G439" s="109"/>
      <c r="H439" s="109"/>
      <c r="I439" s="109" t="s">
        <v>346</v>
      </c>
      <c r="J439" s="109"/>
      <c r="K439" s="109"/>
      <c r="L439" s="109" t="s">
        <v>346</v>
      </c>
      <c r="M439" s="109"/>
      <c r="N439" s="109"/>
      <c r="O439" s="113" t="s">
        <v>2816</v>
      </c>
    </row>
    <row r="440" spans="1:15" ht="70.05" customHeight="1" outlineLevel="1">
      <c r="A440" s="109" t="s">
        <v>4695</v>
      </c>
      <c r="B440" s="110" t="s">
        <v>4696</v>
      </c>
      <c r="C440" s="110" t="s">
        <v>4697</v>
      </c>
      <c r="D440" s="111" t="s">
        <v>4698</v>
      </c>
      <c r="E440" s="111" t="s">
        <v>4664</v>
      </c>
      <c r="F440" s="109" t="s">
        <v>346</v>
      </c>
      <c r="G440" s="109"/>
      <c r="H440" s="109"/>
      <c r="I440" s="109" t="s">
        <v>346</v>
      </c>
      <c r="J440" s="109"/>
      <c r="K440" s="109"/>
      <c r="L440" s="109" t="s">
        <v>346</v>
      </c>
      <c r="M440" s="109"/>
      <c r="N440" s="109"/>
      <c r="O440" s="113" t="s">
        <v>2816</v>
      </c>
    </row>
    <row r="441" spans="1:15" ht="70.05" customHeight="1" outlineLevel="1">
      <c r="A441" s="109" t="s">
        <v>4699</v>
      </c>
      <c r="B441" s="110" t="s">
        <v>4700</v>
      </c>
      <c r="C441" s="110" t="s">
        <v>4701</v>
      </c>
      <c r="D441" s="111" t="s">
        <v>4702</v>
      </c>
      <c r="E441" s="111" t="s">
        <v>4664</v>
      </c>
      <c r="F441" s="109" t="s">
        <v>346</v>
      </c>
      <c r="G441" s="109"/>
      <c r="H441" s="109"/>
      <c r="I441" s="109" t="s">
        <v>346</v>
      </c>
      <c r="J441" s="109"/>
      <c r="K441" s="109"/>
      <c r="L441" s="109" t="s">
        <v>346</v>
      </c>
      <c r="M441" s="109"/>
      <c r="N441" s="109"/>
      <c r="O441" s="113" t="s">
        <v>2816</v>
      </c>
    </row>
    <row r="442" spans="1:15" ht="70.05" customHeight="1" outlineLevel="1">
      <c r="A442" s="109" t="s">
        <v>4703</v>
      </c>
      <c r="B442" s="110" t="s">
        <v>4704</v>
      </c>
      <c r="C442" s="110" t="s">
        <v>4705</v>
      </c>
      <c r="D442" s="111" t="s">
        <v>4706</v>
      </c>
      <c r="E442" s="111" t="s">
        <v>4664</v>
      </c>
      <c r="F442" s="109" t="s">
        <v>346</v>
      </c>
      <c r="G442" s="109"/>
      <c r="H442" s="109"/>
      <c r="I442" s="109" t="s">
        <v>346</v>
      </c>
      <c r="J442" s="109"/>
      <c r="K442" s="109"/>
      <c r="L442" s="109" t="s">
        <v>346</v>
      </c>
      <c r="M442" s="109"/>
      <c r="N442" s="109"/>
      <c r="O442" s="113" t="s">
        <v>2816</v>
      </c>
    </row>
    <row r="443" spans="1:15" ht="70.05" customHeight="1" outlineLevel="1">
      <c r="A443" s="109" t="s">
        <v>4707</v>
      </c>
      <c r="B443" s="110" t="s">
        <v>4708</v>
      </c>
      <c r="C443" s="110" t="s">
        <v>4709</v>
      </c>
      <c r="D443" s="111" t="s">
        <v>4710</v>
      </c>
      <c r="E443" s="111" t="s">
        <v>4664</v>
      </c>
      <c r="F443" s="109" t="s">
        <v>346</v>
      </c>
      <c r="G443" s="109"/>
      <c r="H443" s="109"/>
      <c r="I443" s="109" t="s">
        <v>346</v>
      </c>
      <c r="J443" s="109"/>
      <c r="K443" s="109"/>
      <c r="L443" s="109" t="s">
        <v>346</v>
      </c>
      <c r="M443" s="109"/>
      <c r="N443" s="109"/>
      <c r="O443" s="113" t="s">
        <v>2816</v>
      </c>
    </row>
    <row r="444" spans="1:15" ht="70.05" customHeight="1" outlineLevel="1">
      <c r="A444" s="109" t="s">
        <v>4711</v>
      </c>
      <c r="B444" s="110" t="s">
        <v>4712</v>
      </c>
      <c r="C444" s="110" t="s">
        <v>4713</v>
      </c>
      <c r="D444" s="111" t="s">
        <v>4330</v>
      </c>
      <c r="E444" s="111" t="s">
        <v>4714</v>
      </c>
      <c r="F444" s="109" t="s">
        <v>346</v>
      </c>
      <c r="G444" s="109"/>
      <c r="H444" s="109"/>
      <c r="I444" s="109" t="s">
        <v>346</v>
      </c>
      <c r="J444" s="109"/>
      <c r="K444" s="109"/>
      <c r="L444" s="109" t="s">
        <v>346</v>
      </c>
      <c r="M444" s="109"/>
      <c r="N444" s="109"/>
      <c r="O444" s="113" t="s">
        <v>2816</v>
      </c>
    </row>
    <row r="445" spans="1:15" ht="70.05" customHeight="1" outlineLevel="1">
      <c r="A445" s="109" t="s">
        <v>4715</v>
      </c>
      <c r="B445" s="110" t="s">
        <v>4716</v>
      </c>
      <c r="C445" s="110" t="s">
        <v>4717</v>
      </c>
      <c r="D445" s="111" t="s">
        <v>4325</v>
      </c>
      <c r="E445" s="111" t="s">
        <v>3868</v>
      </c>
      <c r="F445" s="109" t="s">
        <v>346</v>
      </c>
      <c r="G445" s="109"/>
      <c r="H445" s="109"/>
      <c r="I445" s="109" t="s">
        <v>346</v>
      </c>
      <c r="J445" s="109"/>
      <c r="K445" s="109"/>
      <c r="L445" s="109" t="s">
        <v>346</v>
      </c>
      <c r="M445" s="109"/>
      <c r="N445" s="109"/>
      <c r="O445" s="113" t="s">
        <v>2816</v>
      </c>
    </row>
    <row r="446" spans="1:15" ht="70.05" customHeight="1" outlineLevel="1">
      <c r="A446" s="109" t="s">
        <v>4718</v>
      </c>
      <c r="B446" s="110" t="s">
        <v>4719</v>
      </c>
      <c r="C446" s="110" t="s">
        <v>4688</v>
      </c>
      <c r="D446" s="111" t="s">
        <v>4055</v>
      </c>
      <c r="E446" s="111" t="s">
        <v>4720</v>
      </c>
      <c r="F446" s="109" t="s">
        <v>346</v>
      </c>
      <c r="G446" s="109"/>
      <c r="H446" s="109"/>
      <c r="I446" s="109" t="s">
        <v>346</v>
      </c>
      <c r="J446" s="109"/>
      <c r="K446" s="109"/>
      <c r="L446" s="109" t="s">
        <v>346</v>
      </c>
      <c r="M446" s="109"/>
      <c r="N446" s="109"/>
      <c r="O446" s="113" t="s">
        <v>2816</v>
      </c>
    </row>
    <row r="447" spans="1:15" ht="70.05" customHeight="1" outlineLevel="1">
      <c r="A447" s="109" t="s">
        <v>4721</v>
      </c>
      <c r="B447" s="110" t="s">
        <v>4722</v>
      </c>
      <c r="C447" s="110" t="s">
        <v>4723</v>
      </c>
      <c r="D447" s="111" t="s">
        <v>4724</v>
      </c>
      <c r="E447" s="111" t="s">
        <v>4664</v>
      </c>
      <c r="F447" s="109" t="s">
        <v>346</v>
      </c>
      <c r="G447" s="109"/>
      <c r="H447" s="109"/>
      <c r="I447" s="109" t="s">
        <v>346</v>
      </c>
      <c r="J447" s="109"/>
      <c r="K447" s="109"/>
      <c r="L447" s="109" t="s">
        <v>346</v>
      </c>
      <c r="M447" s="109"/>
      <c r="N447" s="109"/>
      <c r="O447" s="113" t="s">
        <v>2816</v>
      </c>
    </row>
    <row r="448" spans="1:15" ht="70.05" customHeight="1" outlineLevel="1">
      <c r="A448" s="109" t="s">
        <v>4725</v>
      </c>
      <c r="B448" s="110" t="s">
        <v>4726</v>
      </c>
      <c r="C448" s="110" t="s">
        <v>4727</v>
      </c>
      <c r="D448" s="111" t="s">
        <v>4728</v>
      </c>
      <c r="E448" s="111" t="s">
        <v>4664</v>
      </c>
      <c r="F448" s="109" t="s">
        <v>346</v>
      </c>
      <c r="G448" s="109"/>
      <c r="H448" s="109"/>
      <c r="I448" s="109" t="s">
        <v>346</v>
      </c>
      <c r="J448" s="109"/>
      <c r="K448" s="109"/>
      <c r="L448" s="109" t="s">
        <v>346</v>
      </c>
      <c r="M448" s="109"/>
      <c r="N448" s="109"/>
      <c r="O448" s="113" t="s">
        <v>2816</v>
      </c>
    </row>
    <row r="449" spans="1:15" ht="70.05" customHeight="1" outlineLevel="1">
      <c r="A449" s="109" t="s">
        <v>4729</v>
      </c>
      <c r="B449" s="110" t="s">
        <v>4730</v>
      </c>
      <c r="C449" s="110" t="s">
        <v>4731</v>
      </c>
      <c r="D449" s="111" t="s">
        <v>4732</v>
      </c>
      <c r="E449" s="111" t="s">
        <v>4664</v>
      </c>
      <c r="F449" s="109" t="s">
        <v>346</v>
      </c>
      <c r="G449" s="109"/>
      <c r="H449" s="109"/>
      <c r="I449" s="109" t="s">
        <v>346</v>
      </c>
      <c r="J449" s="109"/>
      <c r="K449" s="109"/>
      <c r="L449" s="109" t="s">
        <v>346</v>
      </c>
      <c r="M449" s="109"/>
      <c r="N449" s="109"/>
      <c r="O449" s="113" t="s">
        <v>2816</v>
      </c>
    </row>
    <row r="450" spans="1:15" ht="70.05" customHeight="1" outlineLevel="1">
      <c r="A450" s="109" t="s">
        <v>4733</v>
      </c>
      <c r="B450" s="110" t="s">
        <v>4734</v>
      </c>
      <c r="C450" s="110" t="s">
        <v>4735</v>
      </c>
      <c r="D450" s="111" t="s">
        <v>4736</v>
      </c>
      <c r="E450" s="111" t="s">
        <v>4664</v>
      </c>
      <c r="F450" s="109" t="s">
        <v>346</v>
      </c>
      <c r="G450" s="109"/>
      <c r="H450" s="109"/>
      <c r="I450" s="109" t="s">
        <v>346</v>
      </c>
      <c r="J450" s="109"/>
      <c r="K450" s="109"/>
      <c r="L450" s="109" t="s">
        <v>346</v>
      </c>
      <c r="M450" s="109"/>
      <c r="N450" s="109"/>
      <c r="O450" s="113" t="s">
        <v>2816</v>
      </c>
    </row>
    <row r="451" spans="1:15" ht="15.75" customHeight="1">
      <c r="A451" s="60" t="s">
        <v>203</v>
      </c>
      <c r="B451" s="60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2"/>
    </row>
    <row r="452" spans="1:15" ht="70.05" customHeight="1" outlineLevel="1">
      <c r="A452" s="109" t="s">
        <v>4737</v>
      </c>
      <c r="B452" s="110" t="s">
        <v>4738</v>
      </c>
      <c r="C452" s="110" t="s">
        <v>4739</v>
      </c>
      <c r="D452" s="111" t="s">
        <v>4740</v>
      </c>
      <c r="E452" s="111" t="s">
        <v>4741</v>
      </c>
      <c r="F452" s="109" t="s">
        <v>346</v>
      </c>
      <c r="G452" s="109"/>
      <c r="H452" s="109"/>
      <c r="I452" s="109" t="s">
        <v>346</v>
      </c>
      <c r="J452" s="109"/>
      <c r="K452" s="109"/>
      <c r="L452" s="109" t="s">
        <v>346</v>
      </c>
      <c r="M452" s="109"/>
      <c r="N452" s="109"/>
      <c r="O452" s="113" t="s">
        <v>2816</v>
      </c>
    </row>
    <row r="453" spans="1:15" ht="70.05" customHeight="1" outlineLevel="1">
      <c r="A453" s="109" t="s">
        <v>4742</v>
      </c>
      <c r="B453" s="110" t="s">
        <v>4743</v>
      </c>
      <c r="C453" s="110" t="s">
        <v>4744</v>
      </c>
      <c r="D453" s="111" t="s">
        <v>4745</v>
      </c>
      <c r="E453" s="111" t="s">
        <v>4746</v>
      </c>
      <c r="F453" s="109" t="s">
        <v>346</v>
      </c>
      <c r="G453" s="109"/>
      <c r="H453" s="109"/>
      <c r="I453" s="109" t="s">
        <v>346</v>
      </c>
      <c r="J453" s="109"/>
      <c r="K453" s="109"/>
      <c r="L453" s="109" t="s">
        <v>346</v>
      </c>
      <c r="M453" s="109"/>
      <c r="N453" s="109"/>
      <c r="O453" s="113" t="s">
        <v>2816</v>
      </c>
    </row>
    <row r="454" spans="1:15" ht="70.05" customHeight="1" outlineLevel="1">
      <c r="A454" s="109" t="s">
        <v>4747</v>
      </c>
      <c r="B454" s="110" t="s">
        <v>4748</v>
      </c>
      <c r="C454" s="110" t="s">
        <v>4749</v>
      </c>
      <c r="D454" s="111" t="s">
        <v>4750</v>
      </c>
      <c r="E454" s="111" t="s">
        <v>4751</v>
      </c>
      <c r="F454" s="109" t="s">
        <v>346</v>
      </c>
      <c r="G454" s="109"/>
      <c r="H454" s="109"/>
      <c r="I454" s="109" t="s">
        <v>346</v>
      </c>
      <c r="J454" s="109"/>
      <c r="K454" s="109"/>
      <c r="L454" s="109" t="s">
        <v>346</v>
      </c>
      <c r="M454" s="109"/>
      <c r="N454" s="109"/>
      <c r="O454" s="113" t="s">
        <v>2816</v>
      </c>
    </row>
    <row r="455" spans="1:15" ht="70.05" customHeight="1" outlineLevel="1">
      <c r="A455" s="109" t="s">
        <v>4752</v>
      </c>
      <c r="B455" s="110" t="s">
        <v>4753</v>
      </c>
      <c r="C455" s="110" t="s">
        <v>4754</v>
      </c>
      <c r="D455" s="111" t="s">
        <v>4755</v>
      </c>
      <c r="E455" s="111" t="s">
        <v>4741</v>
      </c>
      <c r="F455" s="109" t="s">
        <v>346</v>
      </c>
      <c r="G455" s="109"/>
      <c r="H455" s="109"/>
      <c r="I455" s="109" t="s">
        <v>346</v>
      </c>
      <c r="J455" s="109"/>
      <c r="K455" s="109"/>
      <c r="L455" s="109" t="s">
        <v>346</v>
      </c>
      <c r="M455" s="109"/>
      <c r="N455" s="109"/>
      <c r="O455" s="113" t="s">
        <v>2816</v>
      </c>
    </row>
    <row r="456" spans="1:15" ht="70.05" customHeight="1" outlineLevel="1">
      <c r="A456" s="109" t="s">
        <v>4756</v>
      </c>
      <c r="B456" s="110" t="s">
        <v>4753</v>
      </c>
      <c r="C456" s="110" t="s">
        <v>4754</v>
      </c>
      <c r="D456" s="111" t="s">
        <v>4755</v>
      </c>
      <c r="E456" s="111" t="s">
        <v>4746</v>
      </c>
      <c r="F456" s="109" t="s">
        <v>346</v>
      </c>
      <c r="G456" s="109"/>
      <c r="H456" s="109"/>
      <c r="I456" s="109" t="s">
        <v>346</v>
      </c>
      <c r="J456" s="109"/>
      <c r="K456" s="109"/>
      <c r="L456" s="109" t="s">
        <v>346</v>
      </c>
      <c r="M456" s="109"/>
      <c r="N456" s="109"/>
      <c r="O456" s="113" t="s">
        <v>2816</v>
      </c>
    </row>
    <row r="457" spans="1:15" ht="70.05" customHeight="1" outlineLevel="1">
      <c r="A457" s="109" t="s">
        <v>4757</v>
      </c>
      <c r="B457" s="110" t="s">
        <v>4758</v>
      </c>
      <c r="C457" s="110" t="s">
        <v>4759</v>
      </c>
      <c r="D457" s="111" t="s">
        <v>4760</v>
      </c>
      <c r="E457" s="111" t="s">
        <v>4741</v>
      </c>
      <c r="F457" s="109" t="s">
        <v>346</v>
      </c>
      <c r="G457" s="109"/>
      <c r="H457" s="109"/>
      <c r="I457" s="109" t="s">
        <v>346</v>
      </c>
      <c r="J457" s="109"/>
      <c r="K457" s="109"/>
      <c r="L457" s="109" t="s">
        <v>346</v>
      </c>
      <c r="M457" s="109"/>
      <c r="N457" s="109"/>
      <c r="O457" s="113" t="s">
        <v>2816</v>
      </c>
    </row>
    <row r="458" spans="1:15" ht="70.05" customHeight="1" outlineLevel="1">
      <c r="A458" s="109" t="s">
        <v>4761</v>
      </c>
      <c r="B458" s="110" t="s">
        <v>4748</v>
      </c>
      <c r="C458" s="110" t="s">
        <v>4749</v>
      </c>
      <c r="D458" s="111" t="s">
        <v>4762</v>
      </c>
      <c r="E458" s="111" t="s">
        <v>4763</v>
      </c>
      <c r="F458" s="109" t="s">
        <v>346</v>
      </c>
      <c r="G458" s="109"/>
      <c r="H458" s="109"/>
      <c r="I458" s="109" t="s">
        <v>346</v>
      </c>
      <c r="J458" s="109"/>
      <c r="K458" s="109"/>
      <c r="L458" s="109" t="s">
        <v>346</v>
      </c>
      <c r="M458" s="109"/>
      <c r="N458" s="109"/>
      <c r="O458" s="113" t="s">
        <v>2816</v>
      </c>
    </row>
    <row r="459" spans="1:15" ht="70.05" customHeight="1" outlineLevel="1">
      <c r="A459" s="109" t="s">
        <v>4764</v>
      </c>
      <c r="B459" s="110" t="s">
        <v>4765</v>
      </c>
      <c r="C459" s="110" t="s">
        <v>4739</v>
      </c>
      <c r="D459" s="111" t="s">
        <v>4766</v>
      </c>
      <c r="E459" s="111" t="s">
        <v>4767</v>
      </c>
      <c r="F459" s="109" t="s">
        <v>346</v>
      </c>
      <c r="G459" s="109"/>
      <c r="H459" s="109"/>
      <c r="I459" s="109" t="s">
        <v>346</v>
      </c>
      <c r="J459" s="109"/>
      <c r="K459" s="109"/>
      <c r="L459" s="109" t="s">
        <v>346</v>
      </c>
      <c r="M459" s="109"/>
      <c r="N459" s="109"/>
      <c r="O459" s="113" t="s">
        <v>2816</v>
      </c>
    </row>
    <row r="460" spans="1:15" ht="70.05" customHeight="1" outlineLevel="1">
      <c r="A460" s="109" t="s">
        <v>4768</v>
      </c>
      <c r="B460" s="110" t="s">
        <v>4769</v>
      </c>
      <c r="C460" s="110" t="s">
        <v>4749</v>
      </c>
      <c r="D460" s="111" t="s">
        <v>4770</v>
      </c>
      <c r="E460" s="111" t="s">
        <v>4751</v>
      </c>
      <c r="F460" s="109" t="s">
        <v>346</v>
      </c>
      <c r="G460" s="109"/>
      <c r="H460" s="109"/>
      <c r="I460" s="109" t="s">
        <v>346</v>
      </c>
      <c r="J460" s="109"/>
      <c r="K460" s="109"/>
      <c r="L460" s="109" t="s">
        <v>346</v>
      </c>
      <c r="M460" s="109"/>
      <c r="N460" s="109"/>
      <c r="O460" s="113" t="s">
        <v>2816</v>
      </c>
    </row>
    <row r="461" spans="1:15" ht="70.05" customHeight="1" outlineLevel="1">
      <c r="A461" s="109" t="s">
        <v>4771</v>
      </c>
      <c r="B461" s="110" t="s">
        <v>4772</v>
      </c>
      <c r="C461" s="110" t="s">
        <v>4754</v>
      </c>
      <c r="D461" s="111" t="s">
        <v>4773</v>
      </c>
      <c r="E461" s="111" t="s">
        <v>4751</v>
      </c>
      <c r="F461" s="109" t="s">
        <v>346</v>
      </c>
      <c r="G461" s="109"/>
      <c r="H461" s="109"/>
      <c r="I461" s="109" t="s">
        <v>346</v>
      </c>
      <c r="J461" s="109"/>
      <c r="K461" s="109"/>
      <c r="L461" s="109" t="s">
        <v>346</v>
      </c>
      <c r="M461" s="109"/>
      <c r="N461" s="109"/>
      <c r="O461" s="113" t="s">
        <v>2816</v>
      </c>
    </row>
    <row r="462" spans="1:15" ht="70.05" customHeight="1" outlineLevel="1">
      <c r="A462" s="109" t="s">
        <v>4774</v>
      </c>
      <c r="B462" s="110" t="s">
        <v>4775</v>
      </c>
      <c r="C462" s="110" t="s">
        <v>4739</v>
      </c>
      <c r="D462" s="111" t="s">
        <v>4773</v>
      </c>
      <c r="E462" s="111" t="s">
        <v>4763</v>
      </c>
      <c r="F462" s="109" t="s">
        <v>346</v>
      </c>
      <c r="G462" s="109"/>
      <c r="H462" s="109"/>
      <c r="I462" s="109" t="s">
        <v>346</v>
      </c>
      <c r="J462" s="109"/>
      <c r="K462" s="109"/>
      <c r="L462" s="109" t="s">
        <v>346</v>
      </c>
      <c r="M462" s="109"/>
      <c r="N462" s="109"/>
      <c r="O462" s="113" t="s">
        <v>2816</v>
      </c>
    </row>
    <row r="463" spans="1:15" ht="70.05" customHeight="1" outlineLevel="1">
      <c r="A463" s="109" t="s">
        <v>4776</v>
      </c>
      <c r="B463" s="110" t="s">
        <v>4777</v>
      </c>
      <c r="C463" s="110" t="s">
        <v>4744</v>
      </c>
      <c r="D463" s="111" t="s">
        <v>4773</v>
      </c>
      <c r="E463" s="111" t="s">
        <v>4741</v>
      </c>
      <c r="F463" s="109" t="s">
        <v>346</v>
      </c>
      <c r="G463" s="109"/>
      <c r="H463" s="109"/>
      <c r="I463" s="109" t="s">
        <v>346</v>
      </c>
      <c r="J463" s="109"/>
      <c r="K463" s="109"/>
      <c r="L463" s="109" t="s">
        <v>346</v>
      </c>
      <c r="M463" s="109"/>
      <c r="N463" s="109"/>
      <c r="O463" s="113" t="s">
        <v>2816</v>
      </c>
    </row>
    <row r="464" spans="1:15" ht="70.05" customHeight="1" outlineLevel="1">
      <c r="A464" s="109" t="s">
        <v>4778</v>
      </c>
      <c r="B464" s="110" t="s">
        <v>4779</v>
      </c>
      <c r="C464" s="110" t="s">
        <v>4749</v>
      </c>
      <c r="D464" s="111" t="s">
        <v>4773</v>
      </c>
      <c r="E464" s="111" t="s">
        <v>4741</v>
      </c>
      <c r="F464" s="109" t="s">
        <v>346</v>
      </c>
      <c r="G464" s="109"/>
      <c r="H464" s="109"/>
      <c r="I464" s="109" t="s">
        <v>346</v>
      </c>
      <c r="J464" s="109"/>
      <c r="K464" s="109"/>
      <c r="L464" s="109" t="s">
        <v>346</v>
      </c>
      <c r="M464" s="109"/>
      <c r="N464" s="109"/>
      <c r="O464" s="113" t="s">
        <v>2816</v>
      </c>
    </row>
    <row r="465" spans="1:15" ht="70.05" customHeight="1" outlineLevel="1">
      <c r="A465" s="109" t="s">
        <v>4780</v>
      </c>
      <c r="B465" s="110" t="s">
        <v>4775</v>
      </c>
      <c r="C465" s="110" t="s">
        <v>4739</v>
      </c>
      <c r="D465" s="111" t="s">
        <v>4773</v>
      </c>
      <c r="E465" s="111" t="s">
        <v>4781</v>
      </c>
      <c r="F465" s="109" t="s">
        <v>346</v>
      </c>
      <c r="G465" s="109"/>
      <c r="H465" s="109"/>
      <c r="I465" s="109" t="s">
        <v>346</v>
      </c>
      <c r="J465" s="109"/>
      <c r="K465" s="109"/>
      <c r="L465" s="109" t="s">
        <v>346</v>
      </c>
      <c r="M465" s="109"/>
      <c r="N465" s="109"/>
      <c r="O465" s="113" t="s">
        <v>2816</v>
      </c>
    </row>
    <row r="466" spans="1:15" ht="70.05" customHeight="1" outlineLevel="1">
      <c r="A466" s="109" t="s">
        <v>4782</v>
      </c>
      <c r="B466" s="110" t="s">
        <v>4783</v>
      </c>
      <c r="C466" s="110" t="s">
        <v>4759</v>
      </c>
      <c r="D466" s="111" t="s">
        <v>4773</v>
      </c>
      <c r="E466" s="111" t="s">
        <v>4746</v>
      </c>
      <c r="F466" s="109" t="s">
        <v>346</v>
      </c>
      <c r="G466" s="109"/>
      <c r="H466" s="109"/>
      <c r="I466" s="109" t="s">
        <v>346</v>
      </c>
      <c r="J466" s="109"/>
      <c r="K466" s="109"/>
      <c r="L466" s="109" t="s">
        <v>346</v>
      </c>
      <c r="M466" s="109"/>
      <c r="N466" s="109"/>
      <c r="O466" s="113" t="s">
        <v>2816</v>
      </c>
    </row>
    <row r="467" spans="1:15" ht="70.05" customHeight="1" outlineLevel="1">
      <c r="A467" s="109" t="s">
        <v>4784</v>
      </c>
      <c r="B467" s="110" t="s">
        <v>4785</v>
      </c>
      <c r="C467" s="110" t="s">
        <v>4786</v>
      </c>
      <c r="D467" s="111" t="s">
        <v>4787</v>
      </c>
      <c r="E467" s="111" t="s">
        <v>4741</v>
      </c>
      <c r="F467" s="109" t="s">
        <v>346</v>
      </c>
      <c r="G467" s="109"/>
      <c r="H467" s="109"/>
      <c r="I467" s="109" t="s">
        <v>346</v>
      </c>
      <c r="J467" s="109"/>
      <c r="K467" s="109"/>
      <c r="L467" s="109" t="s">
        <v>346</v>
      </c>
      <c r="M467" s="109"/>
      <c r="N467" s="109"/>
      <c r="O467" s="113" t="s">
        <v>2816</v>
      </c>
    </row>
    <row r="468" spans="1:15" ht="70.05" customHeight="1" outlineLevel="1">
      <c r="A468" s="109" t="s">
        <v>4788</v>
      </c>
      <c r="B468" s="110" t="s">
        <v>4789</v>
      </c>
      <c r="C468" s="110" t="s">
        <v>4790</v>
      </c>
      <c r="D468" s="111" t="s">
        <v>4791</v>
      </c>
      <c r="E468" s="111" t="s">
        <v>4664</v>
      </c>
      <c r="F468" s="109" t="s">
        <v>346</v>
      </c>
      <c r="G468" s="109"/>
      <c r="H468" s="109"/>
      <c r="I468" s="109" t="s">
        <v>346</v>
      </c>
      <c r="J468" s="109"/>
      <c r="K468" s="109"/>
      <c r="L468" s="109" t="s">
        <v>346</v>
      </c>
      <c r="M468" s="109"/>
      <c r="N468" s="109"/>
      <c r="O468" s="113" t="s">
        <v>2816</v>
      </c>
    </row>
    <row r="469" spans="1:15" ht="70.05" customHeight="1" outlineLevel="1">
      <c r="A469" s="109" t="s">
        <v>4792</v>
      </c>
      <c r="B469" s="110" t="s">
        <v>4793</v>
      </c>
      <c r="C469" s="110" t="s">
        <v>4794</v>
      </c>
      <c r="D469" s="111" t="s">
        <v>4330</v>
      </c>
      <c r="E469" s="111" t="s">
        <v>4714</v>
      </c>
      <c r="F469" s="109" t="s">
        <v>346</v>
      </c>
      <c r="G469" s="109"/>
      <c r="H469" s="109"/>
      <c r="I469" s="109" t="s">
        <v>346</v>
      </c>
      <c r="J469" s="109"/>
      <c r="K469" s="109"/>
      <c r="L469" s="109" t="s">
        <v>346</v>
      </c>
      <c r="M469" s="109"/>
      <c r="N469" s="109"/>
      <c r="O469" s="113" t="s">
        <v>2816</v>
      </c>
    </row>
    <row r="470" spans="1:15" ht="70.05" customHeight="1" outlineLevel="1">
      <c r="A470" s="109" t="s">
        <v>4795</v>
      </c>
      <c r="B470" s="110" t="s">
        <v>4796</v>
      </c>
      <c r="C470" s="110" t="s">
        <v>4797</v>
      </c>
      <c r="D470" s="111" t="s">
        <v>4325</v>
      </c>
      <c r="E470" s="111" t="s">
        <v>3868</v>
      </c>
      <c r="F470" s="109" t="s">
        <v>346</v>
      </c>
      <c r="G470" s="109"/>
      <c r="H470" s="109"/>
      <c r="I470" s="109" t="s">
        <v>346</v>
      </c>
      <c r="J470" s="109"/>
      <c r="K470" s="109"/>
      <c r="L470" s="109" t="s">
        <v>346</v>
      </c>
      <c r="M470" s="109"/>
      <c r="N470" s="109"/>
      <c r="O470" s="113" t="s">
        <v>2816</v>
      </c>
    </row>
    <row r="471" spans="1:15" ht="70.05" customHeight="1" outlineLevel="1">
      <c r="A471" s="109" t="s">
        <v>4798</v>
      </c>
      <c r="B471" s="110" t="s">
        <v>4775</v>
      </c>
      <c r="C471" s="110" t="s">
        <v>4739</v>
      </c>
      <c r="D471" s="111" t="s">
        <v>4055</v>
      </c>
      <c r="E471" s="111" t="s">
        <v>4720</v>
      </c>
      <c r="F471" s="109" t="s">
        <v>346</v>
      </c>
      <c r="G471" s="109"/>
      <c r="H471" s="109"/>
      <c r="I471" s="109" t="s">
        <v>346</v>
      </c>
      <c r="J471" s="109"/>
      <c r="K471" s="109"/>
      <c r="L471" s="109" t="s">
        <v>346</v>
      </c>
      <c r="M471" s="109"/>
      <c r="N471" s="109"/>
      <c r="O471" s="113" t="s">
        <v>2816</v>
      </c>
    </row>
    <row r="472" spans="1:15" ht="15.75" customHeight="1">
      <c r="A472" s="60" t="s">
        <v>205</v>
      </c>
      <c r="B472" s="60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2"/>
    </row>
    <row r="473" spans="1:15" ht="70.05" customHeight="1" outlineLevel="1">
      <c r="A473" s="109" t="s">
        <v>4799</v>
      </c>
      <c r="B473" s="110" t="s">
        <v>4800</v>
      </c>
      <c r="C473" s="110" t="s">
        <v>4801</v>
      </c>
      <c r="D473" s="111" t="s">
        <v>4802</v>
      </c>
      <c r="E473" s="111" t="s">
        <v>4803</v>
      </c>
      <c r="F473" s="109" t="s">
        <v>346</v>
      </c>
      <c r="G473" s="109"/>
      <c r="H473" s="109"/>
      <c r="I473" s="109" t="s">
        <v>346</v>
      </c>
      <c r="J473" s="109"/>
      <c r="K473" s="109"/>
      <c r="L473" s="109" t="s">
        <v>346</v>
      </c>
      <c r="M473" s="109"/>
      <c r="N473" s="109"/>
      <c r="O473" s="113" t="s">
        <v>2816</v>
      </c>
    </row>
    <row r="474" spans="1:15" ht="70.05" customHeight="1" outlineLevel="1">
      <c r="A474" s="109" t="s">
        <v>4804</v>
      </c>
      <c r="B474" s="110" t="s">
        <v>4805</v>
      </c>
      <c r="C474" s="110" t="s">
        <v>4806</v>
      </c>
      <c r="D474" s="111" t="s">
        <v>4807</v>
      </c>
      <c r="E474" s="111" t="s">
        <v>4803</v>
      </c>
      <c r="F474" s="109" t="s">
        <v>346</v>
      </c>
      <c r="G474" s="109"/>
      <c r="H474" s="109"/>
      <c r="I474" s="109" t="s">
        <v>346</v>
      </c>
      <c r="J474" s="109"/>
      <c r="K474" s="109"/>
      <c r="L474" s="109" t="s">
        <v>346</v>
      </c>
      <c r="M474" s="109"/>
      <c r="N474" s="109"/>
      <c r="O474" s="113" t="s">
        <v>2816</v>
      </c>
    </row>
    <row r="475" spans="1:15" ht="70.05" customHeight="1" outlineLevel="1">
      <c r="A475" s="109" t="s">
        <v>4808</v>
      </c>
      <c r="B475" s="110" t="s">
        <v>4809</v>
      </c>
      <c r="C475" s="110" t="s">
        <v>4810</v>
      </c>
      <c r="D475" s="111" t="s">
        <v>4807</v>
      </c>
      <c r="E475" s="111" t="s">
        <v>4803</v>
      </c>
      <c r="F475" s="109" t="s">
        <v>346</v>
      </c>
      <c r="G475" s="109"/>
      <c r="H475" s="109"/>
      <c r="I475" s="109" t="s">
        <v>346</v>
      </c>
      <c r="J475" s="109"/>
      <c r="K475" s="109"/>
      <c r="L475" s="109" t="s">
        <v>346</v>
      </c>
      <c r="M475" s="109"/>
      <c r="N475" s="109"/>
      <c r="O475" s="113" t="s">
        <v>2816</v>
      </c>
    </row>
    <row r="476" spans="1:15" ht="70.05" customHeight="1" outlineLevel="1">
      <c r="A476" s="109" t="s">
        <v>4811</v>
      </c>
      <c r="B476" s="110" t="s">
        <v>4812</v>
      </c>
      <c r="C476" s="110" t="s">
        <v>4813</v>
      </c>
      <c r="D476" s="111" t="s">
        <v>4807</v>
      </c>
      <c r="E476" s="111" t="s">
        <v>4803</v>
      </c>
      <c r="F476" s="109" t="s">
        <v>346</v>
      </c>
      <c r="G476" s="109"/>
      <c r="H476" s="109"/>
      <c r="I476" s="109" t="s">
        <v>346</v>
      </c>
      <c r="J476" s="109"/>
      <c r="K476" s="109"/>
      <c r="L476" s="109" t="s">
        <v>346</v>
      </c>
      <c r="M476" s="109"/>
      <c r="N476" s="109"/>
      <c r="O476" s="113" t="s">
        <v>2816</v>
      </c>
    </row>
    <row r="477" spans="1:15" ht="70.05" customHeight="1" outlineLevel="1">
      <c r="A477" s="109" t="s">
        <v>4814</v>
      </c>
      <c r="B477" s="110" t="s">
        <v>4815</v>
      </c>
      <c r="C477" s="110" t="s">
        <v>4816</v>
      </c>
      <c r="D477" s="111" t="s">
        <v>4817</v>
      </c>
      <c r="E477" s="111" t="s">
        <v>4803</v>
      </c>
      <c r="F477" s="109" t="s">
        <v>346</v>
      </c>
      <c r="G477" s="109"/>
      <c r="H477" s="109"/>
      <c r="I477" s="109" t="s">
        <v>346</v>
      </c>
      <c r="J477" s="109"/>
      <c r="K477" s="109"/>
      <c r="L477" s="109" t="s">
        <v>346</v>
      </c>
      <c r="M477" s="109"/>
      <c r="N477" s="109"/>
      <c r="O477" s="113" t="s">
        <v>2816</v>
      </c>
    </row>
    <row r="478" spans="1:15" ht="70.05" customHeight="1" outlineLevel="1">
      <c r="A478" s="109" t="s">
        <v>4818</v>
      </c>
      <c r="B478" s="110" t="s">
        <v>4819</v>
      </c>
      <c r="C478" s="110" t="s">
        <v>4820</v>
      </c>
      <c r="D478" s="111" t="s">
        <v>4821</v>
      </c>
      <c r="E478" s="111" t="s">
        <v>4803</v>
      </c>
      <c r="F478" s="109" t="s">
        <v>346</v>
      </c>
      <c r="G478" s="109"/>
      <c r="H478" s="109"/>
      <c r="I478" s="109" t="s">
        <v>346</v>
      </c>
      <c r="J478" s="109"/>
      <c r="K478" s="109"/>
      <c r="L478" s="109" t="s">
        <v>346</v>
      </c>
      <c r="M478" s="109"/>
      <c r="N478" s="109"/>
      <c r="O478" s="113" t="s">
        <v>2816</v>
      </c>
    </row>
    <row r="479" spans="1:15" ht="70.05" customHeight="1" outlineLevel="1">
      <c r="A479" s="109" t="s">
        <v>4822</v>
      </c>
      <c r="B479" s="110" t="s">
        <v>4823</v>
      </c>
      <c r="C479" s="110" t="s">
        <v>4824</v>
      </c>
      <c r="D479" s="111" t="s">
        <v>4825</v>
      </c>
      <c r="E479" s="111" t="s">
        <v>4803</v>
      </c>
      <c r="F479" s="109" t="s">
        <v>346</v>
      </c>
      <c r="G479" s="109"/>
      <c r="H479" s="109"/>
      <c r="I479" s="109" t="s">
        <v>346</v>
      </c>
      <c r="J479" s="109"/>
      <c r="K479" s="109"/>
      <c r="L479" s="109" t="s">
        <v>346</v>
      </c>
      <c r="M479" s="109"/>
      <c r="N479" s="109"/>
      <c r="O479" s="113" t="s">
        <v>2816</v>
      </c>
    </row>
    <row r="480" spans="1:15" ht="70.05" customHeight="1" outlineLevel="1">
      <c r="A480" s="109" t="s">
        <v>4826</v>
      </c>
      <c r="B480" s="110" t="s">
        <v>4823</v>
      </c>
      <c r="C480" s="110" t="s">
        <v>4824</v>
      </c>
      <c r="D480" s="111" t="s">
        <v>4827</v>
      </c>
      <c r="E480" s="111" t="s">
        <v>4803</v>
      </c>
      <c r="F480" s="109" t="s">
        <v>346</v>
      </c>
      <c r="G480" s="109"/>
      <c r="H480" s="109"/>
      <c r="I480" s="109" t="s">
        <v>346</v>
      </c>
      <c r="J480" s="109"/>
      <c r="K480" s="109"/>
      <c r="L480" s="109" t="s">
        <v>346</v>
      </c>
      <c r="M480" s="109"/>
      <c r="N480" s="109"/>
      <c r="O480" s="113" t="s">
        <v>2816</v>
      </c>
    </row>
    <row r="481" spans="1:15" ht="70.05" customHeight="1" outlineLevel="1">
      <c r="A481" s="109" t="s">
        <v>4828</v>
      </c>
      <c r="B481" s="110" t="s">
        <v>4829</v>
      </c>
      <c r="C481" s="110" t="s">
        <v>4830</v>
      </c>
      <c r="D481" s="111" t="s">
        <v>4831</v>
      </c>
      <c r="E481" s="111" t="s">
        <v>4803</v>
      </c>
      <c r="F481" s="109" t="s">
        <v>346</v>
      </c>
      <c r="G481" s="109"/>
      <c r="H481" s="109"/>
      <c r="I481" s="109" t="s">
        <v>346</v>
      </c>
      <c r="J481" s="109"/>
      <c r="K481" s="109"/>
      <c r="L481" s="109" t="s">
        <v>346</v>
      </c>
      <c r="M481" s="109"/>
      <c r="N481" s="109"/>
      <c r="O481" s="113" t="s">
        <v>2816</v>
      </c>
    </row>
    <row r="482" spans="1:15" ht="70.05" customHeight="1" outlineLevel="1">
      <c r="A482" s="109" t="s">
        <v>4832</v>
      </c>
      <c r="B482" s="110" t="s">
        <v>4833</v>
      </c>
      <c r="C482" s="110" t="s">
        <v>4834</v>
      </c>
      <c r="D482" s="111" t="s">
        <v>4835</v>
      </c>
      <c r="E482" s="111" t="s">
        <v>4803</v>
      </c>
      <c r="F482" s="109" t="s">
        <v>346</v>
      </c>
      <c r="G482" s="109"/>
      <c r="H482" s="109"/>
      <c r="I482" s="109" t="s">
        <v>346</v>
      </c>
      <c r="J482" s="109"/>
      <c r="K482" s="109"/>
      <c r="L482" s="109" t="s">
        <v>346</v>
      </c>
      <c r="M482" s="109"/>
      <c r="N482" s="109"/>
      <c r="O482" s="113" t="s">
        <v>2816</v>
      </c>
    </row>
    <row r="483" spans="1:15" ht="70.05" customHeight="1" outlineLevel="1">
      <c r="A483" s="109" t="s">
        <v>4836</v>
      </c>
      <c r="B483" s="110" t="s">
        <v>4837</v>
      </c>
      <c r="C483" s="110" t="s">
        <v>4838</v>
      </c>
      <c r="D483" s="111" t="s">
        <v>4839</v>
      </c>
      <c r="E483" s="111" t="s">
        <v>4803</v>
      </c>
      <c r="F483" s="109" t="s">
        <v>346</v>
      </c>
      <c r="G483" s="109"/>
      <c r="H483" s="109"/>
      <c r="I483" s="109" t="s">
        <v>346</v>
      </c>
      <c r="J483" s="109"/>
      <c r="K483" s="109"/>
      <c r="L483" s="109" t="s">
        <v>346</v>
      </c>
      <c r="M483" s="109"/>
      <c r="N483" s="109"/>
      <c r="O483" s="113" t="s">
        <v>2816</v>
      </c>
    </row>
    <row r="484" spans="1:15" ht="70.05" customHeight="1" outlineLevel="1">
      <c r="A484" s="109" t="s">
        <v>4840</v>
      </c>
      <c r="B484" s="110" t="s">
        <v>4841</v>
      </c>
      <c r="C484" s="110" t="s">
        <v>4842</v>
      </c>
      <c r="D484" s="111" t="s">
        <v>4839</v>
      </c>
      <c r="E484" s="111" t="s">
        <v>4803</v>
      </c>
      <c r="F484" s="109" t="s">
        <v>346</v>
      </c>
      <c r="G484" s="109"/>
      <c r="H484" s="109"/>
      <c r="I484" s="109" t="s">
        <v>346</v>
      </c>
      <c r="J484" s="109"/>
      <c r="K484" s="109"/>
      <c r="L484" s="109" t="s">
        <v>346</v>
      </c>
      <c r="M484" s="109"/>
      <c r="N484" s="109"/>
      <c r="O484" s="113" t="s">
        <v>2816</v>
      </c>
    </row>
    <row r="485" spans="1:15" ht="70.05" customHeight="1" outlineLevel="1">
      <c r="A485" s="109" t="s">
        <v>4843</v>
      </c>
      <c r="B485" s="110" t="s">
        <v>4844</v>
      </c>
      <c r="C485" s="110" t="s">
        <v>4824</v>
      </c>
      <c r="D485" s="111" t="s">
        <v>4845</v>
      </c>
      <c r="E485" s="111" t="s">
        <v>4846</v>
      </c>
      <c r="F485" s="109" t="s">
        <v>346</v>
      </c>
      <c r="G485" s="109"/>
      <c r="H485" s="109"/>
      <c r="I485" s="109" t="s">
        <v>346</v>
      </c>
      <c r="J485" s="109"/>
      <c r="K485" s="109"/>
      <c r="L485" s="109" t="s">
        <v>346</v>
      </c>
      <c r="M485" s="109"/>
      <c r="N485" s="109"/>
      <c r="O485" s="113" t="s">
        <v>2816</v>
      </c>
    </row>
    <row r="486" spans="1:15" ht="70.05" customHeight="1" outlineLevel="1">
      <c r="A486" s="109" t="s">
        <v>4847</v>
      </c>
      <c r="B486" s="110" t="s">
        <v>4848</v>
      </c>
      <c r="C486" s="110" t="s">
        <v>4849</v>
      </c>
      <c r="D486" s="111" t="s">
        <v>4850</v>
      </c>
      <c r="E486" s="111" t="s">
        <v>4803</v>
      </c>
      <c r="F486" s="109" t="s">
        <v>346</v>
      </c>
      <c r="G486" s="109"/>
      <c r="H486" s="109"/>
      <c r="I486" s="109" t="s">
        <v>346</v>
      </c>
      <c r="J486" s="109"/>
      <c r="K486" s="109"/>
      <c r="L486" s="109" t="s">
        <v>346</v>
      </c>
      <c r="M486" s="109"/>
      <c r="N486" s="109"/>
      <c r="O486" s="113" t="s">
        <v>2816</v>
      </c>
    </row>
    <row r="487" spans="1:15" ht="70.05" customHeight="1" outlineLevel="1">
      <c r="A487" s="109" t="s">
        <v>4851</v>
      </c>
      <c r="B487" s="110" t="s">
        <v>4852</v>
      </c>
      <c r="C487" s="110" t="s">
        <v>4853</v>
      </c>
      <c r="D487" s="111" t="s">
        <v>4850</v>
      </c>
      <c r="E487" s="111" t="s">
        <v>4803</v>
      </c>
      <c r="F487" s="109" t="s">
        <v>346</v>
      </c>
      <c r="G487" s="109"/>
      <c r="H487" s="109"/>
      <c r="I487" s="109" t="s">
        <v>346</v>
      </c>
      <c r="J487" s="109"/>
      <c r="K487" s="109"/>
      <c r="L487" s="109" t="s">
        <v>346</v>
      </c>
      <c r="M487" s="109"/>
      <c r="N487" s="109"/>
      <c r="O487" s="113" t="s">
        <v>2816</v>
      </c>
    </row>
    <row r="488" spans="1:15" ht="70.05" customHeight="1" outlineLevel="1">
      <c r="A488" s="109" t="s">
        <v>4854</v>
      </c>
      <c r="B488" s="110" t="s">
        <v>4855</v>
      </c>
      <c r="C488" s="110" t="s">
        <v>4856</v>
      </c>
      <c r="D488" s="111" t="s">
        <v>4857</v>
      </c>
      <c r="E488" s="111" t="s">
        <v>3948</v>
      </c>
      <c r="F488" s="109" t="s">
        <v>346</v>
      </c>
      <c r="G488" s="109"/>
      <c r="H488" s="109"/>
      <c r="I488" s="109" t="s">
        <v>346</v>
      </c>
      <c r="J488" s="109"/>
      <c r="K488" s="109"/>
      <c r="L488" s="109" t="s">
        <v>346</v>
      </c>
      <c r="M488" s="109"/>
      <c r="N488" s="109"/>
      <c r="O488" s="113" t="s">
        <v>2816</v>
      </c>
    </row>
    <row r="489" spans="1:15" ht="70.05" customHeight="1" outlineLevel="1">
      <c r="A489" s="109" t="s">
        <v>4858</v>
      </c>
      <c r="B489" s="110" t="s">
        <v>4844</v>
      </c>
      <c r="C489" s="110" t="s">
        <v>4824</v>
      </c>
      <c r="D489" s="111" t="s">
        <v>4859</v>
      </c>
      <c r="E489" s="111" t="s">
        <v>4860</v>
      </c>
      <c r="F489" s="109" t="s">
        <v>346</v>
      </c>
      <c r="G489" s="109"/>
      <c r="H489" s="109"/>
      <c r="I489" s="109" t="s">
        <v>346</v>
      </c>
      <c r="J489" s="109"/>
      <c r="K489" s="109"/>
      <c r="L489" s="109" t="s">
        <v>346</v>
      </c>
      <c r="M489" s="109"/>
      <c r="N489" s="109"/>
      <c r="O489" s="113" t="s">
        <v>2816</v>
      </c>
    </row>
    <row r="490" spans="1:15" ht="70.05" customHeight="1" outlineLevel="1">
      <c r="A490" s="109" t="s">
        <v>4861</v>
      </c>
      <c r="B490" s="110" t="s">
        <v>4844</v>
      </c>
      <c r="C490" s="110" t="s">
        <v>4824</v>
      </c>
      <c r="D490" s="111" t="s">
        <v>4862</v>
      </c>
      <c r="E490" s="111" t="s">
        <v>4863</v>
      </c>
      <c r="F490" s="109" t="s">
        <v>346</v>
      </c>
      <c r="G490" s="109"/>
      <c r="H490" s="109"/>
      <c r="I490" s="109" t="s">
        <v>346</v>
      </c>
      <c r="J490" s="109"/>
      <c r="K490" s="109"/>
      <c r="L490" s="109" t="s">
        <v>346</v>
      </c>
      <c r="M490" s="109"/>
      <c r="N490" s="109"/>
      <c r="O490" s="113" t="s">
        <v>2816</v>
      </c>
    </row>
    <row r="491" spans="1:15" ht="70.05" customHeight="1" outlineLevel="1">
      <c r="A491" s="109" t="s">
        <v>4864</v>
      </c>
      <c r="B491" s="110" t="s">
        <v>4865</v>
      </c>
      <c r="C491" s="110" t="s">
        <v>4866</v>
      </c>
      <c r="D491" s="111" t="s">
        <v>4867</v>
      </c>
      <c r="E491" s="111" t="s">
        <v>4803</v>
      </c>
      <c r="F491" s="109" t="s">
        <v>346</v>
      </c>
      <c r="G491" s="109"/>
      <c r="H491" s="109"/>
      <c r="I491" s="109" t="s">
        <v>346</v>
      </c>
      <c r="J491" s="109"/>
      <c r="K491" s="109"/>
      <c r="L491" s="109" t="s">
        <v>346</v>
      </c>
      <c r="M491" s="109"/>
      <c r="N491" s="109"/>
      <c r="O491" s="113" t="s">
        <v>2816</v>
      </c>
    </row>
    <row r="492" spans="1:15" ht="15.75" customHeight="1">
      <c r="A492" s="60" t="s">
        <v>207</v>
      </c>
      <c r="B492" s="60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2"/>
    </row>
    <row r="493" spans="1:15" ht="70.05" customHeight="1" outlineLevel="1">
      <c r="A493" s="109" t="s">
        <v>4868</v>
      </c>
      <c r="B493" s="110" t="s">
        <v>4869</v>
      </c>
      <c r="C493" s="110" t="s">
        <v>4870</v>
      </c>
      <c r="D493" s="111" t="s">
        <v>4871</v>
      </c>
      <c r="E493" s="111" t="s">
        <v>4872</v>
      </c>
      <c r="F493" s="109" t="s">
        <v>346</v>
      </c>
      <c r="G493" s="109"/>
      <c r="H493" s="109"/>
      <c r="I493" s="109" t="s">
        <v>346</v>
      </c>
      <c r="J493" s="109"/>
      <c r="K493" s="109"/>
      <c r="L493" s="109" t="s">
        <v>346</v>
      </c>
      <c r="M493" s="109"/>
      <c r="N493" s="109"/>
      <c r="O493" s="113" t="s">
        <v>2816</v>
      </c>
    </row>
    <row r="494" spans="1:15" ht="70.05" customHeight="1" outlineLevel="1">
      <c r="A494" s="109" t="s">
        <v>4873</v>
      </c>
      <c r="B494" s="110" t="s">
        <v>4869</v>
      </c>
      <c r="C494" s="110" t="s">
        <v>4870</v>
      </c>
      <c r="D494" s="111" t="s">
        <v>4871</v>
      </c>
      <c r="E494" s="111" t="s">
        <v>4874</v>
      </c>
      <c r="F494" s="109" t="s">
        <v>346</v>
      </c>
      <c r="G494" s="109"/>
      <c r="H494" s="109"/>
      <c r="I494" s="109" t="s">
        <v>346</v>
      </c>
      <c r="J494" s="109"/>
      <c r="K494" s="109"/>
      <c r="L494" s="109" t="s">
        <v>346</v>
      </c>
      <c r="M494" s="109"/>
      <c r="N494" s="109"/>
      <c r="O494" s="113" t="s">
        <v>2816</v>
      </c>
    </row>
    <row r="495" spans="1:15" ht="70.05" customHeight="1" outlineLevel="1">
      <c r="A495" s="109" t="s">
        <v>4875</v>
      </c>
      <c r="B495" s="110" t="s">
        <v>4876</v>
      </c>
      <c r="C495" s="110" t="s">
        <v>4877</v>
      </c>
      <c r="D495" s="111" t="s">
        <v>4878</v>
      </c>
      <c r="E495" s="111" t="s">
        <v>4872</v>
      </c>
      <c r="F495" s="109" t="s">
        <v>346</v>
      </c>
      <c r="G495" s="109"/>
      <c r="H495" s="109"/>
      <c r="I495" s="109" t="s">
        <v>346</v>
      </c>
      <c r="J495" s="109"/>
      <c r="K495" s="109"/>
      <c r="L495" s="109" t="s">
        <v>346</v>
      </c>
      <c r="M495" s="109"/>
      <c r="N495" s="109"/>
      <c r="O495" s="113" t="s">
        <v>2816</v>
      </c>
    </row>
    <row r="496" spans="1:15" ht="70.05" customHeight="1" outlineLevel="1">
      <c r="A496" s="109" t="s">
        <v>4879</v>
      </c>
      <c r="B496" s="110" t="s">
        <v>4880</v>
      </c>
      <c r="C496" s="110" t="s">
        <v>4881</v>
      </c>
      <c r="D496" s="111" t="s">
        <v>4882</v>
      </c>
      <c r="E496" s="111" t="s">
        <v>4872</v>
      </c>
      <c r="F496" s="109" t="s">
        <v>346</v>
      </c>
      <c r="G496" s="109"/>
      <c r="H496" s="109"/>
      <c r="I496" s="109" t="s">
        <v>346</v>
      </c>
      <c r="J496" s="109"/>
      <c r="K496" s="109"/>
      <c r="L496" s="109" t="s">
        <v>346</v>
      </c>
      <c r="M496" s="109"/>
      <c r="N496" s="109"/>
      <c r="O496" s="113" t="s">
        <v>2816</v>
      </c>
    </row>
    <row r="497" spans="1:15" ht="70.05" customHeight="1" outlineLevel="1">
      <c r="A497" s="109" t="s">
        <v>4883</v>
      </c>
      <c r="B497" s="110" t="s">
        <v>4884</v>
      </c>
      <c r="C497" s="110" t="s">
        <v>4885</v>
      </c>
      <c r="D497" s="111" t="s">
        <v>4886</v>
      </c>
      <c r="E497" s="111" t="s">
        <v>4872</v>
      </c>
      <c r="F497" s="109" t="s">
        <v>346</v>
      </c>
      <c r="G497" s="109"/>
      <c r="H497" s="109"/>
      <c r="I497" s="109" t="s">
        <v>346</v>
      </c>
      <c r="J497" s="109"/>
      <c r="K497" s="109"/>
      <c r="L497" s="109" t="s">
        <v>346</v>
      </c>
      <c r="M497" s="109"/>
      <c r="N497" s="109"/>
      <c r="O497" s="113" t="s">
        <v>2816</v>
      </c>
    </row>
    <row r="498" spans="1:15" ht="70.05" customHeight="1" outlineLevel="1">
      <c r="A498" s="109" t="s">
        <v>4887</v>
      </c>
      <c r="B498" s="110" t="s">
        <v>4869</v>
      </c>
      <c r="C498" s="110" t="s">
        <v>4870</v>
      </c>
      <c r="D498" s="111" t="s">
        <v>4888</v>
      </c>
      <c r="E498" s="111" t="s">
        <v>4872</v>
      </c>
      <c r="F498" s="109" t="s">
        <v>346</v>
      </c>
      <c r="G498" s="109"/>
      <c r="H498" s="109"/>
      <c r="I498" s="109" t="s">
        <v>346</v>
      </c>
      <c r="J498" s="109"/>
      <c r="K498" s="109"/>
      <c r="L498" s="109" t="s">
        <v>346</v>
      </c>
      <c r="M498" s="109"/>
      <c r="N498" s="109"/>
      <c r="O498" s="113" t="s">
        <v>2816</v>
      </c>
    </row>
    <row r="499" spans="1:15" ht="70.05" customHeight="1" outlineLevel="1">
      <c r="A499" s="109" t="s">
        <v>4889</v>
      </c>
      <c r="B499" s="110" t="s">
        <v>4890</v>
      </c>
      <c r="C499" s="110" t="s">
        <v>4891</v>
      </c>
      <c r="D499" s="111" t="s">
        <v>4892</v>
      </c>
      <c r="E499" s="111" t="s">
        <v>4874</v>
      </c>
      <c r="F499" s="109" t="s">
        <v>346</v>
      </c>
      <c r="G499" s="109"/>
      <c r="H499" s="109"/>
      <c r="I499" s="109" t="s">
        <v>346</v>
      </c>
      <c r="J499" s="109"/>
      <c r="K499" s="109"/>
      <c r="L499" s="109" t="s">
        <v>346</v>
      </c>
      <c r="M499" s="109"/>
      <c r="N499" s="109"/>
      <c r="O499" s="113" t="s">
        <v>2816</v>
      </c>
    </row>
    <row r="500" spans="1:15" ht="70.05" customHeight="1" outlineLevel="1">
      <c r="A500" s="109" t="s">
        <v>4893</v>
      </c>
      <c r="B500" s="110" t="s">
        <v>4869</v>
      </c>
      <c r="C500" s="110" t="s">
        <v>4870</v>
      </c>
      <c r="D500" s="111" t="s">
        <v>4894</v>
      </c>
      <c r="E500" s="111" t="s">
        <v>4895</v>
      </c>
      <c r="F500" s="109" t="s">
        <v>346</v>
      </c>
      <c r="G500" s="109"/>
      <c r="H500" s="109"/>
      <c r="I500" s="109" t="s">
        <v>346</v>
      </c>
      <c r="J500" s="109"/>
      <c r="K500" s="109"/>
      <c r="L500" s="109" t="s">
        <v>346</v>
      </c>
      <c r="M500" s="109"/>
      <c r="N500" s="109"/>
      <c r="O500" s="113" t="s">
        <v>2816</v>
      </c>
    </row>
    <row r="501" spans="1:15" ht="70.05" customHeight="1" outlineLevel="1">
      <c r="A501" s="109" t="s">
        <v>4896</v>
      </c>
      <c r="B501" s="110" t="s">
        <v>4897</v>
      </c>
      <c r="C501" s="110" t="s">
        <v>4898</v>
      </c>
      <c r="D501" s="111" t="s">
        <v>4899</v>
      </c>
      <c r="E501" s="111" t="s">
        <v>4872</v>
      </c>
      <c r="F501" s="109" t="s">
        <v>346</v>
      </c>
      <c r="G501" s="109"/>
      <c r="H501" s="109"/>
      <c r="I501" s="109" t="s">
        <v>346</v>
      </c>
      <c r="J501" s="109"/>
      <c r="K501" s="109"/>
      <c r="L501" s="109" t="s">
        <v>346</v>
      </c>
      <c r="M501" s="109"/>
      <c r="N501" s="109"/>
      <c r="O501" s="113" t="s">
        <v>2816</v>
      </c>
    </row>
    <row r="502" spans="1:15" ht="70.05" customHeight="1" outlineLevel="1">
      <c r="A502" s="109" t="s">
        <v>4900</v>
      </c>
      <c r="B502" s="110" t="s">
        <v>4901</v>
      </c>
      <c r="C502" s="110" t="s">
        <v>4902</v>
      </c>
      <c r="D502" s="111" t="s">
        <v>4903</v>
      </c>
      <c r="E502" s="111" t="s">
        <v>4872</v>
      </c>
      <c r="F502" s="109" t="s">
        <v>346</v>
      </c>
      <c r="G502" s="109"/>
      <c r="H502" s="109"/>
      <c r="I502" s="109" t="s">
        <v>346</v>
      </c>
      <c r="J502" s="109"/>
      <c r="K502" s="109"/>
      <c r="L502" s="109" t="s">
        <v>346</v>
      </c>
      <c r="M502" s="109"/>
      <c r="N502" s="109"/>
      <c r="O502" s="113" t="s">
        <v>2816</v>
      </c>
    </row>
    <row r="503" spans="1:15" ht="70.05" customHeight="1" outlineLevel="1">
      <c r="A503" s="109" t="s">
        <v>4904</v>
      </c>
      <c r="B503" s="110" t="s">
        <v>4905</v>
      </c>
      <c r="C503" s="110" t="s">
        <v>4906</v>
      </c>
      <c r="D503" s="111" t="s">
        <v>4907</v>
      </c>
      <c r="E503" s="111" t="s">
        <v>4872</v>
      </c>
      <c r="F503" s="109" t="s">
        <v>346</v>
      </c>
      <c r="G503" s="109"/>
      <c r="H503" s="109"/>
      <c r="I503" s="109" t="s">
        <v>346</v>
      </c>
      <c r="J503" s="109"/>
      <c r="K503" s="109"/>
      <c r="L503" s="109" t="s">
        <v>346</v>
      </c>
      <c r="M503" s="109"/>
      <c r="N503" s="109"/>
      <c r="O503" s="113" t="s">
        <v>2816</v>
      </c>
    </row>
    <row r="504" spans="1:15" ht="70.05" customHeight="1" outlineLevel="1">
      <c r="A504" s="109" t="s">
        <v>4908</v>
      </c>
      <c r="B504" s="110" t="s">
        <v>4909</v>
      </c>
      <c r="C504" s="110" t="s">
        <v>4910</v>
      </c>
      <c r="D504" s="111" t="s">
        <v>4911</v>
      </c>
      <c r="E504" s="111" t="s">
        <v>4895</v>
      </c>
      <c r="F504" s="109" t="s">
        <v>346</v>
      </c>
      <c r="G504" s="109"/>
      <c r="H504" s="109"/>
      <c r="I504" s="109" t="s">
        <v>346</v>
      </c>
      <c r="J504" s="109"/>
      <c r="K504" s="109"/>
      <c r="L504" s="109" t="s">
        <v>346</v>
      </c>
      <c r="M504" s="109"/>
      <c r="N504" s="109"/>
      <c r="O504" s="113" t="s">
        <v>2816</v>
      </c>
    </row>
    <row r="505" spans="1:15" ht="70.05" customHeight="1" outlineLevel="1">
      <c r="A505" s="109" t="s">
        <v>4912</v>
      </c>
      <c r="B505" s="110" t="s">
        <v>4913</v>
      </c>
      <c r="C505" s="110" t="s">
        <v>4914</v>
      </c>
      <c r="D505" s="111" t="s">
        <v>4857</v>
      </c>
      <c r="E505" s="111" t="s">
        <v>4007</v>
      </c>
      <c r="F505" s="109" t="s">
        <v>346</v>
      </c>
      <c r="G505" s="109"/>
      <c r="H505" s="109"/>
      <c r="I505" s="109" t="s">
        <v>346</v>
      </c>
      <c r="J505" s="109"/>
      <c r="K505" s="109"/>
      <c r="L505" s="109" t="s">
        <v>346</v>
      </c>
      <c r="M505" s="109"/>
      <c r="N505" s="109"/>
      <c r="O505" s="113" t="s">
        <v>2816</v>
      </c>
    </row>
    <row r="506" spans="1:15" ht="70.05" customHeight="1" outlineLevel="1">
      <c r="A506" s="109" t="s">
        <v>4915</v>
      </c>
      <c r="B506" s="110" t="s">
        <v>4916</v>
      </c>
      <c r="C506" s="110" t="s">
        <v>4917</v>
      </c>
      <c r="D506" s="111" t="s">
        <v>4845</v>
      </c>
      <c r="E506" s="111" t="s">
        <v>4007</v>
      </c>
      <c r="F506" s="109" t="s">
        <v>346</v>
      </c>
      <c r="G506" s="109"/>
      <c r="H506" s="109"/>
      <c r="I506" s="109" t="s">
        <v>346</v>
      </c>
      <c r="J506" s="109"/>
      <c r="K506" s="109"/>
      <c r="L506" s="109" t="s">
        <v>346</v>
      </c>
      <c r="M506" s="109"/>
      <c r="N506" s="109"/>
      <c r="O506" s="113" t="s">
        <v>2816</v>
      </c>
    </row>
    <row r="507" spans="1:15" ht="70.05" customHeight="1" outlineLevel="1">
      <c r="A507" s="109" t="s">
        <v>4918</v>
      </c>
      <c r="B507" s="110" t="s">
        <v>4919</v>
      </c>
      <c r="C507" s="110" t="s">
        <v>4920</v>
      </c>
      <c r="D507" s="111" t="s">
        <v>4921</v>
      </c>
      <c r="E507" s="111" t="s">
        <v>4007</v>
      </c>
      <c r="F507" s="109" t="s">
        <v>346</v>
      </c>
      <c r="G507" s="109"/>
      <c r="H507" s="109"/>
      <c r="I507" s="109" t="s">
        <v>346</v>
      </c>
      <c r="J507" s="109"/>
      <c r="K507" s="109"/>
      <c r="L507" s="109" t="s">
        <v>346</v>
      </c>
      <c r="M507" s="109"/>
      <c r="N507" s="109"/>
      <c r="O507" s="113" t="s">
        <v>2816</v>
      </c>
    </row>
    <row r="508" spans="1:15" ht="70.05" customHeight="1" outlineLevel="1">
      <c r="A508" s="109" t="s">
        <v>4922</v>
      </c>
      <c r="B508" s="110" t="s">
        <v>4923</v>
      </c>
      <c r="C508" s="110" t="s">
        <v>4870</v>
      </c>
      <c r="D508" s="111" t="s">
        <v>4859</v>
      </c>
      <c r="E508" s="111" t="s">
        <v>4924</v>
      </c>
      <c r="F508" s="109" t="s">
        <v>346</v>
      </c>
      <c r="G508" s="109"/>
      <c r="H508" s="109"/>
      <c r="I508" s="109" t="s">
        <v>346</v>
      </c>
      <c r="J508" s="109"/>
      <c r="K508" s="109"/>
      <c r="L508" s="109" t="s">
        <v>346</v>
      </c>
      <c r="M508" s="109"/>
      <c r="N508" s="109"/>
      <c r="O508" s="113" t="s">
        <v>2816</v>
      </c>
    </row>
    <row r="509" spans="1:15" ht="70.05" customHeight="1" outlineLevel="1">
      <c r="A509" s="109" t="s">
        <v>4925</v>
      </c>
      <c r="B509" s="110" t="s">
        <v>4923</v>
      </c>
      <c r="C509" s="110" t="s">
        <v>4870</v>
      </c>
      <c r="D509" s="111" t="s">
        <v>4862</v>
      </c>
      <c r="E509" s="111" t="s">
        <v>4926</v>
      </c>
      <c r="F509" s="109" t="s">
        <v>346</v>
      </c>
      <c r="G509" s="109"/>
      <c r="H509" s="109"/>
      <c r="I509" s="109" t="s">
        <v>346</v>
      </c>
      <c r="J509" s="109"/>
      <c r="K509" s="109"/>
      <c r="L509" s="109" t="s">
        <v>346</v>
      </c>
      <c r="M509" s="109"/>
      <c r="N509" s="109"/>
      <c r="O509" s="113" t="s">
        <v>2816</v>
      </c>
    </row>
    <row r="510" spans="1:15" ht="70.05" customHeight="1" outlineLevel="1">
      <c r="A510" s="109" t="s">
        <v>4927</v>
      </c>
      <c r="B510" s="110" t="s">
        <v>4928</v>
      </c>
      <c r="C510" s="110" t="s">
        <v>4929</v>
      </c>
      <c r="D510" s="111" t="s">
        <v>4859</v>
      </c>
      <c r="E510" s="111" t="s">
        <v>4007</v>
      </c>
      <c r="F510" s="109" t="s">
        <v>346</v>
      </c>
      <c r="G510" s="109"/>
      <c r="H510" s="109"/>
      <c r="I510" s="109" t="s">
        <v>346</v>
      </c>
      <c r="J510" s="109"/>
      <c r="K510" s="109"/>
      <c r="L510" s="109" t="s">
        <v>346</v>
      </c>
      <c r="M510" s="109"/>
      <c r="N510" s="109"/>
      <c r="O510" s="113" t="s">
        <v>2816</v>
      </c>
    </row>
    <row r="511" spans="1:15" ht="15.75" customHeight="1">
      <c r="A511" s="60" t="s">
        <v>209</v>
      </c>
      <c r="B511" s="60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2"/>
    </row>
    <row r="512" spans="1:15" ht="70.05" customHeight="1" outlineLevel="1">
      <c r="A512" s="109" t="s">
        <v>4930</v>
      </c>
      <c r="B512" s="110" t="s">
        <v>4931</v>
      </c>
      <c r="C512" s="110" t="s">
        <v>4932</v>
      </c>
      <c r="D512" s="111" t="s">
        <v>4933</v>
      </c>
      <c r="E512" s="111" t="s">
        <v>4934</v>
      </c>
      <c r="F512" s="109" t="s">
        <v>346</v>
      </c>
      <c r="G512" s="109"/>
      <c r="H512" s="109"/>
      <c r="I512" s="109" t="s">
        <v>346</v>
      </c>
      <c r="J512" s="109"/>
      <c r="K512" s="109"/>
      <c r="L512" s="109" t="s">
        <v>346</v>
      </c>
      <c r="M512" s="109"/>
      <c r="N512" s="109"/>
      <c r="O512" s="113" t="s">
        <v>2816</v>
      </c>
    </row>
    <row r="513" spans="1:15" ht="70.05" customHeight="1" outlineLevel="1">
      <c r="A513" s="109" t="s">
        <v>4935</v>
      </c>
      <c r="B513" s="110" t="s">
        <v>4936</v>
      </c>
      <c r="C513" s="110" t="s">
        <v>4937</v>
      </c>
      <c r="D513" s="111" t="s">
        <v>4938</v>
      </c>
      <c r="E513" s="111" t="s">
        <v>4934</v>
      </c>
      <c r="F513" s="109" t="s">
        <v>346</v>
      </c>
      <c r="G513" s="109"/>
      <c r="H513" s="109"/>
      <c r="I513" s="109" t="s">
        <v>346</v>
      </c>
      <c r="J513" s="109"/>
      <c r="K513" s="109"/>
      <c r="L513" s="109" t="s">
        <v>346</v>
      </c>
      <c r="M513" s="109"/>
      <c r="N513" s="109"/>
      <c r="O513" s="113" t="s">
        <v>2816</v>
      </c>
    </row>
    <row r="514" spans="1:15" ht="70.05" customHeight="1" outlineLevel="1">
      <c r="A514" s="109" t="s">
        <v>4939</v>
      </c>
      <c r="B514" s="110" t="s">
        <v>4940</v>
      </c>
      <c r="C514" s="110" t="s">
        <v>4941</v>
      </c>
      <c r="D514" s="111" t="s">
        <v>4942</v>
      </c>
      <c r="E514" s="111" t="s">
        <v>4934</v>
      </c>
      <c r="F514" s="109" t="s">
        <v>346</v>
      </c>
      <c r="G514" s="109"/>
      <c r="H514" s="109"/>
      <c r="I514" s="109" t="s">
        <v>346</v>
      </c>
      <c r="J514" s="109"/>
      <c r="K514" s="109"/>
      <c r="L514" s="109" t="s">
        <v>346</v>
      </c>
      <c r="M514" s="109"/>
      <c r="N514" s="109"/>
      <c r="O514" s="113" t="s">
        <v>2816</v>
      </c>
    </row>
    <row r="515" spans="1:15" ht="70.05" customHeight="1" outlineLevel="1">
      <c r="A515" s="109" t="s">
        <v>4943</v>
      </c>
      <c r="B515" s="110" t="s">
        <v>4944</v>
      </c>
      <c r="C515" s="110" t="s">
        <v>4945</v>
      </c>
      <c r="D515" s="111" t="s">
        <v>4946</v>
      </c>
      <c r="E515" s="111" t="s">
        <v>4934</v>
      </c>
      <c r="F515" s="109" t="s">
        <v>346</v>
      </c>
      <c r="G515" s="109"/>
      <c r="H515" s="109"/>
      <c r="I515" s="109" t="s">
        <v>346</v>
      </c>
      <c r="J515" s="109"/>
      <c r="K515" s="109"/>
      <c r="L515" s="109" t="s">
        <v>346</v>
      </c>
      <c r="M515" s="109"/>
      <c r="N515" s="109"/>
      <c r="O515" s="113" t="s">
        <v>2816</v>
      </c>
    </row>
    <row r="516" spans="1:15" ht="70.05" customHeight="1" outlineLevel="1">
      <c r="A516" s="109" t="s">
        <v>4947</v>
      </c>
      <c r="B516" s="110" t="s">
        <v>4948</v>
      </c>
      <c r="C516" s="110" t="s">
        <v>4949</v>
      </c>
      <c r="D516" s="111" t="s">
        <v>4950</v>
      </c>
      <c r="E516" s="111" t="s">
        <v>4934</v>
      </c>
      <c r="F516" s="109" t="s">
        <v>346</v>
      </c>
      <c r="G516" s="109"/>
      <c r="H516" s="109"/>
      <c r="I516" s="109" t="s">
        <v>346</v>
      </c>
      <c r="J516" s="109"/>
      <c r="K516" s="109"/>
      <c r="L516" s="109" t="s">
        <v>346</v>
      </c>
      <c r="M516" s="109"/>
      <c r="N516" s="109"/>
      <c r="O516" s="113" t="s">
        <v>2816</v>
      </c>
    </row>
    <row r="517" spans="1:15" ht="70.05" customHeight="1" outlineLevel="1">
      <c r="A517" s="109" t="s">
        <v>4951</v>
      </c>
      <c r="B517" s="110" t="s">
        <v>4952</v>
      </c>
      <c r="C517" s="110" t="s">
        <v>4953</v>
      </c>
      <c r="D517" s="111" t="s">
        <v>4954</v>
      </c>
      <c r="E517" s="111" t="s">
        <v>4934</v>
      </c>
      <c r="F517" s="109" t="s">
        <v>346</v>
      </c>
      <c r="G517" s="109"/>
      <c r="H517" s="109"/>
      <c r="I517" s="109" t="s">
        <v>346</v>
      </c>
      <c r="J517" s="109"/>
      <c r="K517" s="109"/>
      <c r="L517" s="109" t="s">
        <v>346</v>
      </c>
      <c r="M517" s="109"/>
      <c r="N517" s="109"/>
      <c r="O517" s="113" t="s">
        <v>2816</v>
      </c>
    </row>
    <row r="518" spans="1:15" ht="70.05" customHeight="1" outlineLevel="1">
      <c r="A518" s="109" t="s">
        <v>4955</v>
      </c>
      <c r="B518" s="110" t="s">
        <v>4956</v>
      </c>
      <c r="C518" s="110" t="s">
        <v>4957</v>
      </c>
      <c r="D518" s="111" t="s">
        <v>4958</v>
      </c>
      <c r="E518" s="111" t="s">
        <v>4934</v>
      </c>
      <c r="F518" s="109" t="s">
        <v>346</v>
      </c>
      <c r="G518" s="109"/>
      <c r="H518" s="109"/>
      <c r="I518" s="109" t="s">
        <v>346</v>
      </c>
      <c r="J518" s="109"/>
      <c r="K518" s="109"/>
      <c r="L518" s="109" t="s">
        <v>346</v>
      </c>
      <c r="M518" s="109"/>
      <c r="N518" s="109"/>
      <c r="O518" s="113" t="s">
        <v>2816</v>
      </c>
    </row>
    <row r="519" spans="1:15" ht="70.05" customHeight="1" outlineLevel="1">
      <c r="A519" s="109" t="s">
        <v>4959</v>
      </c>
      <c r="B519" s="110" t="s">
        <v>4952</v>
      </c>
      <c r="C519" s="110" t="s">
        <v>4953</v>
      </c>
      <c r="D519" s="111" t="s">
        <v>4960</v>
      </c>
      <c r="E519" s="111" t="s">
        <v>4934</v>
      </c>
      <c r="F519" s="109" t="s">
        <v>346</v>
      </c>
      <c r="G519" s="109"/>
      <c r="H519" s="109"/>
      <c r="I519" s="109" t="s">
        <v>346</v>
      </c>
      <c r="J519" s="109"/>
      <c r="K519" s="109"/>
      <c r="L519" s="109" t="s">
        <v>346</v>
      </c>
      <c r="M519" s="109"/>
      <c r="N519" s="109"/>
      <c r="O519" s="113" t="s">
        <v>2816</v>
      </c>
    </row>
    <row r="520" spans="1:15" ht="70.05" customHeight="1" outlineLevel="1">
      <c r="A520" s="109" t="s">
        <v>4961</v>
      </c>
      <c r="B520" s="110" t="s">
        <v>4962</v>
      </c>
      <c r="C520" s="110" t="s">
        <v>4963</v>
      </c>
      <c r="D520" s="111" t="s">
        <v>4964</v>
      </c>
      <c r="E520" s="111" t="s">
        <v>4934</v>
      </c>
      <c r="F520" s="109" t="s">
        <v>346</v>
      </c>
      <c r="G520" s="109"/>
      <c r="H520" s="109"/>
      <c r="I520" s="109" t="s">
        <v>346</v>
      </c>
      <c r="J520" s="109"/>
      <c r="K520" s="109"/>
      <c r="L520" s="109" t="s">
        <v>346</v>
      </c>
      <c r="M520" s="109"/>
      <c r="N520" s="109"/>
      <c r="O520" s="113" t="s">
        <v>2816</v>
      </c>
    </row>
    <row r="521" spans="1:15" ht="70.05" customHeight="1" outlineLevel="1">
      <c r="A521" s="109" t="s">
        <v>4965</v>
      </c>
      <c r="B521" s="110" t="s">
        <v>4966</v>
      </c>
      <c r="C521" s="110" t="s">
        <v>4967</v>
      </c>
      <c r="D521" s="111" t="s">
        <v>4968</v>
      </c>
      <c r="E521" s="111" t="s">
        <v>4934</v>
      </c>
      <c r="F521" s="109" t="s">
        <v>346</v>
      </c>
      <c r="G521" s="109"/>
      <c r="H521" s="109"/>
      <c r="I521" s="109" t="s">
        <v>346</v>
      </c>
      <c r="J521" s="109"/>
      <c r="K521" s="109"/>
      <c r="L521" s="109" t="s">
        <v>346</v>
      </c>
      <c r="M521" s="109"/>
      <c r="N521" s="109"/>
      <c r="O521" s="113" t="s">
        <v>2816</v>
      </c>
    </row>
    <row r="522" spans="1:15" ht="70.05" customHeight="1" outlineLevel="1">
      <c r="A522" s="109" t="s">
        <v>4969</v>
      </c>
      <c r="B522" s="110" t="s">
        <v>4970</v>
      </c>
      <c r="C522" s="110" t="s">
        <v>4971</v>
      </c>
      <c r="D522" s="111" t="s">
        <v>4972</v>
      </c>
      <c r="E522" s="111" t="s">
        <v>4934</v>
      </c>
      <c r="F522" s="109" t="s">
        <v>346</v>
      </c>
      <c r="G522" s="109"/>
      <c r="H522" s="109"/>
      <c r="I522" s="109" t="s">
        <v>346</v>
      </c>
      <c r="J522" s="109"/>
      <c r="K522" s="109"/>
      <c r="L522" s="109" t="s">
        <v>346</v>
      </c>
      <c r="M522" s="109"/>
      <c r="N522" s="109"/>
      <c r="O522" s="113" t="s">
        <v>2816</v>
      </c>
    </row>
    <row r="523" spans="1:15" ht="70.05" customHeight="1" outlineLevel="1">
      <c r="A523" s="109" t="s">
        <v>4973</v>
      </c>
      <c r="B523" s="110" t="s">
        <v>4974</v>
      </c>
      <c r="C523" s="110" t="s">
        <v>4975</v>
      </c>
      <c r="D523" s="111" t="s">
        <v>4976</v>
      </c>
      <c r="E523" s="111" t="s">
        <v>4934</v>
      </c>
      <c r="F523" s="109" t="s">
        <v>346</v>
      </c>
      <c r="G523" s="109"/>
      <c r="H523" s="109"/>
      <c r="I523" s="109" t="s">
        <v>346</v>
      </c>
      <c r="J523" s="109"/>
      <c r="K523" s="109"/>
      <c r="L523" s="109" t="s">
        <v>346</v>
      </c>
      <c r="M523" s="109"/>
      <c r="N523" s="109"/>
      <c r="O523" s="113" t="s">
        <v>2816</v>
      </c>
    </row>
    <row r="524" spans="1:15" ht="70.05" customHeight="1" outlineLevel="1">
      <c r="A524" s="109" t="s">
        <v>4977</v>
      </c>
      <c r="B524" s="110" t="s">
        <v>4978</v>
      </c>
      <c r="C524" s="110" t="s">
        <v>4953</v>
      </c>
      <c r="D524" s="111" t="s">
        <v>4979</v>
      </c>
      <c r="E524" s="111" t="s">
        <v>4980</v>
      </c>
      <c r="F524" s="109" t="s">
        <v>346</v>
      </c>
      <c r="G524" s="109"/>
      <c r="H524" s="109"/>
      <c r="I524" s="109" t="s">
        <v>346</v>
      </c>
      <c r="J524" s="109"/>
      <c r="K524" s="109"/>
      <c r="L524" s="109" t="s">
        <v>346</v>
      </c>
      <c r="M524" s="109"/>
      <c r="N524" s="109"/>
      <c r="O524" s="113" t="s">
        <v>2816</v>
      </c>
    </row>
    <row r="525" spans="1:15" ht="70.05" customHeight="1" outlineLevel="1">
      <c r="A525" s="109" t="s">
        <v>4981</v>
      </c>
      <c r="B525" s="110" t="s">
        <v>4982</v>
      </c>
      <c r="C525" s="110" t="s">
        <v>4983</v>
      </c>
      <c r="D525" s="111" t="s">
        <v>4857</v>
      </c>
      <c r="E525" s="111" t="s">
        <v>4934</v>
      </c>
      <c r="F525" s="109" t="s">
        <v>346</v>
      </c>
      <c r="G525" s="109"/>
      <c r="H525" s="109"/>
      <c r="I525" s="109" t="s">
        <v>346</v>
      </c>
      <c r="J525" s="109"/>
      <c r="K525" s="109"/>
      <c r="L525" s="109" t="s">
        <v>346</v>
      </c>
      <c r="M525" s="109"/>
      <c r="N525" s="109"/>
      <c r="O525" s="113" t="s">
        <v>2816</v>
      </c>
    </row>
    <row r="526" spans="1:15" ht="70.05" customHeight="1" outlineLevel="1">
      <c r="A526" s="109" t="s">
        <v>4984</v>
      </c>
      <c r="B526" s="110" t="s">
        <v>4985</v>
      </c>
      <c r="C526" s="110" t="s">
        <v>4986</v>
      </c>
      <c r="D526" s="111" t="s">
        <v>4857</v>
      </c>
      <c r="E526" s="111" t="s">
        <v>4934</v>
      </c>
      <c r="F526" s="109" t="s">
        <v>346</v>
      </c>
      <c r="G526" s="109"/>
      <c r="H526" s="109"/>
      <c r="I526" s="109" t="s">
        <v>346</v>
      </c>
      <c r="J526" s="109"/>
      <c r="K526" s="109"/>
      <c r="L526" s="109" t="s">
        <v>346</v>
      </c>
      <c r="M526" s="109"/>
      <c r="N526" s="109"/>
      <c r="O526" s="113" t="s">
        <v>2816</v>
      </c>
    </row>
    <row r="527" spans="1:15" ht="70.05" customHeight="1" outlineLevel="1">
      <c r="A527" s="109" t="s">
        <v>4987</v>
      </c>
      <c r="B527" s="110" t="s">
        <v>4978</v>
      </c>
      <c r="C527" s="110" t="s">
        <v>4953</v>
      </c>
      <c r="D527" s="111" t="s">
        <v>4859</v>
      </c>
      <c r="E527" s="111" t="s">
        <v>4988</v>
      </c>
      <c r="F527" s="109" t="s">
        <v>346</v>
      </c>
      <c r="G527" s="109"/>
      <c r="H527" s="109"/>
      <c r="I527" s="109" t="s">
        <v>346</v>
      </c>
      <c r="J527" s="109"/>
      <c r="K527" s="109"/>
      <c r="L527" s="109" t="s">
        <v>346</v>
      </c>
      <c r="M527" s="109"/>
      <c r="N527" s="109"/>
      <c r="O527" s="113" t="s">
        <v>2816</v>
      </c>
    </row>
    <row r="528" spans="1:15" ht="70.05" customHeight="1" outlineLevel="1">
      <c r="A528" s="109" t="s">
        <v>4989</v>
      </c>
      <c r="B528" s="110" t="s">
        <v>4978</v>
      </c>
      <c r="C528" s="110" t="s">
        <v>4953</v>
      </c>
      <c r="D528" s="111" t="s">
        <v>4862</v>
      </c>
      <c r="E528" s="111" t="s">
        <v>4990</v>
      </c>
      <c r="F528" s="109" t="s">
        <v>346</v>
      </c>
      <c r="G528" s="109"/>
      <c r="H528" s="109"/>
      <c r="I528" s="109" t="s">
        <v>346</v>
      </c>
      <c r="J528" s="109"/>
      <c r="K528" s="109"/>
      <c r="L528" s="109" t="s">
        <v>346</v>
      </c>
      <c r="M528" s="109"/>
      <c r="N528" s="109"/>
      <c r="O528" s="113" t="s">
        <v>2816</v>
      </c>
    </row>
    <row r="529" spans="1:15" ht="70.05" customHeight="1" outlineLevel="1">
      <c r="A529" s="109" t="s">
        <v>4991</v>
      </c>
      <c r="B529" s="110" t="s">
        <v>4992</v>
      </c>
      <c r="C529" s="110" t="s">
        <v>4993</v>
      </c>
      <c r="D529" s="111" t="s">
        <v>4867</v>
      </c>
      <c r="E529" s="111" t="s">
        <v>4934</v>
      </c>
      <c r="F529" s="109" t="s">
        <v>346</v>
      </c>
      <c r="G529" s="109"/>
      <c r="H529" s="109"/>
      <c r="I529" s="109" t="s">
        <v>346</v>
      </c>
      <c r="J529" s="109"/>
      <c r="K529" s="109"/>
      <c r="L529" s="109" t="s">
        <v>346</v>
      </c>
      <c r="M529" s="109"/>
      <c r="N529" s="109"/>
      <c r="O529" s="113" t="s">
        <v>2816</v>
      </c>
    </row>
    <row r="530" spans="1:15" ht="15.75" customHeight="1">
      <c r="A530" s="60" t="s">
        <v>211</v>
      </c>
      <c r="B530" s="60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2"/>
    </row>
    <row r="531" spans="1:15" ht="70.05" customHeight="1" outlineLevel="1">
      <c r="A531" s="109" t="s">
        <v>4994</v>
      </c>
      <c r="B531" s="110" t="s">
        <v>4995</v>
      </c>
      <c r="C531" s="110" t="s">
        <v>4996</v>
      </c>
      <c r="D531" s="111" t="s">
        <v>4997</v>
      </c>
      <c r="E531" s="111" t="s">
        <v>4998</v>
      </c>
      <c r="F531" s="109" t="s">
        <v>344</v>
      </c>
      <c r="G531" s="109" t="s">
        <v>4143</v>
      </c>
      <c r="H531" s="109" t="s">
        <v>4</v>
      </c>
      <c r="I531" s="109" t="s">
        <v>346</v>
      </c>
      <c r="J531" s="109"/>
      <c r="K531" s="109"/>
      <c r="L531" s="109" t="s">
        <v>346</v>
      </c>
      <c r="M531" s="109"/>
      <c r="N531" s="109"/>
      <c r="O531" s="113" t="s">
        <v>2816</v>
      </c>
    </row>
    <row r="532" spans="1:15" ht="70.05" customHeight="1" outlineLevel="1">
      <c r="A532" s="109" t="s">
        <v>4999</v>
      </c>
      <c r="B532" s="110" t="s">
        <v>5000</v>
      </c>
      <c r="C532" s="110" t="s">
        <v>5001</v>
      </c>
      <c r="D532" s="111" t="s">
        <v>5002</v>
      </c>
      <c r="E532" s="111" t="s">
        <v>4998</v>
      </c>
      <c r="F532" s="109" t="s">
        <v>344</v>
      </c>
      <c r="G532" s="109" t="s">
        <v>4143</v>
      </c>
      <c r="H532" s="109" t="s">
        <v>4</v>
      </c>
      <c r="I532" s="109" t="s">
        <v>346</v>
      </c>
      <c r="J532" s="109"/>
      <c r="K532" s="109"/>
      <c r="L532" s="109" t="s">
        <v>346</v>
      </c>
      <c r="M532" s="109"/>
      <c r="N532" s="109"/>
      <c r="O532" s="113" t="s">
        <v>2816</v>
      </c>
    </row>
    <row r="533" spans="1:15" ht="70.05" customHeight="1" outlineLevel="1">
      <c r="A533" s="109" t="s">
        <v>5003</v>
      </c>
      <c r="B533" s="110" t="s">
        <v>4995</v>
      </c>
      <c r="C533" s="110" t="s">
        <v>4996</v>
      </c>
      <c r="D533" s="111" t="s">
        <v>4997</v>
      </c>
      <c r="E533" s="111" t="s">
        <v>5004</v>
      </c>
      <c r="F533" s="109" t="s">
        <v>344</v>
      </c>
      <c r="G533" s="109" t="s">
        <v>4143</v>
      </c>
      <c r="H533" s="109" t="s">
        <v>4</v>
      </c>
      <c r="I533" s="109" t="s">
        <v>346</v>
      </c>
      <c r="J533" s="109"/>
      <c r="K533" s="109"/>
      <c r="L533" s="109" t="s">
        <v>346</v>
      </c>
      <c r="M533" s="109"/>
      <c r="N533" s="109"/>
      <c r="O533" s="113" t="s">
        <v>2816</v>
      </c>
    </row>
    <row r="534" spans="1:15" ht="70.05" customHeight="1" outlineLevel="1">
      <c r="A534" s="109" t="s">
        <v>5005</v>
      </c>
      <c r="B534" s="110" t="s">
        <v>5006</v>
      </c>
      <c r="C534" s="110" t="s">
        <v>5007</v>
      </c>
      <c r="D534" s="111" t="s">
        <v>5008</v>
      </c>
      <c r="E534" s="111" t="s">
        <v>4998</v>
      </c>
      <c r="F534" s="109" t="s">
        <v>344</v>
      </c>
      <c r="G534" s="109" t="s">
        <v>4143</v>
      </c>
      <c r="H534" s="109" t="s">
        <v>4</v>
      </c>
      <c r="I534" s="109" t="s">
        <v>346</v>
      </c>
      <c r="J534" s="109"/>
      <c r="K534" s="109"/>
      <c r="L534" s="109" t="s">
        <v>346</v>
      </c>
      <c r="M534" s="109"/>
      <c r="N534" s="109"/>
      <c r="O534" s="113" t="s">
        <v>2816</v>
      </c>
    </row>
    <row r="535" spans="1:15" ht="70.05" customHeight="1" outlineLevel="1">
      <c r="A535" s="109" t="s">
        <v>5009</v>
      </c>
      <c r="B535" s="110" t="s">
        <v>5010</v>
      </c>
      <c r="C535" s="110" t="s">
        <v>5011</v>
      </c>
      <c r="D535" s="111" t="s">
        <v>5012</v>
      </c>
      <c r="E535" s="111" t="s">
        <v>4998</v>
      </c>
      <c r="F535" s="109" t="s">
        <v>344</v>
      </c>
      <c r="G535" s="109" t="s">
        <v>4143</v>
      </c>
      <c r="H535" s="109" t="s">
        <v>4</v>
      </c>
      <c r="I535" s="109" t="s">
        <v>346</v>
      </c>
      <c r="J535" s="109"/>
      <c r="K535" s="109"/>
      <c r="L535" s="109" t="s">
        <v>346</v>
      </c>
      <c r="M535" s="109"/>
      <c r="N535" s="109"/>
      <c r="O535" s="113" t="s">
        <v>2816</v>
      </c>
    </row>
    <row r="536" spans="1:15" ht="70.05" customHeight="1" outlineLevel="1">
      <c r="A536" s="109" t="s">
        <v>5013</v>
      </c>
      <c r="B536" s="110" t="s">
        <v>5014</v>
      </c>
      <c r="C536" s="110" t="s">
        <v>5015</v>
      </c>
      <c r="D536" s="111" t="s">
        <v>5016</v>
      </c>
      <c r="E536" s="111" t="s">
        <v>4998</v>
      </c>
      <c r="F536" s="109" t="s">
        <v>344</v>
      </c>
      <c r="G536" s="109" t="s">
        <v>4143</v>
      </c>
      <c r="H536" s="109" t="s">
        <v>4</v>
      </c>
      <c r="I536" s="109" t="s">
        <v>346</v>
      </c>
      <c r="J536" s="109"/>
      <c r="K536" s="109"/>
      <c r="L536" s="109" t="s">
        <v>346</v>
      </c>
      <c r="M536" s="109"/>
      <c r="N536" s="109"/>
      <c r="O536" s="113" t="s">
        <v>2816</v>
      </c>
    </row>
    <row r="537" spans="1:15" ht="70.05" customHeight="1" outlineLevel="1">
      <c r="A537" s="109" t="s">
        <v>5017</v>
      </c>
      <c r="B537" s="110" t="s">
        <v>5018</v>
      </c>
      <c r="C537" s="110" t="s">
        <v>5019</v>
      </c>
      <c r="D537" s="111" t="s">
        <v>3402</v>
      </c>
      <c r="E537" s="111" t="s">
        <v>5020</v>
      </c>
      <c r="F537" s="109" t="s">
        <v>344</v>
      </c>
      <c r="G537" s="109" t="s">
        <v>4143</v>
      </c>
      <c r="H537" s="109" t="s">
        <v>4</v>
      </c>
      <c r="I537" s="109" t="s">
        <v>346</v>
      </c>
      <c r="J537" s="109"/>
      <c r="K537" s="109"/>
      <c r="L537" s="109" t="s">
        <v>346</v>
      </c>
      <c r="M537" s="109"/>
      <c r="N537" s="109"/>
      <c r="O537" s="113" t="s">
        <v>2816</v>
      </c>
    </row>
    <row r="538" spans="1:15" ht="70.05" customHeight="1" outlineLevel="1">
      <c r="A538" s="109" t="s">
        <v>5021</v>
      </c>
      <c r="B538" s="110" t="s">
        <v>5022</v>
      </c>
      <c r="C538" s="110" t="s">
        <v>5023</v>
      </c>
      <c r="D538" s="111" t="s">
        <v>5024</v>
      </c>
      <c r="E538" s="111" t="s">
        <v>4998</v>
      </c>
      <c r="F538" s="109" t="s">
        <v>344</v>
      </c>
      <c r="G538" s="109" t="s">
        <v>4143</v>
      </c>
      <c r="H538" s="109" t="s">
        <v>4</v>
      </c>
      <c r="I538" s="109" t="s">
        <v>346</v>
      </c>
      <c r="J538" s="109"/>
      <c r="K538" s="109"/>
      <c r="L538" s="109" t="s">
        <v>346</v>
      </c>
      <c r="M538" s="109"/>
      <c r="N538" s="109"/>
      <c r="O538" s="113" t="s">
        <v>2816</v>
      </c>
    </row>
    <row r="539" spans="1:15" ht="70.05" customHeight="1" outlineLevel="1">
      <c r="A539" s="109" t="s">
        <v>5025</v>
      </c>
      <c r="B539" s="110" t="s">
        <v>5026</v>
      </c>
      <c r="C539" s="110" t="s">
        <v>5027</v>
      </c>
      <c r="D539" s="111" t="s">
        <v>5028</v>
      </c>
      <c r="E539" s="111" t="s">
        <v>5020</v>
      </c>
      <c r="F539" s="109" t="s">
        <v>344</v>
      </c>
      <c r="G539" s="109" t="s">
        <v>4143</v>
      </c>
      <c r="H539" s="109" t="s">
        <v>4</v>
      </c>
      <c r="I539" s="109" t="s">
        <v>346</v>
      </c>
      <c r="J539" s="109"/>
      <c r="K539" s="109"/>
      <c r="L539" s="109" t="s">
        <v>346</v>
      </c>
      <c r="M539" s="109"/>
      <c r="N539" s="109"/>
      <c r="O539" s="113" t="s">
        <v>2816</v>
      </c>
    </row>
    <row r="540" spans="1:15" ht="70.05" customHeight="1" outlineLevel="1">
      <c r="A540" s="109" t="s">
        <v>5029</v>
      </c>
      <c r="B540" s="110" t="s">
        <v>5030</v>
      </c>
      <c r="C540" s="110" t="s">
        <v>5031</v>
      </c>
      <c r="D540" s="111" t="s">
        <v>5032</v>
      </c>
      <c r="E540" s="111" t="s">
        <v>4998</v>
      </c>
      <c r="F540" s="109" t="s">
        <v>344</v>
      </c>
      <c r="G540" s="109" t="s">
        <v>4143</v>
      </c>
      <c r="H540" s="109" t="s">
        <v>4</v>
      </c>
      <c r="I540" s="109" t="s">
        <v>346</v>
      </c>
      <c r="J540" s="109"/>
      <c r="K540" s="109"/>
      <c r="L540" s="109" t="s">
        <v>346</v>
      </c>
      <c r="M540" s="109"/>
      <c r="N540" s="109"/>
      <c r="O540" s="113" t="s">
        <v>2816</v>
      </c>
    </row>
    <row r="541" spans="1:15" ht="70.05" customHeight="1" outlineLevel="1">
      <c r="A541" s="109" t="s">
        <v>5033</v>
      </c>
      <c r="B541" s="110" t="s">
        <v>5034</v>
      </c>
      <c r="C541" s="110" t="s">
        <v>5035</v>
      </c>
      <c r="D541" s="111" t="s">
        <v>5036</v>
      </c>
      <c r="E541" s="111" t="s">
        <v>4998</v>
      </c>
      <c r="F541" s="109" t="s">
        <v>344</v>
      </c>
      <c r="G541" s="109" t="s">
        <v>4143</v>
      </c>
      <c r="H541" s="109" t="s">
        <v>4</v>
      </c>
      <c r="I541" s="109" t="s">
        <v>346</v>
      </c>
      <c r="J541" s="109"/>
      <c r="K541" s="109"/>
      <c r="L541" s="109" t="s">
        <v>346</v>
      </c>
      <c r="M541" s="109"/>
      <c r="N541" s="109"/>
      <c r="O541" s="113" t="s">
        <v>2816</v>
      </c>
    </row>
    <row r="542" spans="1:15" ht="70.05" customHeight="1" outlineLevel="1">
      <c r="A542" s="109" t="s">
        <v>5037</v>
      </c>
      <c r="B542" s="110" t="s">
        <v>5038</v>
      </c>
      <c r="C542" s="110" t="s">
        <v>5039</v>
      </c>
      <c r="D542" s="111" t="s">
        <v>5040</v>
      </c>
      <c r="E542" s="111" t="s">
        <v>4998</v>
      </c>
      <c r="F542" s="109" t="s">
        <v>344</v>
      </c>
      <c r="G542" s="109" t="s">
        <v>4143</v>
      </c>
      <c r="H542" s="109" t="s">
        <v>4</v>
      </c>
      <c r="I542" s="109" t="s">
        <v>346</v>
      </c>
      <c r="J542" s="109"/>
      <c r="K542" s="109"/>
      <c r="L542" s="109" t="s">
        <v>346</v>
      </c>
      <c r="M542" s="109"/>
      <c r="N542" s="109"/>
      <c r="O542" s="113" t="s">
        <v>2816</v>
      </c>
    </row>
    <row r="543" spans="1:15" ht="70.05" customHeight="1" outlineLevel="1">
      <c r="A543" s="109" t="s">
        <v>5041</v>
      </c>
      <c r="B543" s="110" t="s">
        <v>5042</v>
      </c>
      <c r="C543" s="110" t="s">
        <v>4996</v>
      </c>
      <c r="D543" s="111" t="s">
        <v>4862</v>
      </c>
      <c r="E543" s="111" t="s">
        <v>5043</v>
      </c>
      <c r="F543" s="109" t="s">
        <v>344</v>
      </c>
      <c r="G543" s="109" t="s">
        <v>4143</v>
      </c>
      <c r="H543" s="109" t="s">
        <v>4</v>
      </c>
      <c r="I543" s="109" t="s">
        <v>346</v>
      </c>
      <c r="J543" s="109"/>
      <c r="K543" s="109"/>
      <c r="L543" s="109" t="s">
        <v>346</v>
      </c>
      <c r="M543" s="109"/>
      <c r="N543" s="109"/>
      <c r="O543" s="113" t="s">
        <v>2816</v>
      </c>
    </row>
    <row r="544" spans="1:15" ht="70.05" customHeight="1" outlineLevel="1">
      <c r="A544" s="109" t="s">
        <v>5044</v>
      </c>
      <c r="B544" s="110" t="s">
        <v>5042</v>
      </c>
      <c r="C544" s="110" t="s">
        <v>4996</v>
      </c>
      <c r="D544" s="111" t="s">
        <v>4862</v>
      </c>
      <c r="E544" s="111" t="s">
        <v>5045</v>
      </c>
      <c r="F544" s="109" t="s">
        <v>344</v>
      </c>
      <c r="G544" s="109" t="s">
        <v>4143</v>
      </c>
      <c r="H544" s="109" t="s">
        <v>4</v>
      </c>
      <c r="I544" s="109" t="s">
        <v>346</v>
      </c>
      <c r="J544" s="109"/>
      <c r="K544" s="109"/>
      <c r="L544" s="109" t="s">
        <v>346</v>
      </c>
      <c r="M544" s="109"/>
      <c r="N544" s="109"/>
      <c r="O544" s="113" t="s">
        <v>2816</v>
      </c>
    </row>
    <row r="545" spans="1:15" ht="70.05" customHeight="1" outlineLevel="1">
      <c r="A545" s="109" t="s">
        <v>5046</v>
      </c>
      <c r="B545" s="110" t="s">
        <v>5047</v>
      </c>
      <c r="C545" s="110" t="s">
        <v>5048</v>
      </c>
      <c r="D545" s="111" t="s">
        <v>5049</v>
      </c>
      <c r="E545" s="111" t="s">
        <v>4007</v>
      </c>
      <c r="F545" s="109" t="s">
        <v>344</v>
      </c>
      <c r="G545" s="109" t="s">
        <v>4143</v>
      </c>
      <c r="H545" s="109" t="s">
        <v>4</v>
      </c>
      <c r="I545" s="109" t="s">
        <v>346</v>
      </c>
      <c r="J545" s="109"/>
      <c r="K545" s="109"/>
      <c r="L545" s="109" t="s">
        <v>346</v>
      </c>
      <c r="M545" s="109"/>
      <c r="N545" s="109"/>
      <c r="O545" s="113" t="s">
        <v>2816</v>
      </c>
    </row>
    <row r="546" spans="1:15" ht="70.05" customHeight="1" outlineLevel="1">
      <c r="A546" s="109" t="s">
        <v>5050</v>
      </c>
      <c r="B546" s="110" t="s">
        <v>5051</v>
      </c>
      <c r="C546" s="110" t="s">
        <v>5052</v>
      </c>
      <c r="D546" s="111" t="s">
        <v>4862</v>
      </c>
      <c r="E546" s="111" t="s">
        <v>4998</v>
      </c>
      <c r="F546" s="109" t="s">
        <v>344</v>
      </c>
      <c r="G546" s="109" t="s">
        <v>4143</v>
      </c>
      <c r="H546" s="109" t="s">
        <v>4</v>
      </c>
      <c r="I546" s="109" t="s">
        <v>346</v>
      </c>
      <c r="J546" s="109"/>
      <c r="K546" s="109"/>
      <c r="L546" s="109" t="s">
        <v>346</v>
      </c>
      <c r="M546" s="109"/>
      <c r="N546" s="109"/>
      <c r="O546" s="113" t="s">
        <v>2816</v>
      </c>
    </row>
    <row r="547" spans="1:15" ht="70.05" customHeight="1" outlineLevel="1">
      <c r="A547" s="109" t="s">
        <v>5053</v>
      </c>
      <c r="B547" s="110" t="s">
        <v>5054</v>
      </c>
      <c r="C547" s="110" t="s">
        <v>5055</v>
      </c>
      <c r="D547" s="111" t="s">
        <v>4867</v>
      </c>
      <c r="E547" s="111" t="s">
        <v>4007</v>
      </c>
      <c r="F547" s="109" t="s">
        <v>344</v>
      </c>
      <c r="G547" s="109" t="s">
        <v>4143</v>
      </c>
      <c r="H547" s="109" t="s">
        <v>4</v>
      </c>
      <c r="I547" s="109" t="s">
        <v>346</v>
      </c>
      <c r="J547" s="109"/>
      <c r="K547" s="109"/>
      <c r="L547" s="109" t="s">
        <v>346</v>
      </c>
      <c r="M547" s="109"/>
      <c r="N547" s="109"/>
      <c r="O547" s="113" t="s">
        <v>2816</v>
      </c>
    </row>
    <row r="548" spans="1:15" ht="15.75" customHeight="1">
      <c r="A548" s="60" t="s">
        <v>213</v>
      </c>
      <c r="B548" s="60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2"/>
    </row>
    <row r="549" spans="1:15" ht="70.05" customHeight="1" outlineLevel="1">
      <c r="A549" s="109" t="s">
        <v>5056</v>
      </c>
      <c r="B549" s="110" t="s">
        <v>5057</v>
      </c>
      <c r="C549" s="110" t="s">
        <v>5058</v>
      </c>
      <c r="D549" s="111" t="s">
        <v>5059</v>
      </c>
      <c r="E549" s="111" t="s">
        <v>5020</v>
      </c>
      <c r="F549" s="109" t="s">
        <v>344</v>
      </c>
      <c r="G549" s="109" t="s">
        <v>4143</v>
      </c>
      <c r="H549" s="109" t="s">
        <v>4</v>
      </c>
      <c r="I549" s="109" t="s">
        <v>346</v>
      </c>
      <c r="J549" s="109"/>
      <c r="K549" s="109"/>
      <c r="L549" s="109" t="s">
        <v>346</v>
      </c>
      <c r="M549" s="109"/>
      <c r="N549" s="109"/>
      <c r="O549" s="113" t="s">
        <v>2816</v>
      </c>
    </row>
    <row r="550" spans="1:15" ht="70.05" customHeight="1" outlineLevel="1">
      <c r="A550" s="109" t="s">
        <v>5060</v>
      </c>
      <c r="B550" s="110" t="s">
        <v>5061</v>
      </c>
      <c r="C550" s="110" t="s">
        <v>5062</v>
      </c>
      <c r="D550" s="111" t="s">
        <v>5063</v>
      </c>
      <c r="E550" s="111" t="s">
        <v>5064</v>
      </c>
      <c r="F550" s="109" t="s">
        <v>344</v>
      </c>
      <c r="G550" s="109" t="s">
        <v>4143</v>
      </c>
      <c r="H550" s="109" t="s">
        <v>4</v>
      </c>
      <c r="I550" s="109" t="s">
        <v>346</v>
      </c>
      <c r="J550" s="109"/>
      <c r="K550" s="109"/>
      <c r="L550" s="109" t="s">
        <v>346</v>
      </c>
      <c r="M550" s="109"/>
      <c r="N550" s="109"/>
      <c r="O550" s="113" t="s">
        <v>2816</v>
      </c>
    </row>
    <row r="551" spans="1:15" ht="70.05" customHeight="1" outlineLevel="1">
      <c r="A551" s="109" t="s">
        <v>5065</v>
      </c>
      <c r="B551" s="110" t="s">
        <v>5066</v>
      </c>
      <c r="C551" s="110" t="s">
        <v>5067</v>
      </c>
      <c r="D551" s="111" t="s">
        <v>5068</v>
      </c>
      <c r="E551" s="111" t="s">
        <v>5020</v>
      </c>
      <c r="F551" s="109" t="s">
        <v>344</v>
      </c>
      <c r="G551" s="109" t="s">
        <v>4143</v>
      </c>
      <c r="H551" s="109" t="s">
        <v>4</v>
      </c>
      <c r="I551" s="109" t="s">
        <v>346</v>
      </c>
      <c r="J551" s="109"/>
      <c r="K551" s="109"/>
      <c r="L551" s="109" t="s">
        <v>346</v>
      </c>
      <c r="M551" s="109"/>
      <c r="N551" s="109"/>
      <c r="O551" s="113" t="s">
        <v>2816</v>
      </c>
    </row>
    <row r="552" spans="1:15" ht="70.05" customHeight="1" outlineLevel="1">
      <c r="A552" s="109" t="s">
        <v>5069</v>
      </c>
      <c r="B552" s="110" t="s">
        <v>5070</v>
      </c>
      <c r="C552" s="110" t="s">
        <v>5071</v>
      </c>
      <c r="D552" s="111" t="s">
        <v>5072</v>
      </c>
      <c r="E552" s="111" t="s">
        <v>5020</v>
      </c>
      <c r="F552" s="109" t="s">
        <v>344</v>
      </c>
      <c r="G552" s="109" t="s">
        <v>4143</v>
      </c>
      <c r="H552" s="109" t="s">
        <v>4</v>
      </c>
      <c r="I552" s="109" t="s">
        <v>346</v>
      </c>
      <c r="J552" s="109"/>
      <c r="K552" s="109"/>
      <c r="L552" s="109" t="s">
        <v>346</v>
      </c>
      <c r="M552" s="109"/>
      <c r="N552" s="109"/>
      <c r="O552" s="113" t="s">
        <v>2816</v>
      </c>
    </row>
    <row r="553" spans="1:15" ht="70.05" customHeight="1" outlineLevel="1">
      <c r="A553" s="109" t="s">
        <v>5073</v>
      </c>
      <c r="B553" s="110" t="s">
        <v>5074</v>
      </c>
      <c r="C553" s="110" t="s">
        <v>5075</v>
      </c>
      <c r="D553" s="111" t="s">
        <v>5076</v>
      </c>
      <c r="E553" s="111" t="s">
        <v>5077</v>
      </c>
      <c r="F553" s="109" t="s">
        <v>344</v>
      </c>
      <c r="G553" s="109" t="s">
        <v>4143</v>
      </c>
      <c r="H553" s="109" t="s">
        <v>4</v>
      </c>
      <c r="I553" s="109" t="s">
        <v>346</v>
      </c>
      <c r="J553" s="109"/>
      <c r="K553" s="109"/>
      <c r="L553" s="109" t="s">
        <v>346</v>
      </c>
      <c r="M553" s="109"/>
      <c r="N553" s="109"/>
      <c r="O553" s="113" t="s">
        <v>2816</v>
      </c>
    </row>
    <row r="554" spans="1:15" ht="70.05" customHeight="1" outlineLevel="1">
      <c r="A554" s="109" t="s">
        <v>5078</v>
      </c>
      <c r="B554" s="110" t="s">
        <v>5079</v>
      </c>
      <c r="C554" s="110" t="s">
        <v>5080</v>
      </c>
      <c r="D554" s="111" t="s">
        <v>5081</v>
      </c>
      <c r="E554" s="111" t="s">
        <v>5020</v>
      </c>
      <c r="F554" s="109" t="s">
        <v>344</v>
      </c>
      <c r="G554" s="109" t="s">
        <v>4143</v>
      </c>
      <c r="H554" s="109" t="s">
        <v>4</v>
      </c>
      <c r="I554" s="109" t="s">
        <v>346</v>
      </c>
      <c r="J554" s="109"/>
      <c r="K554" s="109"/>
      <c r="L554" s="109" t="s">
        <v>346</v>
      </c>
      <c r="M554" s="109"/>
      <c r="N554" s="109"/>
      <c r="O554" s="113" t="s">
        <v>2816</v>
      </c>
    </row>
    <row r="555" spans="1:15" ht="70.05" customHeight="1" outlineLevel="1">
      <c r="A555" s="109" t="s">
        <v>5082</v>
      </c>
      <c r="B555" s="110" t="s">
        <v>5079</v>
      </c>
      <c r="C555" s="110" t="s">
        <v>5080</v>
      </c>
      <c r="D555" s="111" t="s">
        <v>5083</v>
      </c>
      <c r="E555" s="111" t="s">
        <v>5020</v>
      </c>
      <c r="F555" s="109" t="s">
        <v>344</v>
      </c>
      <c r="G555" s="109" t="s">
        <v>4143</v>
      </c>
      <c r="H555" s="109" t="s">
        <v>4</v>
      </c>
      <c r="I555" s="109" t="s">
        <v>346</v>
      </c>
      <c r="J555" s="109"/>
      <c r="K555" s="109"/>
      <c r="L555" s="109" t="s">
        <v>346</v>
      </c>
      <c r="M555" s="109"/>
      <c r="N555" s="109"/>
      <c r="O555" s="113" t="s">
        <v>2816</v>
      </c>
    </row>
    <row r="556" spans="1:15" ht="70.05" customHeight="1" outlineLevel="1">
      <c r="A556" s="109" t="s">
        <v>5084</v>
      </c>
      <c r="B556" s="110" t="s">
        <v>5085</v>
      </c>
      <c r="C556" s="110" t="s">
        <v>5086</v>
      </c>
      <c r="D556" s="111" t="s">
        <v>5087</v>
      </c>
      <c r="E556" s="111" t="s">
        <v>5020</v>
      </c>
      <c r="F556" s="109" t="s">
        <v>344</v>
      </c>
      <c r="G556" s="109" t="s">
        <v>4143</v>
      </c>
      <c r="H556" s="109" t="s">
        <v>4</v>
      </c>
      <c r="I556" s="109" t="s">
        <v>346</v>
      </c>
      <c r="J556" s="109"/>
      <c r="K556" s="109"/>
      <c r="L556" s="109" t="s">
        <v>346</v>
      </c>
      <c r="M556" s="109"/>
      <c r="N556" s="109"/>
      <c r="O556" s="113" t="s">
        <v>2816</v>
      </c>
    </row>
    <row r="557" spans="1:15" ht="70.05" customHeight="1" outlineLevel="1">
      <c r="A557" s="109" t="s">
        <v>5088</v>
      </c>
      <c r="B557" s="110" t="s">
        <v>5089</v>
      </c>
      <c r="C557" s="110" t="s">
        <v>5090</v>
      </c>
      <c r="D557" s="111" t="s">
        <v>5091</v>
      </c>
      <c r="E557" s="111" t="s">
        <v>5020</v>
      </c>
      <c r="F557" s="109" t="s">
        <v>344</v>
      </c>
      <c r="G557" s="109" t="s">
        <v>4143</v>
      </c>
      <c r="H557" s="109" t="s">
        <v>4</v>
      </c>
      <c r="I557" s="109" t="s">
        <v>346</v>
      </c>
      <c r="J557" s="109"/>
      <c r="K557" s="109"/>
      <c r="L557" s="109" t="s">
        <v>346</v>
      </c>
      <c r="M557" s="109"/>
      <c r="N557" s="109"/>
      <c r="O557" s="113" t="s">
        <v>2816</v>
      </c>
    </row>
    <row r="558" spans="1:15" ht="70.05" customHeight="1" outlineLevel="1">
      <c r="A558" s="109" t="s">
        <v>5092</v>
      </c>
      <c r="B558" s="110" t="s">
        <v>5093</v>
      </c>
      <c r="C558" s="110" t="s">
        <v>5094</v>
      </c>
      <c r="D558" s="111" t="s">
        <v>5095</v>
      </c>
      <c r="E558" s="111" t="s">
        <v>5020</v>
      </c>
      <c r="F558" s="109" t="s">
        <v>344</v>
      </c>
      <c r="G558" s="109" t="s">
        <v>4143</v>
      </c>
      <c r="H558" s="109" t="s">
        <v>4</v>
      </c>
      <c r="I558" s="109" t="s">
        <v>346</v>
      </c>
      <c r="J558" s="109"/>
      <c r="K558" s="109"/>
      <c r="L558" s="109" t="s">
        <v>346</v>
      </c>
      <c r="M558" s="109"/>
      <c r="N558" s="109"/>
      <c r="O558" s="113" t="s">
        <v>2816</v>
      </c>
    </row>
    <row r="559" spans="1:15" ht="70.05" customHeight="1" outlineLevel="1">
      <c r="A559" s="109" t="s">
        <v>5096</v>
      </c>
      <c r="B559" s="110" t="s">
        <v>5097</v>
      </c>
      <c r="C559" s="110" t="s">
        <v>5098</v>
      </c>
      <c r="D559" s="111" t="s">
        <v>4867</v>
      </c>
      <c r="E559" s="111" t="s">
        <v>5020</v>
      </c>
      <c r="F559" s="109" t="s">
        <v>344</v>
      </c>
      <c r="G559" s="109" t="s">
        <v>4143</v>
      </c>
      <c r="H559" s="109" t="s">
        <v>4</v>
      </c>
      <c r="I559" s="109" t="s">
        <v>346</v>
      </c>
      <c r="J559" s="109"/>
      <c r="K559" s="109"/>
      <c r="L559" s="109" t="s">
        <v>346</v>
      </c>
      <c r="M559" s="109"/>
      <c r="N559" s="109"/>
      <c r="O559" s="113" t="s">
        <v>2816</v>
      </c>
    </row>
    <row r="560" spans="1:15" ht="70.05" customHeight="1" outlineLevel="1">
      <c r="A560" s="109" t="s">
        <v>5099</v>
      </c>
      <c r="B560" s="110" t="s">
        <v>5100</v>
      </c>
      <c r="C560" s="110" t="s">
        <v>5101</v>
      </c>
      <c r="D560" s="111" t="s">
        <v>5102</v>
      </c>
      <c r="E560" s="111" t="s">
        <v>5020</v>
      </c>
      <c r="F560" s="109" t="s">
        <v>344</v>
      </c>
      <c r="G560" s="109" t="s">
        <v>4143</v>
      </c>
      <c r="H560" s="109" t="s">
        <v>4</v>
      </c>
      <c r="I560" s="109" t="s">
        <v>346</v>
      </c>
      <c r="J560" s="109"/>
      <c r="K560" s="109"/>
      <c r="L560" s="109" t="s">
        <v>346</v>
      </c>
      <c r="M560" s="109"/>
      <c r="N560" s="109"/>
      <c r="O560" s="113" t="s">
        <v>2816</v>
      </c>
    </row>
    <row r="561" spans="1:15" ht="70.05" customHeight="1" outlineLevel="1">
      <c r="A561" s="109" t="s">
        <v>5103</v>
      </c>
      <c r="B561" s="110" t="s">
        <v>5104</v>
      </c>
      <c r="C561" s="110" t="s">
        <v>5105</v>
      </c>
      <c r="D561" s="111" t="s">
        <v>4867</v>
      </c>
      <c r="E561" s="111" t="s">
        <v>5020</v>
      </c>
      <c r="F561" s="109" t="s">
        <v>344</v>
      </c>
      <c r="G561" s="109" t="s">
        <v>4143</v>
      </c>
      <c r="H561" s="109" t="s">
        <v>4</v>
      </c>
      <c r="I561" s="109" t="s">
        <v>346</v>
      </c>
      <c r="J561" s="109"/>
      <c r="K561" s="109"/>
      <c r="L561" s="109" t="s">
        <v>346</v>
      </c>
      <c r="M561" s="109"/>
      <c r="N561" s="109"/>
      <c r="O561" s="113" t="s">
        <v>2816</v>
      </c>
    </row>
    <row r="562" spans="1:15" ht="70.05" customHeight="1" outlineLevel="1">
      <c r="A562" s="109" t="s">
        <v>5106</v>
      </c>
      <c r="B562" s="110" t="s">
        <v>5107</v>
      </c>
      <c r="C562" s="110" t="s">
        <v>5108</v>
      </c>
      <c r="D562" s="111" t="s">
        <v>4867</v>
      </c>
      <c r="E562" s="111" t="s">
        <v>5020</v>
      </c>
      <c r="F562" s="109" t="s">
        <v>344</v>
      </c>
      <c r="G562" s="109" t="s">
        <v>4143</v>
      </c>
      <c r="H562" s="109" t="s">
        <v>4</v>
      </c>
      <c r="I562" s="109" t="s">
        <v>346</v>
      </c>
      <c r="J562" s="109"/>
      <c r="K562" s="109"/>
      <c r="L562" s="109" t="s">
        <v>346</v>
      </c>
      <c r="M562" s="109"/>
      <c r="N562" s="109"/>
      <c r="O562" s="113" t="s">
        <v>2816</v>
      </c>
    </row>
    <row r="563" spans="1:15" ht="70.05" customHeight="1" outlineLevel="1">
      <c r="A563" s="109" t="s">
        <v>5109</v>
      </c>
      <c r="B563" s="110" t="s">
        <v>5110</v>
      </c>
      <c r="C563" s="110" t="s">
        <v>5111</v>
      </c>
      <c r="D563" s="111" t="s">
        <v>4867</v>
      </c>
      <c r="E563" s="111" t="s">
        <v>5020</v>
      </c>
      <c r="F563" s="109" t="s">
        <v>344</v>
      </c>
      <c r="G563" s="109" t="s">
        <v>4143</v>
      </c>
      <c r="H563" s="109" t="s">
        <v>4</v>
      </c>
      <c r="I563" s="109" t="s">
        <v>346</v>
      </c>
      <c r="J563" s="109"/>
      <c r="K563" s="109"/>
      <c r="L563" s="109" t="s">
        <v>346</v>
      </c>
      <c r="M563" s="109"/>
      <c r="N563" s="109"/>
      <c r="O563" s="113" t="s">
        <v>2816</v>
      </c>
    </row>
    <row r="564" spans="1:15" ht="70.05" customHeight="1" outlineLevel="1">
      <c r="A564" s="109" t="s">
        <v>5112</v>
      </c>
      <c r="B564" s="110" t="s">
        <v>5113</v>
      </c>
      <c r="C564" s="110" t="s">
        <v>5114</v>
      </c>
      <c r="D564" s="111" t="s">
        <v>4867</v>
      </c>
      <c r="E564" s="111" t="s">
        <v>5020</v>
      </c>
      <c r="F564" s="109" t="s">
        <v>344</v>
      </c>
      <c r="G564" s="109" t="s">
        <v>4143</v>
      </c>
      <c r="H564" s="109" t="s">
        <v>4</v>
      </c>
      <c r="I564" s="109" t="s">
        <v>346</v>
      </c>
      <c r="J564" s="109"/>
      <c r="K564" s="109"/>
      <c r="L564" s="109" t="s">
        <v>346</v>
      </c>
      <c r="M564" s="109"/>
      <c r="N564" s="109"/>
      <c r="O564" s="113" t="s">
        <v>2816</v>
      </c>
    </row>
    <row r="565" spans="1:15" ht="70.05" customHeight="1" outlineLevel="1">
      <c r="A565" s="109" t="s">
        <v>5115</v>
      </c>
      <c r="B565" s="110" t="s">
        <v>5116</v>
      </c>
      <c r="C565" s="110" t="s">
        <v>5117</v>
      </c>
      <c r="D565" s="111" t="s">
        <v>4867</v>
      </c>
      <c r="E565" s="111" t="s">
        <v>5020</v>
      </c>
      <c r="F565" s="109" t="s">
        <v>344</v>
      </c>
      <c r="G565" s="109" t="s">
        <v>4143</v>
      </c>
      <c r="H565" s="109" t="s">
        <v>4</v>
      </c>
      <c r="I565" s="109" t="s">
        <v>346</v>
      </c>
      <c r="J565" s="109"/>
      <c r="K565" s="109"/>
      <c r="L565" s="109" t="s">
        <v>346</v>
      </c>
      <c r="M565" s="109"/>
      <c r="N565" s="109"/>
      <c r="O565" s="113" t="s">
        <v>2816</v>
      </c>
    </row>
    <row r="566" spans="1:15" ht="70.05" customHeight="1" outlineLevel="1">
      <c r="A566" s="109" t="s">
        <v>5118</v>
      </c>
      <c r="B566" s="110" t="s">
        <v>5119</v>
      </c>
      <c r="C566" s="110" t="s">
        <v>5120</v>
      </c>
      <c r="D566" s="111" t="s">
        <v>5121</v>
      </c>
      <c r="E566" s="111" t="s">
        <v>5020</v>
      </c>
      <c r="F566" s="109" t="s">
        <v>344</v>
      </c>
      <c r="G566" s="109" t="s">
        <v>4143</v>
      </c>
      <c r="H566" s="109" t="s">
        <v>4</v>
      </c>
      <c r="I566" s="109" t="s">
        <v>346</v>
      </c>
      <c r="J566" s="109"/>
      <c r="K566" s="109"/>
      <c r="L566" s="109" t="s">
        <v>346</v>
      </c>
      <c r="M566" s="109"/>
      <c r="N566" s="109"/>
      <c r="O566" s="113" t="s">
        <v>2816</v>
      </c>
    </row>
    <row r="567" spans="1:15" ht="70.05" customHeight="1" outlineLevel="1">
      <c r="A567" s="109" t="s">
        <v>5122</v>
      </c>
      <c r="B567" s="110" t="s">
        <v>5123</v>
      </c>
      <c r="C567" s="110" t="s">
        <v>5080</v>
      </c>
      <c r="D567" s="111" t="s">
        <v>4862</v>
      </c>
      <c r="E567" s="111" t="s">
        <v>5043</v>
      </c>
      <c r="F567" s="109" t="s">
        <v>344</v>
      </c>
      <c r="G567" s="109" t="s">
        <v>4143</v>
      </c>
      <c r="H567" s="109" t="s">
        <v>4</v>
      </c>
      <c r="I567" s="109" t="s">
        <v>346</v>
      </c>
      <c r="J567" s="109"/>
      <c r="K567" s="109"/>
      <c r="L567" s="109" t="s">
        <v>346</v>
      </c>
      <c r="M567" s="109"/>
      <c r="N567" s="109"/>
      <c r="O567" s="113" t="s">
        <v>2816</v>
      </c>
    </row>
    <row r="568" spans="1:15" ht="15.75" customHeight="1">
      <c r="A568" s="60" t="s">
        <v>215</v>
      </c>
      <c r="B568" s="60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2"/>
    </row>
    <row r="569" spans="1:15" ht="70.05" customHeight="1" outlineLevel="1">
      <c r="A569" s="109" t="s">
        <v>5124</v>
      </c>
      <c r="B569" s="110" t="s">
        <v>5125</v>
      </c>
      <c r="C569" s="110" t="s">
        <v>5126</v>
      </c>
      <c r="D569" s="111" t="s">
        <v>5127</v>
      </c>
      <c r="E569" s="111" t="s">
        <v>5128</v>
      </c>
      <c r="F569" s="109" t="s">
        <v>344</v>
      </c>
      <c r="G569" s="109" t="s">
        <v>4143</v>
      </c>
      <c r="H569" s="109" t="s">
        <v>4</v>
      </c>
      <c r="I569" s="109" t="s">
        <v>346</v>
      </c>
      <c r="J569" s="109"/>
      <c r="K569" s="109"/>
      <c r="L569" s="109" t="s">
        <v>346</v>
      </c>
      <c r="M569" s="109"/>
      <c r="N569" s="109"/>
      <c r="O569" s="113" t="s">
        <v>2816</v>
      </c>
    </row>
    <row r="570" spans="1:15" ht="70.05" customHeight="1" outlineLevel="1">
      <c r="A570" s="109" t="s">
        <v>5129</v>
      </c>
      <c r="B570" s="110" t="s">
        <v>5130</v>
      </c>
      <c r="C570" s="110" t="s">
        <v>5131</v>
      </c>
      <c r="D570" s="111" t="s">
        <v>5132</v>
      </c>
      <c r="E570" s="111" t="s">
        <v>5128</v>
      </c>
      <c r="F570" s="109" t="s">
        <v>344</v>
      </c>
      <c r="G570" s="109" t="s">
        <v>4143</v>
      </c>
      <c r="H570" s="109" t="s">
        <v>4</v>
      </c>
      <c r="I570" s="109" t="s">
        <v>346</v>
      </c>
      <c r="J570" s="109"/>
      <c r="K570" s="109"/>
      <c r="L570" s="109" t="s">
        <v>346</v>
      </c>
      <c r="M570" s="109"/>
      <c r="N570" s="109"/>
      <c r="O570" s="113" t="s">
        <v>2816</v>
      </c>
    </row>
    <row r="571" spans="1:15" ht="70.05" customHeight="1" outlineLevel="1">
      <c r="A571" s="109" t="s">
        <v>5133</v>
      </c>
      <c r="B571" s="110" t="s">
        <v>5134</v>
      </c>
      <c r="C571" s="110" t="s">
        <v>5135</v>
      </c>
      <c r="D571" s="111" t="s">
        <v>5136</v>
      </c>
      <c r="E571" s="111" t="s">
        <v>5128</v>
      </c>
      <c r="F571" s="109" t="s">
        <v>344</v>
      </c>
      <c r="G571" s="109" t="s">
        <v>4143</v>
      </c>
      <c r="H571" s="109" t="s">
        <v>4</v>
      </c>
      <c r="I571" s="109" t="s">
        <v>346</v>
      </c>
      <c r="J571" s="109"/>
      <c r="K571" s="109"/>
      <c r="L571" s="109" t="s">
        <v>346</v>
      </c>
      <c r="M571" s="109"/>
      <c r="N571" s="109"/>
      <c r="O571" s="113" t="s">
        <v>2816</v>
      </c>
    </row>
    <row r="572" spans="1:15" ht="70.05" customHeight="1" outlineLevel="1">
      <c r="A572" s="109" t="s">
        <v>5137</v>
      </c>
      <c r="B572" s="110" t="s">
        <v>5138</v>
      </c>
      <c r="C572" s="110" t="s">
        <v>5139</v>
      </c>
      <c r="D572" s="111" t="s">
        <v>5140</v>
      </c>
      <c r="E572" s="111" t="s">
        <v>5128</v>
      </c>
      <c r="F572" s="109" t="s">
        <v>344</v>
      </c>
      <c r="G572" s="109" t="s">
        <v>4143</v>
      </c>
      <c r="H572" s="109" t="s">
        <v>4</v>
      </c>
      <c r="I572" s="109" t="s">
        <v>346</v>
      </c>
      <c r="J572" s="109"/>
      <c r="K572" s="109"/>
      <c r="L572" s="109" t="s">
        <v>346</v>
      </c>
      <c r="M572" s="109"/>
      <c r="N572" s="109"/>
      <c r="O572" s="113" t="s">
        <v>2816</v>
      </c>
    </row>
    <row r="573" spans="1:15" ht="70.05" customHeight="1" outlineLevel="1">
      <c r="A573" s="109" t="s">
        <v>5141</v>
      </c>
      <c r="B573" s="110" t="s">
        <v>5125</v>
      </c>
      <c r="C573" s="110" t="s">
        <v>5126</v>
      </c>
      <c r="D573" s="111" t="s">
        <v>5142</v>
      </c>
      <c r="E573" s="111" t="s">
        <v>5143</v>
      </c>
      <c r="F573" s="109" t="s">
        <v>344</v>
      </c>
      <c r="G573" s="109" t="s">
        <v>4143</v>
      </c>
      <c r="H573" s="109" t="s">
        <v>4</v>
      </c>
      <c r="I573" s="109" t="s">
        <v>346</v>
      </c>
      <c r="J573" s="109"/>
      <c r="K573" s="109"/>
      <c r="L573" s="109" t="s">
        <v>346</v>
      </c>
      <c r="M573" s="109"/>
      <c r="N573" s="109"/>
      <c r="O573" s="113" t="s">
        <v>2816</v>
      </c>
    </row>
    <row r="574" spans="1:15" ht="70.05" customHeight="1" outlineLevel="1">
      <c r="A574" s="109" t="s">
        <v>5144</v>
      </c>
      <c r="B574" s="110" t="s">
        <v>5145</v>
      </c>
      <c r="C574" s="110" t="s">
        <v>5146</v>
      </c>
      <c r="D574" s="111" t="s">
        <v>5147</v>
      </c>
      <c r="E574" s="111" t="s">
        <v>5128</v>
      </c>
      <c r="F574" s="109" t="s">
        <v>344</v>
      </c>
      <c r="G574" s="109" t="s">
        <v>4143</v>
      </c>
      <c r="H574" s="109" t="s">
        <v>4</v>
      </c>
      <c r="I574" s="109" t="s">
        <v>346</v>
      </c>
      <c r="J574" s="109"/>
      <c r="K574" s="109"/>
      <c r="L574" s="109" t="s">
        <v>346</v>
      </c>
      <c r="M574" s="109"/>
      <c r="N574" s="109"/>
      <c r="O574" s="113" t="s">
        <v>2816</v>
      </c>
    </row>
    <row r="575" spans="1:15" ht="70.05" customHeight="1" outlineLevel="1">
      <c r="A575" s="109" t="s">
        <v>5148</v>
      </c>
      <c r="B575" s="110" t="s">
        <v>5149</v>
      </c>
      <c r="C575" s="110" t="s">
        <v>5150</v>
      </c>
      <c r="D575" s="111" t="s">
        <v>5151</v>
      </c>
      <c r="E575" s="111" t="s">
        <v>5128</v>
      </c>
      <c r="F575" s="109" t="s">
        <v>344</v>
      </c>
      <c r="G575" s="109" t="s">
        <v>4143</v>
      </c>
      <c r="H575" s="109" t="s">
        <v>4</v>
      </c>
      <c r="I575" s="109" t="s">
        <v>346</v>
      </c>
      <c r="J575" s="109"/>
      <c r="K575" s="109"/>
      <c r="L575" s="109" t="s">
        <v>346</v>
      </c>
      <c r="M575" s="109"/>
      <c r="N575" s="109"/>
      <c r="O575" s="113" t="s">
        <v>2816</v>
      </c>
    </row>
    <row r="576" spans="1:15" ht="70.05" customHeight="1" outlineLevel="1">
      <c r="A576" s="109" t="s">
        <v>5152</v>
      </c>
      <c r="B576" s="110" t="s">
        <v>5153</v>
      </c>
      <c r="C576" s="110" t="s">
        <v>5154</v>
      </c>
      <c r="D576" s="111" t="s">
        <v>5155</v>
      </c>
      <c r="E576" s="111" t="s">
        <v>5128</v>
      </c>
      <c r="F576" s="109" t="s">
        <v>344</v>
      </c>
      <c r="G576" s="109" t="s">
        <v>4143</v>
      </c>
      <c r="H576" s="109" t="s">
        <v>4</v>
      </c>
      <c r="I576" s="109" t="s">
        <v>346</v>
      </c>
      <c r="J576" s="109"/>
      <c r="K576" s="109"/>
      <c r="L576" s="109" t="s">
        <v>346</v>
      </c>
      <c r="M576" s="109"/>
      <c r="N576" s="109"/>
      <c r="O576" s="113" t="s">
        <v>2816</v>
      </c>
    </row>
    <row r="577" spans="1:15" ht="70.05" customHeight="1" outlineLevel="1">
      <c r="A577" s="109" t="s">
        <v>5156</v>
      </c>
      <c r="B577" s="110" t="s">
        <v>5157</v>
      </c>
      <c r="C577" s="110" t="s">
        <v>5158</v>
      </c>
      <c r="D577" s="111" t="s">
        <v>5159</v>
      </c>
      <c r="E577" s="111" t="s">
        <v>5128</v>
      </c>
      <c r="F577" s="109" t="s">
        <v>344</v>
      </c>
      <c r="G577" s="109" t="s">
        <v>4143</v>
      </c>
      <c r="H577" s="109" t="s">
        <v>4</v>
      </c>
      <c r="I577" s="109" t="s">
        <v>346</v>
      </c>
      <c r="J577" s="109"/>
      <c r="K577" s="109"/>
      <c r="L577" s="109" t="s">
        <v>346</v>
      </c>
      <c r="M577" s="109"/>
      <c r="N577" s="109"/>
      <c r="O577" s="113" t="s">
        <v>2816</v>
      </c>
    </row>
    <row r="578" spans="1:15" ht="70.05" customHeight="1" outlineLevel="1">
      <c r="A578" s="109" t="s">
        <v>5160</v>
      </c>
      <c r="B578" s="110" t="s">
        <v>5161</v>
      </c>
      <c r="C578" s="110" t="s">
        <v>5162</v>
      </c>
      <c r="D578" s="111" t="s">
        <v>5159</v>
      </c>
      <c r="E578" s="111" t="s">
        <v>5128</v>
      </c>
      <c r="F578" s="109" t="s">
        <v>344</v>
      </c>
      <c r="G578" s="109" t="s">
        <v>4143</v>
      </c>
      <c r="H578" s="109" t="s">
        <v>4</v>
      </c>
      <c r="I578" s="109" t="s">
        <v>346</v>
      </c>
      <c r="J578" s="109"/>
      <c r="K578" s="109"/>
      <c r="L578" s="109" t="s">
        <v>346</v>
      </c>
      <c r="M578" s="109"/>
      <c r="N578" s="109"/>
      <c r="O578" s="113" t="s">
        <v>2816</v>
      </c>
    </row>
    <row r="579" spans="1:15" ht="70.05" customHeight="1" outlineLevel="1">
      <c r="A579" s="109" t="s">
        <v>5163</v>
      </c>
      <c r="B579" s="110" t="s">
        <v>5164</v>
      </c>
      <c r="C579" s="110" t="s">
        <v>5165</v>
      </c>
      <c r="D579" s="111" t="s">
        <v>4867</v>
      </c>
      <c r="E579" s="111" t="s">
        <v>5128</v>
      </c>
      <c r="F579" s="109" t="s">
        <v>344</v>
      </c>
      <c r="G579" s="109" t="s">
        <v>4143</v>
      </c>
      <c r="H579" s="109" t="s">
        <v>4</v>
      </c>
      <c r="I579" s="109" t="s">
        <v>346</v>
      </c>
      <c r="J579" s="109"/>
      <c r="K579" s="109"/>
      <c r="L579" s="109" t="s">
        <v>346</v>
      </c>
      <c r="M579" s="109"/>
      <c r="N579" s="109"/>
      <c r="O579" s="113" t="s">
        <v>2816</v>
      </c>
    </row>
    <row r="580" spans="1:15" ht="70.05" customHeight="1" outlineLevel="1">
      <c r="A580" s="109" t="s">
        <v>5166</v>
      </c>
      <c r="B580" s="110" t="s">
        <v>5167</v>
      </c>
      <c r="C580" s="110" t="s">
        <v>5168</v>
      </c>
      <c r="D580" s="111" t="s">
        <v>4867</v>
      </c>
      <c r="E580" s="111" t="s">
        <v>5128</v>
      </c>
      <c r="F580" s="109" t="s">
        <v>344</v>
      </c>
      <c r="G580" s="109" t="s">
        <v>4143</v>
      </c>
      <c r="H580" s="109" t="s">
        <v>4</v>
      </c>
      <c r="I580" s="109" t="s">
        <v>346</v>
      </c>
      <c r="J580" s="109"/>
      <c r="K580" s="109"/>
      <c r="L580" s="109" t="s">
        <v>346</v>
      </c>
      <c r="M580" s="109"/>
      <c r="N580" s="109"/>
      <c r="O580" s="113" t="s">
        <v>2816</v>
      </c>
    </row>
    <row r="581" spans="1:15" ht="70.05" customHeight="1" outlineLevel="1">
      <c r="A581" s="109" t="s">
        <v>5169</v>
      </c>
      <c r="B581" s="110" t="s">
        <v>5170</v>
      </c>
      <c r="C581" s="110" t="s">
        <v>5171</v>
      </c>
      <c r="D581" s="111" t="s">
        <v>4867</v>
      </c>
      <c r="E581" s="111" t="s">
        <v>5128</v>
      </c>
      <c r="F581" s="109" t="s">
        <v>344</v>
      </c>
      <c r="G581" s="109" t="s">
        <v>4143</v>
      </c>
      <c r="H581" s="109" t="s">
        <v>4</v>
      </c>
      <c r="I581" s="109" t="s">
        <v>346</v>
      </c>
      <c r="J581" s="109"/>
      <c r="K581" s="109"/>
      <c r="L581" s="109" t="s">
        <v>346</v>
      </c>
      <c r="M581" s="109"/>
      <c r="N581" s="109"/>
      <c r="O581" s="113" t="s">
        <v>2816</v>
      </c>
    </row>
    <row r="582" spans="1:15" ht="70.05" customHeight="1" outlineLevel="1">
      <c r="A582" s="109" t="s">
        <v>5172</v>
      </c>
      <c r="B582" s="110" t="s">
        <v>5173</v>
      </c>
      <c r="C582" s="110" t="s">
        <v>5174</v>
      </c>
      <c r="D582" s="111" t="s">
        <v>5121</v>
      </c>
      <c r="E582" s="111" t="s">
        <v>4007</v>
      </c>
      <c r="F582" s="109" t="s">
        <v>344</v>
      </c>
      <c r="G582" s="109" t="s">
        <v>4143</v>
      </c>
      <c r="H582" s="109" t="s">
        <v>4</v>
      </c>
      <c r="I582" s="109" t="s">
        <v>346</v>
      </c>
      <c r="J582" s="109"/>
      <c r="K582" s="109"/>
      <c r="L582" s="109" t="s">
        <v>346</v>
      </c>
      <c r="M582" s="109"/>
      <c r="N582" s="109"/>
      <c r="O582" s="113" t="s">
        <v>2816</v>
      </c>
    </row>
    <row r="583" spans="1:15" ht="70.05" customHeight="1" outlineLevel="1">
      <c r="A583" s="109" t="s">
        <v>5175</v>
      </c>
      <c r="B583" s="110" t="s">
        <v>5176</v>
      </c>
      <c r="C583" s="110" t="s">
        <v>5177</v>
      </c>
      <c r="D583" s="111" t="s">
        <v>5121</v>
      </c>
      <c r="E583" s="111" t="s">
        <v>4007</v>
      </c>
      <c r="F583" s="109" t="s">
        <v>344</v>
      </c>
      <c r="G583" s="109" t="s">
        <v>4143</v>
      </c>
      <c r="H583" s="109" t="s">
        <v>4</v>
      </c>
      <c r="I583" s="109" t="s">
        <v>346</v>
      </c>
      <c r="J583" s="109"/>
      <c r="K583" s="109"/>
      <c r="L583" s="109" t="s">
        <v>346</v>
      </c>
      <c r="M583" s="109"/>
      <c r="N583" s="109"/>
      <c r="O583" s="113" t="s">
        <v>2816</v>
      </c>
    </row>
    <row r="584" spans="1:15" ht="70.05" customHeight="1" outlineLevel="1">
      <c r="A584" s="109" t="s">
        <v>5178</v>
      </c>
      <c r="B584" s="110" t="s">
        <v>5179</v>
      </c>
      <c r="C584" s="110" t="s">
        <v>5180</v>
      </c>
      <c r="D584" s="111" t="s">
        <v>5121</v>
      </c>
      <c r="E584" s="111" t="s">
        <v>4007</v>
      </c>
      <c r="F584" s="109" t="s">
        <v>344</v>
      </c>
      <c r="G584" s="109" t="s">
        <v>4143</v>
      </c>
      <c r="H584" s="109" t="s">
        <v>4</v>
      </c>
      <c r="I584" s="109" t="s">
        <v>346</v>
      </c>
      <c r="J584" s="109"/>
      <c r="K584" s="109"/>
      <c r="L584" s="109" t="s">
        <v>346</v>
      </c>
      <c r="M584" s="109"/>
      <c r="N584" s="109"/>
      <c r="O584" s="113" t="s">
        <v>2816</v>
      </c>
    </row>
    <row r="585" spans="1:15" ht="70.05" customHeight="1" outlineLevel="1">
      <c r="A585" s="109" t="s">
        <v>5181</v>
      </c>
      <c r="B585" s="110" t="s">
        <v>5182</v>
      </c>
      <c r="C585" s="110" t="s">
        <v>5126</v>
      </c>
      <c r="D585" s="111" t="s">
        <v>4862</v>
      </c>
      <c r="E585" s="111" t="s">
        <v>5183</v>
      </c>
      <c r="F585" s="109" t="s">
        <v>344</v>
      </c>
      <c r="G585" s="109" t="s">
        <v>4143</v>
      </c>
      <c r="H585" s="109" t="s">
        <v>4</v>
      </c>
      <c r="I585" s="109" t="s">
        <v>346</v>
      </c>
      <c r="J585" s="109"/>
      <c r="K585" s="109"/>
      <c r="L585" s="109" t="s">
        <v>346</v>
      </c>
      <c r="M585" s="109"/>
      <c r="N585" s="109"/>
      <c r="O585" s="113" t="s">
        <v>2816</v>
      </c>
    </row>
    <row r="586" spans="1:15" ht="70.05" customHeight="1" outlineLevel="1">
      <c r="A586" s="109" t="s">
        <v>5184</v>
      </c>
      <c r="B586" s="110" t="s">
        <v>5182</v>
      </c>
      <c r="C586" s="110" t="s">
        <v>5126</v>
      </c>
      <c r="D586" s="111" t="s">
        <v>4862</v>
      </c>
      <c r="E586" s="111" t="s">
        <v>5185</v>
      </c>
      <c r="F586" s="109" t="s">
        <v>344</v>
      </c>
      <c r="G586" s="109" t="s">
        <v>4143</v>
      </c>
      <c r="H586" s="109" t="s">
        <v>4</v>
      </c>
      <c r="I586" s="109" t="s">
        <v>346</v>
      </c>
      <c r="J586" s="109"/>
      <c r="K586" s="109"/>
      <c r="L586" s="109" t="s">
        <v>346</v>
      </c>
      <c r="M586" s="109"/>
      <c r="N586" s="109"/>
      <c r="O586" s="113" t="s">
        <v>2816</v>
      </c>
    </row>
    <row r="587" spans="1:15" ht="15.75" customHeight="1">
      <c r="A587" s="60" t="s">
        <v>217</v>
      </c>
      <c r="B587" s="60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2"/>
    </row>
    <row r="588" spans="1:15" ht="70.05" customHeight="1" outlineLevel="1">
      <c r="A588" s="109" t="s">
        <v>5186</v>
      </c>
      <c r="B588" s="110" t="s">
        <v>5187</v>
      </c>
      <c r="C588" s="110" t="s">
        <v>5188</v>
      </c>
      <c r="D588" s="111" t="s">
        <v>5189</v>
      </c>
      <c r="E588" s="111" t="s">
        <v>5128</v>
      </c>
      <c r="F588" s="109" t="s">
        <v>344</v>
      </c>
      <c r="G588" s="109" t="s">
        <v>4143</v>
      </c>
      <c r="H588" s="109" t="s">
        <v>4</v>
      </c>
      <c r="I588" s="109" t="s">
        <v>346</v>
      </c>
      <c r="J588" s="109"/>
      <c r="K588" s="109"/>
      <c r="L588" s="109" t="s">
        <v>346</v>
      </c>
      <c r="M588" s="109"/>
      <c r="N588" s="109"/>
      <c r="O588" s="113" t="s">
        <v>2816</v>
      </c>
    </row>
    <row r="589" spans="1:15" ht="70.05" customHeight="1" outlineLevel="1">
      <c r="A589" s="109" t="s">
        <v>5190</v>
      </c>
      <c r="B589" s="110" t="s">
        <v>5187</v>
      </c>
      <c r="C589" s="110" t="s">
        <v>5188</v>
      </c>
      <c r="D589" s="111" t="s">
        <v>5191</v>
      </c>
      <c r="E589" s="111" t="s">
        <v>5143</v>
      </c>
      <c r="F589" s="109" t="s">
        <v>344</v>
      </c>
      <c r="G589" s="109" t="s">
        <v>4143</v>
      </c>
      <c r="H589" s="109" t="s">
        <v>4</v>
      </c>
      <c r="I589" s="109" t="s">
        <v>346</v>
      </c>
      <c r="J589" s="109"/>
      <c r="K589" s="109"/>
      <c r="L589" s="109" t="s">
        <v>346</v>
      </c>
      <c r="M589" s="109"/>
      <c r="N589" s="109"/>
      <c r="O589" s="113" t="s">
        <v>2816</v>
      </c>
    </row>
    <row r="590" spans="1:15" ht="70.05" customHeight="1" outlineLevel="1">
      <c r="A590" s="109" t="s">
        <v>5192</v>
      </c>
      <c r="B590" s="110" t="s">
        <v>5187</v>
      </c>
      <c r="C590" s="110" t="s">
        <v>5188</v>
      </c>
      <c r="D590" s="111" t="s">
        <v>5193</v>
      </c>
      <c r="E590" s="111" t="s">
        <v>5128</v>
      </c>
      <c r="F590" s="109" t="s">
        <v>344</v>
      </c>
      <c r="G590" s="109" t="s">
        <v>4143</v>
      </c>
      <c r="H590" s="109" t="s">
        <v>4</v>
      </c>
      <c r="I590" s="109" t="s">
        <v>346</v>
      </c>
      <c r="J590" s="109"/>
      <c r="K590" s="109"/>
      <c r="L590" s="109" t="s">
        <v>346</v>
      </c>
      <c r="M590" s="109"/>
      <c r="N590" s="109"/>
      <c r="O590" s="113" t="s">
        <v>2816</v>
      </c>
    </row>
    <row r="591" spans="1:15" ht="70.05" customHeight="1" outlineLevel="1">
      <c r="A591" s="109" t="s">
        <v>5194</v>
      </c>
      <c r="B591" s="110" t="s">
        <v>5187</v>
      </c>
      <c r="C591" s="110" t="s">
        <v>5188</v>
      </c>
      <c r="D591" s="111" t="s">
        <v>5195</v>
      </c>
      <c r="E591" s="111" t="s">
        <v>5128</v>
      </c>
      <c r="F591" s="109" t="s">
        <v>344</v>
      </c>
      <c r="G591" s="109" t="s">
        <v>4143</v>
      </c>
      <c r="H591" s="109" t="s">
        <v>4</v>
      </c>
      <c r="I591" s="109" t="s">
        <v>346</v>
      </c>
      <c r="J591" s="109"/>
      <c r="K591" s="109"/>
      <c r="L591" s="109" t="s">
        <v>346</v>
      </c>
      <c r="M591" s="109"/>
      <c r="N591" s="109"/>
      <c r="O591" s="113" t="s">
        <v>2816</v>
      </c>
    </row>
    <row r="592" spans="1:15" ht="70.05" customHeight="1" outlineLevel="1">
      <c r="A592" s="109" t="s">
        <v>5196</v>
      </c>
      <c r="B592" s="110" t="s">
        <v>5197</v>
      </c>
      <c r="C592" s="110" t="s">
        <v>5198</v>
      </c>
      <c r="D592" s="111" t="s">
        <v>5199</v>
      </c>
      <c r="E592" s="111" t="s">
        <v>5128</v>
      </c>
      <c r="F592" s="109" t="s">
        <v>344</v>
      </c>
      <c r="G592" s="109" t="s">
        <v>4143</v>
      </c>
      <c r="H592" s="109" t="s">
        <v>4</v>
      </c>
      <c r="I592" s="109" t="s">
        <v>346</v>
      </c>
      <c r="J592" s="109"/>
      <c r="K592" s="109"/>
      <c r="L592" s="109" t="s">
        <v>346</v>
      </c>
      <c r="M592" s="109"/>
      <c r="N592" s="109"/>
      <c r="O592" s="113" t="s">
        <v>2816</v>
      </c>
    </row>
    <row r="593" spans="1:15" ht="70.05" customHeight="1" outlineLevel="1">
      <c r="A593" s="109" t="s">
        <v>5200</v>
      </c>
      <c r="B593" s="110" t="s">
        <v>5201</v>
      </c>
      <c r="C593" s="110" t="s">
        <v>5202</v>
      </c>
      <c r="D593" s="111" t="s">
        <v>5203</v>
      </c>
      <c r="E593" s="111" t="s">
        <v>5128</v>
      </c>
      <c r="F593" s="109" t="s">
        <v>344</v>
      </c>
      <c r="G593" s="109" t="s">
        <v>4143</v>
      </c>
      <c r="H593" s="109" t="s">
        <v>4</v>
      </c>
      <c r="I593" s="109" t="s">
        <v>346</v>
      </c>
      <c r="J593" s="109"/>
      <c r="K593" s="109"/>
      <c r="L593" s="109" t="s">
        <v>346</v>
      </c>
      <c r="M593" s="109"/>
      <c r="N593" s="109"/>
      <c r="O593" s="113" t="s">
        <v>2816</v>
      </c>
    </row>
    <row r="594" spans="1:15" ht="70.05" customHeight="1" outlineLevel="1">
      <c r="A594" s="109" t="s">
        <v>5204</v>
      </c>
      <c r="B594" s="110" t="s">
        <v>5205</v>
      </c>
      <c r="C594" s="110" t="s">
        <v>5206</v>
      </c>
      <c r="D594" s="111" t="s">
        <v>5207</v>
      </c>
      <c r="E594" s="111" t="s">
        <v>5208</v>
      </c>
      <c r="F594" s="109" t="s">
        <v>344</v>
      </c>
      <c r="G594" s="109" t="s">
        <v>4143</v>
      </c>
      <c r="H594" s="109" t="s">
        <v>4</v>
      </c>
      <c r="I594" s="109" t="s">
        <v>346</v>
      </c>
      <c r="J594" s="109"/>
      <c r="K594" s="109"/>
      <c r="L594" s="109" t="s">
        <v>346</v>
      </c>
      <c r="M594" s="109"/>
      <c r="N594" s="109"/>
      <c r="O594" s="113" t="s">
        <v>2816</v>
      </c>
    </row>
    <row r="595" spans="1:15" ht="70.05" customHeight="1" outlineLevel="1">
      <c r="A595" s="109" t="s">
        <v>5209</v>
      </c>
      <c r="B595" s="110" t="s">
        <v>5187</v>
      </c>
      <c r="C595" s="110" t="s">
        <v>5188</v>
      </c>
      <c r="D595" s="111" t="s">
        <v>5210</v>
      </c>
      <c r="E595" s="111" t="s">
        <v>5128</v>
      </c>
      <c r="F595" s="109" t="s">
        <v>344</v>
      </c>
      <c r="G595" s="109" t="s">
        <v>4143</v>
      </c>
      <c r="H595" s="109" t="s">
        <v>4</v>
      </c>
      <c r="I595" s="109" t="s">
        <v>346</v>
      </c>
      <c r="J595" s="109"/>
      <c r="K595" s="109"/>
      <c r="L595" s="109" t="s">
        <v>346</v>
      </c>
      <c r="M595" s="109"/>
      <c r="N595" s="109"/>
      <c r="O595" s="113" t="s">
        <v>2816</v>
      </c>
    </row>
    <row r="596" spans="1:15" ht="70.05" customHeight="1" outlineLevel="1">
      <c r="A596" s="109" t="s">
        <v>5211</v>
      </c>
      <c r="B596" s="110" t="s">
        <v>5212</v>
      </c>
      <c r="C596" s="110" t="s">
        <v>5213</v>
      </c>
      <c r="D596" s="111" t="s">
        <v>5214</v>
      </c>
      <c r="E596" s="111" t="s">
        <v>5128</v>
      </c>
      <c r="F596" s="109" t="s">
        <v>344</v>
      </c>
      <c r="G596" s="109" t="s">
        <v>4143</v>
      </c>
      <c r="H596" s="109" t="s">
        <v>4</v>
      </c>
      <c r="I596" s="109" t="s">
        <v>346</v>
      </c>
      <c r="J596" s="109"/>
      <c r="K596" s="109"/>
      <c r="L596" s="109" t="s">
        <v>346</v>
      </c>
      <c r="M596" s="109"/>
      <c r="N596" s="109"/>
      <c r="O596" s="113" t="s">
        <v>2816</v>
      </c>
    </row>
    <row r="597" spans="1:15" ht="70.05" customHeight="1" outlineLevel="1">
      <c r="A597" s="109" t="s">
        <v>5215</v>
      </c>
      <c r="B597" s="110" t="s">
        <v>5216</v>
      </c>
      <c r="C597" s="110" t="s">
        <v>5217</v>
      </c>
      <c r="D597" s="111" t="s">
        <v>5218</v>
      </c>
      <c r="E597" s="111" t="s">
        <v>5128</v>
      </c>
      <c r="F597" s="109" t="s">
        <v>344</v>
      </c>
      <c r="G597" s="109" t="s">
        <v>4143</v>
      </c>
      <c r="H597" s="109" t="s">
        <v>4</v>
      </c>
      <c r="I597" s="109" t="s">
        <v>346</v>
      </c>
      <c r="J597" s="109"/>
      <c r="K597" s="109"/>
      <c r="L597" s="109" t="s">
        <v>346</v>
      </c>
      <c r="M597" s="109"/>
      <c r="N597" s="109"/>
      <c r="O597" s="113" t="s">
        <v>2816</v>
      </c>
    </row>
    <row r="598" spans="1:15" ht="70.05" customHeight="1" outlineLevel="1">
      <c r="A598" s="109" t="s">
        <v>5219</v>
      </c>
      <c r="B598" s="110" t="s">
        <v>5220</v>
      </c>
      <c r="C598" s="110" t="s">
        <v>5221</v>
      </c>
      <c r="D598" s="111" t="s">
        <v>5159</v>
      </c>
      <c r="E598" s="111" t="s">
        <v>5128</v>
      </c>
      <c r="F598" s="109" t="s">
        <v>344</v>
      </c>
      <c r="G598" s="109" t="s">
        <v>4143</v>
      </c>
      <c r="H598" s="109" t="s">
        <v>4</v>
      </c>
      <c r="I598" s="109" t="s">
        <v>346</v>
      </c>
      <c r="J598" s="109"/>
      <c r="K598" s="109"/>
      <c r="L598" s="109" t="s">
        <v>346</v>
      </c>
      <c r="M598" s="109"/>
      <c r="N598" s="109"/>
      <c r="O598" s="113" t="s">
        <v>2816</v>
      </c>
    </row>
    <row r="599" spans="1:15" ht="70.05" customHeight="1" outlineLevel="1">
      <c r="A599" s="109" t="s">
        <v>5222</v>
      </c>
      <c r="B599" s="110" t="s">
        <v>5223</v>
      </c>
      <c r="C599" s="110" t="s">
        <v>5224</v>
      </c>
      <c r="D599" s="111" t="s">
        <v>5159</v>
      </c>
      <c r="E599" s="111" t="s">
        <v>5128</v>
      </c>
      <c r="F599" s="109" t="s">
        <v>344</v>
      </c>
      <c r="G599" s="109" t="s">
        <v>4143</v>
      </c>
      <c r="H599" s="109" t="s">
        <v>4</v>
      </c>
      <c r="I599" s="109" t="s">
        <v>346</v>
      </c>
      <c r="J599" s="109"/>
      <c r="K599" s="109"/>
      <c r="L599" s="109" t="s">
        <v>346</v>
      </c>
      <c r="M599" s="109"/>
      <c r="N599" s="109"/>
      <c r="O599" s="113" t="s">
        <v>2816</v>
      </c>
    </row>
    <row r="600" spans="1:15" ht="70.05" customHeight="1" outlineLevel="1">
      <c r="A600" s="109" t="s">
        <v>5225</v>
      </c>
      <c r="B600" s="110" t="s">
        <v>5226</v>
      </c>
      <c r="C600" s="110" t="s">
        <v>5227</v>
      </c>
      <c r="D600" s="111" t="s">
        <v>5121</v>
      </c>
      <c r="E600" s="111" t="s">
        <v>4007</v>
      </c>
      <c r="F600" s="109" t="s">
        <v>344</v>
      </c>
      <c r="G600" s="109" t="s">
        <v>4143</v>
      </c>
      <c r="H600" s="109" t="s">
        <v>4</v>
      </c>
      <c r="I600" s="109" t="s">
        <v>346</v>
      </c>
      <c r="J600" s="109"/>
      <c r="K600" s="109"/>
      <c r="L600" s="109" t="s">
        <v>346</v>
      </c>
      <c r="M600" s="109"/>
      <c r="N600" s="109"/>
      <c r="O600" s="113" t="s">
        <v>2816</v>
      </c>
    </row>
    <row r="601" spans="1:15" ht="70.05" customHeight="1" outlineLevel="1">
      <c r="A601" s="109" t="s">
        <v>5228</v>
      </c>
      <c r="B601" s="110" t="s">
        <v>5229</v>
      </c>
      <c r="C601" s="110" t="s">
        <v>5230</v>
      </c>
      <c r="D601" s="111" t="s">
        <v>5121</v>
      </c>
      <c r="E601" s="111" t="s">
        <v>4007</v>
      </c>
      <c r="F601" s="109" t="s">
        <v>344</v>
      </c>
      <c r="G601" s="109" t="s">
        <v>4143</v>
      </c>
      <c r="H601" s="109" t="s">
        <v>4</v>
      </c>
      <c r="I601" s="109" t="s">
        <v>346</v>
      </c>
      <c r="J601" s="109"/>
      <c r="K601" s="109"/>
      <c r="L601" s="109" t="s">
        <v>346</v>
      </c>
      <c r="M601" s="109"/>
      <c r="N601" s="109"/>
      <c r="O601" s="113" t="s">
        <v>2816</v>
      </c>
    </row>
    <row r="602" spans="1:15" ht="70.05" customHeight="1" outlineLevel="1">
      <c r="A602" s="109" t="s">
        <v>5231</v>
      </c>
      <c r="B602" s="110" t="s">
        <v>5232</v>
      </c>
      <c r="C602" s="110" t="s">
        <v>5233</v>
      </c>
      <c r="D602" s="111" t="s">
        <v>5121</v>
      </c>
      <c r="E602" s="111" t="s">
        <v>4007</v>
      </c>
      <c r="F602" s="109" t="s">
        <v>344</v>
      </c>
      <c r="G602" s="109" t="s">
        <v>4143</v>
      </c>
      <c r="H602" s="109" t="s">
        <v>4</v>
      </c>
      <c r="I602" s="109" t="s">
        <v>346</v>
      </c>
      <c r="J602" s="109"/>
      <c r="K602" s="109"/>
      <c r="L602" s="109" t="s">
        <v>346</v>
      </c>
      <c r="M602" s="109"/>
      <c r="N602" s="109"/>
      <c r="O602" s="113" t="s">
        <v>2816</v>
      </c>
    </row>
    <row r="603" spans="1:15" ht="70.05" customHeight="1" outlineLevel="1">
      <c r="A603" s="109" t="s">
        <v>5234</v>
      </c>
      <c r="B603" s="110" t="s">
        <v>5235</v>
      </c>
      <c r="C603" s="110" t="s">
        <v>5188</v>
      </c>
      <c r="D603" s="111" t="s">
        <v>4862</v>
      </c>
      <c r="E603" s="111" t="s">
        <v>5183</v>
      </c>
      <c r="F603" s="109" t="s">
        <v>344</v>
      </c>
      <c r="G603" s="109" t="s">
        <v>4143</v>
      </c>
      <c r="H603" s="109" t="s">
        <v>4</v>
      </c>
      <c r="I603" s="109" t="s">
        <v>346</v>
      </c>
      <c r="J603" s="109"/>
      <c r="K603" s="109"/>
      <c r="L603" s="109" t="s">
        <v>346</v>
      </c>
      <c r="M603" s="109"/>
      <c r="N603" s="109"/>
      <c r="O603" s="113" t="s">
        <v>2816</v>
      </c>
    </row>
    <row r="604" spans="1:15" ht="70.05" customHeight="1" outlineLevel="1">
      <c r="A604" s="109" t="s">
        <v>5236</v>
      </c>
      <c r="B604" s="110" t="s">
        <v>5235</v>
      </c>
      <c r="C604" s="110" t="s">
        <v>5188</v>
      </c>
      <c r="D604" s="111" t="s">
        <v>4862</v>
      </c>
      <c r="E604" s="111" t="s">
        <v>5185</v>
      </c>
      <c r="F604" s="109" t="s">
        <v>344</v>
      </c>
      <c r="G604" s="109" t="s">
        <v>4143</v>
      </c>
      <c r="H604" s="109" t="s">
        <v>4</v>
      </c>
      <c r="I604" s="109" t="s">
        <v>346</v>
      </c>
      <c r="J604" s="109"/>
      <c r="K604" s="109"/>
      <c r="L604" s="109" t="s">
        <v>346</v>
      </c>
      <c r="M604" s="109"/>
      <c r="N604" s="109"/>
      <c r="O604" s="113" t="s">
        <v>2816</v>
      </c>
    </row>
    <row r="605" spans="1:15" ht="70.05" customHeight="1" outlineLevel="1">
      <c r="A605" s="109" t="s">
        <v>5237</v>
      </c>
      <c r="B605" s="110" t="s">
        <v>5238</v>
      </c>
      <c r="C605" s="110" t="s">
        <v>5239</v>
      </c>
      <c r="D605" s="111" t="s">
        <v>4867</v>
      </c>
      <c r="E605" s="111" t="s">
        <v>5128</v>
      </c>
      <c r="F605" s="109" t="s">
        <v>344</v>
      </c>
      <c r="G605" s="109" t="s">
        <v>4143</v>
      </c>
      <c r="H605" s="109" t="s">
        <v>4</v>
      </c>
      <c r="I605" s="109" t="s">
        <v>346</v>
      </c>
      <c r="J605" s="109"/>
      <c r="K605" s="109"/>
      <c r="L605" s="109" t="s">
        <v>346</v>
      </c>
      <c r="M605" s="109"/>
      <c r="N605" s="109"/>
      <c r="O605" s="113" t="s">
        <v>2816</v>
      </c>
    </row>
    <row r="606" spans="1:15" ht="15.75" customHeight="1">
      <c r="A606" s="60" t="s">
        <v>219</v>
      </c>
      <c r="B606" s="60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2"/>
    </row>
    <row r="607" spans="1:15" ht="70.05" customHeight="1" outlineLevel="1">
      <c r="A607" s="109" t="s">
        <v>5240</v>
      </c>
      <c r="B607" s="110" t="s">
        <v>5241</v>
      </c>
      <c r="C607" s="110" t="s">
        <v>5242</v>
      </c>
      <c r="D607" s="111" t="s">
        <v>5243</v>
      </c>
      <c r="E607" s="111" t="s">
        <v>5244</v>
      </c>
      <c r="F607" s="109" t="s">
        <v>344</v>
      </c>
      <c r="G607" s="109" t="s">
        <v>4143</v>
      </c>
      <c r="H607" s="109" t="s">
        <v>4</v>
      </c>
      <c r="I607" s="109" t="s">
        <v>346</v>
      </c>
      <c r="J607" s="109"/>
      <c r="K607" s="109"/>
      <c r="L607" s="109" t="s">
        <v>346</v>
      </c>
      <c r="M607" s="109"/>
      <c r="N607" s="109"/>
      <c r="O607" s="113" t="s">
        <v>2816</v>
      </c>
    </row>
    <row r="608" spans="1:15" ht="70.05" customHeight="1" outlineLevel="1">
      <c r="A608" s="109" t="s">
        <v>5245</v>
      </c>
      <c r="B608" s="110" t="s">
        <v>5246</v>
      </c>
      <c r="C608" s="110" t="s">
        <v>5247</v>
      </c>
      <c r="D608" s="111" t="s">
        <v>5248</v>
      </c>
      <c r="E608" s="111" t="s">
        <v>5244</v>
      </c>
      <c r="F608" s="109" t="s">
        <v>344</v>
      </c>
      <c r="G608" s="109" t="s">
        <v>4143</v>
      </c>
      <c r="H608" s="109" t="s">
        <v>4</v>
      </c>
      <c r="I608" s="109" t="s">
        <v>346</v>
      </c>
      <c r="J608" s="109"/>
      <c r="K608" s="109"/>
      <c r="L608" s="109" t="s">
        <v>346</v>
      </c>
      <c r="M608" s="109"/>
      <c r="N608" s="109"/>
      <c r="O608" s="113" t="s">
        <v>2816</v>
      </c>
    </row>
    <row r="609" spans="1:15" ht="70.05" customHeight="1" outlineLevel="1">
      <c r="A609" s="109" t="s">
        <v>5249</v>
      </c>
      <c r="B609" s="110" t="s">
        <v>5241</v>
      </c>
      <c r="C609" s="110" t="s">
        <v>5242</v>
      </c>
      <c r="D609" s="111" t="s">
        <v>5248</v>
      </c>
      <c r="E609" s="111" t="s">
        <v>5250</v>
      </c>
      <c r="F609" s="109" t="s">
        <v>344</v>
      </c>
      <c r="G609" s="109" t="s">
        <v>4143</v>
      </c>
      <c r="H609" s="109" t="s">
        <v>4</v>
      </c>
      <c r="I609" s="109" t="s">
        <v>346</v>
      </c>
      <c r="J609" s="109"/>
      <c r="K609" s="109"/>
      <c r="L609" s="109" t="s">
        <v>346</v>
      </c>
      <c r="M609" s="109"/>
      <c r="N609" s="109"/>
      <c r="O609" s="113" t="s">
        <v>2816</v>
      </c>
    </row>
    <row r="610" spans="1:15" ht="70.05" customHeight="1" outlineLevel="1">
      <c r="A610" s="109" t="s">
        <v>5251</v>
      </c>
      <c r="B610" s="110" t="s">
        <v>5252</v>
      </c>
      <c r="C610" s="110" t="s">
        <v>5253</v>
      </c>
      <c r="D610" s="111" t="s">
        <v>5254</v>
      </c>
      <c r="E610" s="111" t="s">
        <v>5244</v>
      </c>
      <c r="F610" s="109" t="s">
        <v>344</v>
      </c>
      <c r="G610" s="109" t="s">
        <v>4143</v>
      </c>
      <c r="H610" s="109" t="s">
        <v>4</v>
      </c>
      <c r="I610" s="109" t="s">
        <v>346</v>
      </c>
      <c r="J610" s="109"/>
      <c r="K610" s="109"/>
      <c r="L610" s="109" t="s">
        <v>346</v>
      </c>
      <c r="M610" s="109"/>
      <c r="N610" s="109"/>
      <c r="O610" s="113" t="s">
        <v>2816</v>
      </c>
    </row>
    <row r="611" spans="1:15" ht="70.05" customHeight="1" outlineLevel="1">
      <c r="A611" s="109" t="s">
        <v>5255</v>
      </c>
      <c r="B611" s="110" t="s">
        <v>5256</v>
      </c>
      <c r="C611" s="110" t="s">
        <v>5257</v>
      </c>
      <c r="D611" s="111" t="s">
        <v>5258</v>
      </c>
      <c r="E611" s="111" t="s">
        <v>5244</v>
      </c>
      <c r="F611" s="109" t="s">
        <v>344</v>
      </c>
      <c r="G611" s="109" t="s">
        <v>4143</v>
      </c>
      <c r="H611" s="109" t="s">
        <v>4</v>
      </c>
      <c r="I611" s="109" t="s">
        <v>346</v>
      </c>
      <c r="J611" s="109"/>
      <c r="K611" s="109"/>
      <c r="L611" s="109" t="s">
        <v>346</v>
      </c>
      <c r="M611" s="109"/>
      <c r="N611" s="109"/>
      <c r="O611" s="113" t="s">
        <v>2816</v>
      </c>
    </row>
    <row r="612" spans="1:15" ht="70.05" customHeight="1" outlineLevel="1">
      <c r="A612" s="109" t="s">
        <v>5259</v>
      </c>
      <c r="B612" s="110" t="s">
        <v>5260</v>
      </c>
      <c r="C612" s="110" t="s">
        <v>5261</v>
      </c>
      <c r="D612" s="111" t="s">
        <v>5248</v>
      </c>
      <c r="E612" s="111" t="s">
        <v>5262</v>
      </c>
      <c r="F612" s="109" t="s">
        <v>344</v>
      </c>
      <c r="G612" s="109" t="s">
        <v>4143</v>
      </c>
      <c r="H612" s="109" t="s">
        <v>4</v>
      </c>
      <c r="I612" s="109" t="s">
        <v>346</v>
      </c>
      <c r="J612" s="109"/>
      <c r="K612" s="109"/>
      <c r="L612" s="109" t="s">
        <v>346</v>
      </c>
      <c r="M612" s="109"/>
      <c r="N612" s="109"/>
      <c r="O612" s="113" t="s">
        <v>2816</v>
      </c>
    </row>
    <row r="613" spans="1:15" ht="70.05" customHeight="1" outlineLevel="1">
      <c r="A613" s="109" t="s">
        <v>5263</v>
      </c>
      <c r="B613" s="110" t="s">
        <v>5264</v>
      </c>
      <c r="C613" s="110" t="s">
        <v>5265</v>
      </c>
      <c r="D613" s="111" t="s">
        <v>5266</v>
      </c>
      <c r="E613" s="111" t="s">
        <v>5244</v>
      </c>
      <c r="F613" s="109" t="s">
        <v>344</v>
      </c>
      <c r="G613" s="109" t="s">
        <v>4143</v>
      </c>
      <c r="H613" s="109" t="s">
        <v>4</v>
      </c>
      <c r="I613" s="109" t="s">
        <v>346</v>
      </c>
      <c r="J613" s="109"/>
      <c r="K613" s="109"/>
      <c r="L613" s="109" t="s">
        <v>346</v>
      </c>
      <c r="M613" s="109"/>
      <c r="N613" s="109"/>
      <c r="O613" s="113" t="s">
        <v>2816</v>
      </c>
    </row>
    <row r="614" spans="1:15" ht="70.05" customHeight="1" outlineLevel="1">
      <c r="A614" s="109" t="s">
        <v>5267</v>
      </c>
      <c r="B614" s="110" t="s">
        <v>5268</v>
      </c>
      <c r="C614" s="110" t="s">
        <v>5269</v>
      </c>
      <c r="D614" s="111" t="s">
        <v>5270</v>
      </c>
      <c r="E614" s="111" t="s">
        <v>5244</v>
      </c>
      <c r="F614" s="109" t="s">
        <v>344</v>
      </c>
      <c r="G614" s="109" t="s">
        <v>4143</v>
      </c>
      <c r="H614" s="109" t="s">
        <v>4</v>
      </c>
      <c r="I614" s="109" t="s">
        <v>346</v>
      </c>
      <c r="J614" s="109"/>
      <c r="K614" s="109"/>
      <c r="L614" s="109" t="s">
        <v>346</v>
      </c>
      <c r="M614" s="109"/>
      <c r="N614" s="109"/>
      <c r="O614" s="113" t="s">
        <v>2816</v>
      </c>
    </row>
    <row r="615" spans="1:15" ht="70.05" customHeight="1" outlineLevel="1">
      <c r="A615" s="109" t="s">
        <v>5271</v>
      </c>
      <c r="B615" s="110" t="s">
        <v>5272</v>
      </c>
      <c r="C615" s="110" t="s">
        <v>5273</v>
      </c>
      <c r="D615" s="111" t="s">
        <v>5248</v>
      </c>
      <c r="E615" s="111" t="s">
        <v>5244</v>
      </c>
      <c r="F615" s="109" t="s">
        <v>344</v>
      </c>
      <c r="G615" s="109" t="s">
        <v>4143</v>
      </c>
      <c r="H615" s="109" t="s">
        <v>4</v>
      </c>
      <c r="I615" s="109" t="s">
        <v>346</v>
      </c>
      <c r="J615" s="109"/>
      <c r="K615" s="109"/>
      <c r="L615" s="109" t="s">
        <v>346</v>
      </c>
      <c r="M615" s="109"/>
      <c r="N615" s="109"/>
      <c r="O615" s="113" t="s">
        <v>2816</v>
      </c>
    </row>
    <row r="616" spans="1:15" ht="70.05" customHeight="1" outlineLevel="1">
      <c r="A616" s="109" t="s">
        <v>5274</v>
      </c>
      <c r="B616" s="110" t="s">
        <v>5275</v>
      </c>
      <c r="C616" s="110" t="s">
        <v>5276</v>
      </c>
      <c r="D616" s="111" t="s">
        <v>4867</v>
      </c>
      <c r="E616" s="111" t="s">
        <v>5244</v>
      </c>
      <c r="F616" s="109" t="s">
        <v>344</v>
      </c>
      <c r="G616" s="109" t="s">
        <v>4143</v>
      </c>
      <c r="H616" s="109" t="s">
        <v>4</v>
      </c>
      <c r="I616" s="109" t="s">
        <v>346</v>
      </c>
      <c r="J616" s="109"/>
      <c r="K616" s="109"/>
      <c r="L616" s="109" t="s">
        <v>346</v>
      </c>
      <c r="M616" s="109"/>
      <c r="N616" s="109"/>
      <c r="O616" s="113" t="s">
        <v>2816</v>
      </c>
    </row>
    <row r="617" spans="1:15" ht="70.05" customHeight="1" outlineLevel="1">
      <c r="A617" s="109" t="s">
        <v>5277</v>
      </c>
      <c r="B617" s="110" t="s">
        <v>5278</v>
      </c>
      <c r="C617" s="110" t="s">
        <v>5279</v>
      </c>
      <c r="D617" s="111" t="s">
        <v>5248</v>
      </c>
      <c r="E617" s="111" t="s">
        <v>5244</v>
      </c>
      <c r="F617" s="109" t="s">
        <v>344</v>
      </c>
      <c r="G617" s="109" t="s">
        <v>4143</v>
      </c>
      <c r="H617" s="109" t="s">
        <v>4</v>
      </c>
      <c r="I617" s="109" t="s">
        <v>346</v>
      </c>
      <c r="J617" s="109"/>
      <c r="K617" s="109"/>
      <c r="L617" s="109" t="s">
        <v>346</v>
      </c>
      <c r="M617" s="109"/>
      <c r="N617" s="109"/>
      <c r="O617" s="113" t="s">
        <v>2816</v>
      </c>
    </row>
    <row r="618" spans="1:15" ht="70.05" customHeight="1" outlineLevel="1">
      <c r="A618" s="109" t="s">
        <v>5280</v>
      </c>
      <c r="B618" s="110" t="s">
        <v>5281</v>
      </c>
      <c r="C618" s="110" t="s">
        <v>5282</v>
      </c>
      <c r="D618" s="111" t="s">
        <v>5248</v>
      </c>
      <c r="E618" s="111" t="s">
        <v>5244</v>
      </c>
      <c r="F618" s="109" t="s">
        <v>344</v>
      </c>
      <c r="G618" s="109" t="s">
        <v>4143</v>
      </c>
      <c r="H618" s="109" t="s">
        <v>4</v>
      </c>
      <c r="I618" s="109" t="s">
        <v>346</v>
      </c>
      <c r="J618" s="109"/>
      <c r="K618" s="109"/>
      <c r="L618" s="109" t="s">
        <v>346</v>
      </c>
      <c r="M618" s="109"/>
      <c r="N618" s="109"/>
      <c r="O618" s="113" t="s">
        <v>2816</v>
      </c>
    </row>
    <row r="619" spans="1:15" ht="70.05" customHeight="1" outlineLevel="1">
      <c r="A619" s="109" t="s">
        <v>5283</v>
      </c>
      <c r="B619" s="110" t="s">
        <v>5284</v>
      </c>
      <c r="C619" s="110" t="s">
        <v>5265</v>
      </c>
      <c r="D619" s="111" t="s">
        <v>5285</v>
      </c>
      <c r="E619" s="111" t="s">
        <v>5286</v>
      </c>
      <c r="F619" s="109" t="s">
        <v>344</v>
      </c>
      <c r="G619" s="109" t="s">
        <v>4143</v>
      </c>
      <c r="H619" s="109" t="s">
        <v>4</v>
      </c>
      <c r="I619" s="109" t="s">
        <v>346</v>
      </c>
      <c r="J619" s="109"/>
      <c r="K619" s="109"/>
      <c r="L619" s="109" t="s">
        <v>346</v>
      </c>
      <c r="M619" s="109"/>
      <c r="N619" s="109"/>
      <c r="O619" s="113" t="s">
        <v>2816</v>
      </c>
    </row>
    <row r="620" spans="1:15" ht="70.05" customHeight="1" outlineLevel="1">
      <c r="A620" s="109" t="s">
        <v>5287</v>
      </c>
      <c r="B620" s="110" t="s">
        <v>5288</v>
      </c>
      <c r="C620" s="110" t="s">
        <v>5289</v>
      </c>
      <c r="D620" s="111" t="s">
        <v>4867</v>
      </c>
      <c r="E620" s="111" t="s">
        <v>5244</v>
      </c>
      <c r="F620" s="109" t="s">
        <v>344</v>
      </c>
      <c r="G620" s="109" t="s">
        <v>4143</v>
      </c>
      <c r="H620" s="109" t="s">
        <v>4</v>
      </c>
      <c r="I620" s="109" t="s">
        <v>346</v>
      </c>
      <c r="J620" s="109"/>
      <c r="K620" s="109"/>
      <c r="L620" s="109" t="s">
        <v>346</v>
      </c>
      <c r="M620" s="109"/>
      <c r="N620" s="109"/>
      <c r="O620" s="113" t="s">
        <v>2816</v>
      </c>
    </row>
    <row r="621" spans="1:15" ht="70.05" customHeight="1" outlineLevel="1">
      <c r="A621" s="109" t="s">
        <v>5290</v>
      </c>
      <c r="B621" s="110" t="s">
        <v>5291</v>
      </c>
      <c r="C621" s="110" t="s">
        <v>5292</v>
      </c>
      <c r="D621" s="111" t="s">
        <v>4867</v>
      </c>
      <c r="E621" s="111" t="s">
        <v>5244</v>
      </c>
      <c r="F621" s="109" t="s">
        <v>344</v>
      </c>
      <c r="G621" s="109" t="s">
        <v>4143</v>
      </c>
      <c r="H621" s="109" t="s">
        <v>4</v>
      </c>
      <c r="I621" s="109" t="s">
        <v>346</v>
      </c>
      <c r="J621" s="109"/>
      <c r="K621" s="109"/>
      <c r="L621" s="109" t="s">
        <v>346</v>
      </c>
      <c r="M621" s="109"/>
      <c r="N621" s="109"/>
      <c r="O621" s="113" t="s">
        <v>2816</v>
      </c>
    </row>
    <row r="622" spans="1:15" ht="70.05" customHeight="1" outlineLevel="1">
      <c r="A622" s="109" t="s">
        <v>5293</v>
      </c>
      <c r="B622" s="110" t="s">
        <v>5294</v>
      </c>
      <c r="C622" s="110" t="s">
        <v>5295</v>
      </c>
      <c r="D622" s="111" t="s">
        <v>4867</v>
      </c>
      <c r="E622" s="111" t="s">
        <v>5244</v>
      </c>
      <c r="F622" s="109" t="s">
        <v>344</v>
      </c>
      <c r="G622" s="109" t="s">
        <v>4143</v>
      </c>
      <c r="H622" s="109" t="s">
        <v>4</v>
      </c>
      <c r="I622" s="109" t="s">
        <v>346</v>
      </c>
      <c r="J622" s="109"/>
      <c r="K622" s="109"/>
      <c r="L622" s="109" t="s">
        <v>346</v>
      </c>
      <c r="M622" s="109"/>
      <c r="N622" s="109"/>
      <c r="O622" s="113" t="s">
        <v>2816</v>
      </c>
    </row>
    <row r="623" spans="1:15" ht="70.05" customHeight="1" outlineLevel="1">
      <c r="A623" s="109" t="s">
        <v>5296</v>
      </c>
      <c r="B623" s="110" t="s">
        <v>5297</v>
      </c>
      <c r="C623" s="110" t="s">
        <v>5298</v>
      </c>
      <c r="D623" s="111" t="s">
        <v>5121</v>
      </c>
      <c r="E623" s="111" t="s">
        <v>5299</v>
      </c>
      <c r="F623" s="109" t="s">
        <v>344</v>
      </c>
      <c r="G623" s="109" t="s">
        <v>4143</v>
      </c>
      <c r="H623" s="109" t="s">
        <v>4</v>
      </c>
      <c r="I623" s="109" t="s">
        <v>346</v>
      </c>
      <c r="J623" s="109"/>
      <c r="K623" s="109"/>
      <c r="L623" s="109" t="s">
        <v>346</v>
      </c>
      <c r="M623" s="109"/>
      <c r="N623" s="109"/>
      <c r="O623" s="113" t="s">
        <v>2816</v>
      </c>
    </row>
    <row r="624" spans="1:15" ht="70.05" customHeight="1" outlineLevel="1">
      <c r="A624" s="109" t="s">
        <v>5300</v>
      </c>
      <c r="B624" s="110" t="s">
        <v>5301</v>
      </c>
      <c r="C624" s="110" t="s">
        <v>5302</v>
      </c>
      <c r="D624" s="111" t="s">
        <v>5121</v>
      </c>
      <c r="E624" s="111" t="s">
        <v>5299</v>
      </c>
      <c r="F624" s="109" t="s">
        <v>344</v>
      </c>
      <c r="G624" s="109" t="s">
        <v>4143</v>
      </c>
      <c r="H624" s="109" t="s">
        <v>4</v>
      </c>
      <c r="I624" s="109" t="s">
        <v>346</v>
      </c>
      <c r="J624" s="109"/>
      <c r="K624" s="109"/>
      <c r="L624" s="109" t="s">
        <v>346</v>
      </c>
      <c r="M624" s="109"/>
      <c r="N624" s="109"/>
      <c r="O624" s="113" t="s">
        <v>2816</v>
      </c>
    </row>
    <row r="625" spans="1:15" ht="70.05" customHeight="1" outlineLevel="1">
      <c r="A625" s="109" t="s">
        <v>5303</v>
      </c>
      <c r="B625" s="110" t="s">
        <v>5284</v>
      </c>
      <c r="C625" s="110" t="s">
        <v>5265</v>
      </c>
      <c r="D625" s="111" t="s">
        <v>4862</v>
      </c>
      <c r="E625" s="111" t="s">
        <v>5304</v>
      </c>
      <c r="F625" s="109" t="s">
        <v>344</v>
      </c>
      <c r="G625" s="109" t="s">
        <v>4143</v>
      </c>
      <c r="H625" s="109" t="s">
        <v>4</v>
      </c>
      <c r="I625" s="109" t="s">
        <v>346</v>
      </c>
      <c r="J625" s="109"/>
      <c r="K625" s="109"/>
      <c r="L625" s="109" t="s">
        <v>346</v>
      </c>
      <c r="M625" s="109"/>
      <c r="N625" s="109"/>
      <c r="O625" s="113" t="s">
        <v>2816</v>
      </c>
    </row>
    <row r="626" spans="1:15" ht="15.75" customHeight="1">
      <c r="A626" s="60" t="s">
        <v>221</v>
      </c>
      <c r="B626" s="60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2"/>
    </row>
    <row r="627" spans="1:15" ht="70.05" customHeight="1" outlineLevel="1">
      <c r="A627" s="109" t="s">
        <v>5305</v>
      </c>
      <c r="B627" s="110" t="s">
        <v>5306</v>
      </c>
      <c r="C627" s="110" t="s">
        <v>5307</v>
      </c>
      <c r="D627" s="111" t="s">
        <v>5308</v>
      </c>
      <c r="E627" s="111" t="s">
        <v>5309</v>
      </c>
      <c r="F627" s="109" t="s">
        <v>346</v>
      </c>
      <c r="G627" s="109"/>
      <c r="H627" s="109"/>
      <c r="I627" s="109" t="s">
        <v>346</v>
      </c>
      <c r="J627" s="109"/>
      <c r="K627" s="109"/>
      <c r="L627" s="109" t="s">
        <v>346</v>
      </c>
      <c r="M627" s="109"/>
      <c r="N627" s="109"/>
      <c r="O627" s="113" t="s">
        <v>2816</v>
      </c>
    </row>
    <row r="628" spans="1:15" ht="70.05" customHeight="1" outlineLevel="1">
      <c r="A628" s="109" t="s">
        <v>5310</v>
      </c>
      <c r="B628" s="110" t="s">
        <v>5311</v>
      </c>
      <c r="C628" s="110" t="s">
        <v>5312</v>
      </c>
      <c r="D628" s="111" t="s">
        <v>5313</v>
      </c>
      <c r="E628" s="111" t="s">
        <v>5309</v>
      </c>
      <c r="F628" s="109" t="s">
        <v>346</v>
      </c>
      <c r="G628" s="109"/>
      <c r="H628" s="109"/>
      <c r="I628" s="109" t="s">
        <v>346</v>
      </c>
      <c r="J628" s="109"/>
      <c r="K628" s="109"/>
      <c r="L628" s="109" t="s">
        <v>346</v>
      </c>
      <c r="M628" s="109"/>
      <c r="N628" s="109"/>
      <c r="O628" s="113" t="s">
        <v>2816</v>
      </c>
    </row>
    <row r="629" spans="1:15" ht="70.05" customHeight="1" outlineLevel="1">
      <c r="A629" s="109" t="s">
        <v>5314</v>
      </c>
      <c r="B629" s="110" t="s">
        <v>5315</v>
      </c>
      <c r="C629" s="110" t="s">
        <v>5316</v>
      </c>
      <c r="D629" s="111" t="s">
        <v>5317</v>
      </c>
      <c r="E629" s="111" t="s">
        <v>5309</v>
      </c>
      <c r="F629" s="109" t="s">
        <v>346</v>
      </c>
      <c r="G629" s="109"/>
      <c r="H629" s="109"/>
      <c r="I629" s="109" t="s">
        <v>346</v>
      </c>
      <c r="J629" s="109"/>
      <c r="K629" s="109"/>
      <c r="L629" s="109" t="s">
        <v>346</v>
      </c>
      <c r="M629" s="109"/>
      <c r="N629" s="109"/>
      <c r="O629" s="113" t="s">
        <v>2816</v>
      </c>
    </row>
    <row r="630" spans="1:15" ht="70.05" customHeight="1" outlineLevel="1">
      <c r="A630" s="109" t="s">
        <v>5318</v>
      </c>
      <c r="B630" s="110" t="s">
        <v>5319</v>
      </c>
      <c r="C630" s="110" t="s">
        <v>5320</v>
      </c>
      <c r="D630" s="111" t="s">
        <v>5321</v>
      </c>
      <c r="E630" s="111" t="s">
        <v>5309</v>
      </c>
      <c r="F630" s="109" t="s">
        <v>346</v>
      </c>
      <c r="G630" s="109"/>
      <c r="H630" s="109"/>
      <c r="I630" s="109" t="s">
        <v>346</v>
      </c>
      <c r="J630" s="109"/>
      <c r="K630" s="109"/>
      <c r="L630" s="109" t="s">
        <v>346</v>
      </c>
      <c r="M630" s="109"/>
      <c r="N630" s="109"/>
      <c r="O630" s="113" t="s">
        <v>2816</v>
      </c>
    </row>
    <row r="631" spans="1:15" ht="70.05" customHeight="1" outlineLevel="1">
      <c r="A631" s="109" t="s">
        <v>5322</v>
      </c>
      <c r="B631" s="110" t="s">
        <v>5306</v>
      </c>
      <c r="C631" s="110" t="s">
        <v>5307</v>
      </c>
      <c r="D631" s="111" t="s">
        <v>5323</v>
      </c>
      <c r="E631" s="111" t="s">
        <v>5324</v>
      </c>
      <c r="F631" s="109" t="s">
        <v>346</v>
      </c>
      <c r="G631" s="109"/>
      <c r="H631" s="109"/>
      <c r="I631" s="109" t="s">
        <v>346</v>
      </c>
      <c r="J631" s="109"/>
      <c r="K631" s="109"/>
      <c r="L631" s="109" t="s">
        <v>346</v>
      </c>
      <c r="M631" s="109"/>
      <c r="N631" s="109"/>
      <c r="O631" s="113" t="s">
        <v>2816</v>
      </c>
    </row>
    <row r="632" spans="1:15" ht="70.05" customHeight="1" outlineLevel="1">
      <c r="A632" s="109" t="s">
        <v>5325</v>
      </c>
      <c r="B632" s="110" t="s">
        <v>5326</v>
      </c>
      <c r="C632" s="110" t="s">
        <v>5327</v>
      </c>
      <c r="D632" s="111" t="s">
        <v>5328</v>
      </c>
      <c r="E632" s="111" t="s">
        <v>5309</v>
      </c>
      <c r="F632" s="109" t="s">
        <v>346</v>
      </c>
      <c r="G632" s="109"/>
      <c r="H632" s="109"/>
      <c r="I632" s="109" t="s">
        <v>346</v>
      </c>
      <c r="J632" s="109"/>
      <c r="K632" s="109"/>
      <c r="L632" s="109" t="s">
        <v>346</v>
      </c>
      <c r="M632" s="109"/>
      <c r="N632" s="109"/>
      <c r="O632" s="113" t="s">
        <v>2816</v>
      </c>
    </row>
    <row r="633" spans="1:15" ht="70.05" customHeight="1" outlineLevel="1">
      <c r="A633" s="109" t="s">
        <v>5329</v>
      </c>
      <c r="B633" s="110" t="s">
        <v>5330</v>
      </c>
      <c r="C633" s="110" t="s">
        <v>5331</v>
      </c>
      <c r="D633" s="111" t="s">
        <v>5332</v>
      </c>
      <c r="E633" s="111" t="s">
        <v>5309</v>
      </c>
      <c r="F633" s="109" t="s">
        <v>346</v>
      </c>
      <c r="G633" s="109"/>
      <c r="H633" s="109"/>
      <c r="I633" s="109" t="s">
        <v>346</v>
      </c>
      <c r="J633" s="109"/>
      <c r="K633" s="109"/>
      <c r="L633" s="109" t="s">
        <v>346</v>
      </c>
      <c r="M633" s="109"/>
      <c r="N633" s="109"/>
      <c r="O633" s="113" t="s">
        <v>2816</v>
      </c>
    </row>
    <row r="634" spans="1:15" ht="70.05" customHeight="1" outlineLevel="1">
      <c r="A634" s="109" t="s">
        <v>5333</v>
      </c>
      <c r="B634" s="110" t="s">
        <v>5334</v>
      </c>
      <c r="C634" s="110" t="s">
        <v>5335</v>
      </c>
      <c r="D634" s="111" t="s">
        <v>5336</v>
      </c>
      <c r="E634" s="111" t="s">
        <v>5309</v>
      </c>
      <c r="F634" s="109" t="s">
        <v>346</v>
      </c>
      <c r="G634" s="109"/>
      <c r="H634" s="109"/>
      <c r="I634" s="109" t="s">
        <v>346</v>
      </c>
      <c r="J634" s="109"/>
      <c r="K634" s="109"/>
      <c r="L634" s="109" t="s">
        <v>346</v>
      </c>
      <c r="M634" s="109"/>
      <c r="N634" s="109"/>
      <c r="O634" s="113" t="s">
        <v>2816</v>
      </c>
    </row>
    <row r="635" spans="1:15" ht="70.05" customHeight="1" outlineLevel="1">
      <c r="A635" s="109" t="s">
        <v>5337</v>
      </c>
      <c r="B635" s="110" t="s">
        <v>5338</v>
      </c>
      <c r="C635" s="110" t="s">
        <v>5339</v>
      </c>
      <c r="D635" s="111" t="s">
        <v>5340</v>
      </c>
      <c r="E635" s="111" t="s">
        <v>5309</v>
      </c>
      <c r="F635" s="109" t="s">
        <v>346</v>
      </c>
      <c r="G635" s="109"/>
      <c r="H635" s="109"/>
      <c r="I635" s="109" t="s">
        <v>346</v>
      </c>
      <c r="J635" s="109"/>
      <c r="K635" s="109"/>
      <c r="L635" s="109" t="s">
        <v>346</v>
      </c>
      <c r="M635" s="109"/>
      <c r="N635" s="109"/>
      <c r="O635" s="113" t="s">
        <v>2816</v>
      </c>
    </row>
    <row r="636" spans="1:15" ht="70.05" customHeight="1" outlineLevel="1">
      <c r="A636" s="109" t="s">
        <v>5341</v>
      </c>
      <c r="B636" s="110" t="s">
        <v>5342</v>
      </c>
      <c r="C636" s="110" t="s">
        <v>5343</v>
      </c>
      <c r="D636" s="111" t="s">
        <v>5323</v>
      </c>
      <c r="E636" s="111" t="s">
        <v>5309</v>
      </c>
      <c r="F636" s="109" t="s">
        <v>346</v>
      </c>
      <c r="G636" s="109"/>
      <c r="H636" s="109"/>
      <c r="I636" s="109" t="s">
        <v>346</v>
      </c>
      <c r="J636" s="109"/>
      <c r="K636" s="109"/>
      <c r="L636" s="109" t="s">
        <v>346</v>
      </c>
      <c r="M636" s="109"/>
      <c r="N636" s="109"/>
      <c r="O636" s="113" t="s">
        <v>2816</v>
      </c>
    </row>
    <row r="637" spans="1:15" ht="70.05" customHeight="1" outlineLevel="1">
      <c r="A637" s="109" t="s">
        <v>5344</v>
      </c>
      <c r="B637" s="110" t="s">
        <v>5345</v>
      </c>
      <c r="C637" s="110" t="s">
        <v>5346</v>
      </c>
      <c r="D637" s="111" t="s">
        <v>5347</v>
      </c>
      <c r="E637" s="111" t="s">
        <v>5309</v>
      </c>
      <c r="F637" s="109" t="s">
        <v>346</v>
      </c>
      <c r="G637" s="109"/>
      <c r="H637" s="109"/>
      <c r="I637" s="109" t="s">
        <v>346</v>
      </c>
      <c r="J637" s="109"/>
      <c r="K637" s="109"/>
      <c r="L637" s="109" t="s">
        <v>346</v>
      </c>
      <c r="M637" s="109"/>
      <c r="N637" s="109"/>
      <c r="O637" s="113" t="s">
        <v>2816</v>
      </c>
    </row>
    <row r="638" spans="1:15" ht="70.05" customHeight="1" outlineLevel="1">
      <c r="A638" s="109" t="s">
        <v>5348</v>
      </c>
      <c r="B638" s="110" t="s">
        <v>5349</v>
      </c>
      <c r="C638" s="110" t="s">
        <v>5350</v>
      </c>
      <c r="D638" s="111" t="s">
        <v>5351</v>
      </c>
      <c r="E638" s="111" t="s">
        <v>5309</v>
      </c>
      <c r="F638" s="109" t="s">
        <v>346</v>
      </c>
      <c r="G638" s="109"/>
      <c r="H638" s="109"/>
      <c r="I638" s="109" t="s">
        <v>346</v>
      </c>
      <c r="J638" s="109"/>
      <c r="K638" s="109"/>
      <c r="L638" s="109" t="s">
        <v>346</v>
      </c>
      <c r="M638" s="109"/>
      <c r="N638" s="109"/>
      <c r="O638" s="113" t="s">
        <v>2816</v>
      </c>
    </row>
    <row r="639" spans="1:15" ht="70.05" customHeight="1" outlineLevel="1">
      <c r="A639" s="109" t="s">
        <v>5352</v>
      </c>
      <c r="B639" s="110" t="s">
        <v>5353</v>
      </c>
      <c r="C639" s="110" t="s">
        <v>5354</v>
      </c>
      <c r="D639" s="111" t="s">
        <v>5355</v>
      </c>
      <c r="E639" s="111" t="s">
        <v>5309</v>
      </c>
      <c r="F639" s="109" t="s">
        <v>346</v>
      </c>
      <c r="G639" s="109"/>
      <c r="H639" s="109"/>
      <c r="I639" s="109" t="s">
        <v>346</v>
      </c>
      <c r="J639" s="109"/>
      <c r="K639" s="109"/>
      <c r="L639" s="109" t="s">
        <v>346</v>
      </c>
      <c r="M639" s="109"/>
      <c r="N639" s="109"/>
      <c r="O639" s="113" t="s">
        <v>2816</v>
      </c>
    </row>
    <row r="640" spans="1:15" ht="70.05" customHeight="1" outlineLevel="1">
      <c r="A640" s="109" t="s">
        <v>5356</v>
      </c>
      <c r="B640" s="110" t="s">
        <v>5357</v>
      </c>
      <c r="C640" s="110" t="s">
        <v>5358</v>
      </c>
      <c r="D640" s="111" t="s">
        <v>5359</v>
      </c>
      <c r="E640" s="111" t="s">
        <v>5360</v>
      </c>
      <c r="F640" s="109" t="s">
        <v>346</v>
      </c>
      <c r="G640" s="109"/>
      <c r="H640" s="109"/>
      <c r="I640" s="109" t="s">
        <v>346</v>
      </c>
      <c r="J640" s="109"/>
      <c r="K640" s="109"/>
      <c r="L640" s="109" t="s">
        <v>346</v>
      </c>
      <c r="M640" s="109"/>
      <c r="N640" s="109"/>
      <c r="O640" s="113" t="s">
        <v>2816</v>
      </c>
    </row>
    <row r="641" spans="1:15" ht="70.05" customHeight="1" outlineLevel="1">
      <c r="A641" s="109" t="s">
        <v>5361</v>
      </c>
      <c r="B641" s="110" t="s">
        <v>5362</v>
      </c>
      <c r="C641" s="110" t="s">
        <v>5363</v>
      </c>
      <c r="D641" s="111" t="s">
        <v>4867</v>
      </c>
      <c r="E641" s="111" t="s">
        <v>5309</v>
      </c>
      <c r="F641" s="109" t="s">
        <v>346</v>
      </c>
      <c r="G641" s="109"/>
      <c r="H641" s="109"/>
      <c r="I641" s="109" t="s">
        <v>346</v>
      </c>
      <c r="J641" s="109"/>
      <c r="K641" s="109"/>
      <c r="L641" s="109" t="s">
        <v>346</v>
      </c>
      <c r="M641" s="109"/>
      <c r="N641" s="109"/>
      <c r="O641" s="113" t="s">
        <v>2816</v>
      </c>
    </row>
    <row r="642" spans="1:15" ht="70.05" customHeight="1" outlineLevel="1">
      <c r="A642" s="109" t="s">
        <v>5364</v>
      </c>
      <c r="B642" s="110" t="s">
        <v>5365</v>
      </c>
      <c r="C642" s="110" t="s">
        <v>5366</v>
      </c>
      <c r="D642" s="111" t="s">
        <v>4845</v>
      </c>
      <c r="E642" s="111" t="s">
        <v>5367</v>
      </c>
      <c r="F642" s="109" t="s">
        <v>346</v>
      </c>
      <c r="G642" s="109"/>
      <c r="H642" s="109"/>
      <c r="I642" s="109" t="s">
        <v>346</v>
      </c>
      <c r="J642" s="109"/>
      <c r="K642" s="109"/>
      <c r="L642" s="109" t="s">
        <v>346</v>
      </c>
      <c r="M642" s="109"/>
      <c r="N642" s="109"/>
      <c r="O642" s="113" t="s">
        <v>2816</v>
      </c>
    </row>
    <row r="643" spans="1:15" ht="70.05" customHeight="1" outlineLevel="1">
      <c r="A643" s="109" t="s">
        <v>5368</v>
      </c>
      <c r="B643" s="110" t="s">
        <v>5369</v>
      </c>
      <c r="C643" s="110" t="s">
        <v>5370</v>
      </c>
      <c r="D643" s="111" t="s">
        <v>4857</v>
      </c>
      <c r="E643" s="111" t="s">
        <v>5367</v>
      </c>
      <c r="F643" s="109" t="s">
        <v>346</v>
      </c>
      <c r="G643" s="109"/>
      <c r="H643" s="109"/>
      <c r="I643" s="109" t="s">
        <v>346</v>
      </c>
      <c r="J643" s="109"/>
      <c r="K643" s="109"/>
      <c r="L643" s="109" t="s">
        <v>346</v>
      </c>
      <c r="M643" s="109"/>
      <c r="N643" s="109"/>
      <c r="O643" s="113" t="s">
        <v>2816</v>
      </c>
    </row>
    <row r="644" spans="1:15" ht="70.05" customHeight="1" outlineLevel="1">
      <c r="A644" s="109" t="s">
        <v>5371</v>
      </c>
      <c r="B644" s="110" t="s">
        <v>5357</v>
      </c>
      <c r="C644" s="110" t="s">
        <v>5358</v>
      </c>
      <c r="D644" s="111" t="s">
        <v>4859</v>
      </c>
      <c r="E644" s="111" t="s">
        <v>5372</v>
      </c>
      <c r="F644" s="109" t="s">
        <v>346</v>
      </c>
      <c r="G644" s="109"/>
      <c r="H644" s="109"/>
      <c r="I644" s="109" t="s">
        <v>346</v>
      </c>
      <c r="J644" s="109"/>
      <c r="K644" s="109"/>
      <c r="L644" s="109" t="s">
        <v>346</v>
      </c>
      <c r="M644" s="109"/>
      <c r="N644" s="109"/>
      <c r="O644" s="113" t="s">
        <v>2816</v>
      </c>
    </row>
    <row r="645" spans="1:15" ht="70.05" customHeight="1" outlineLevel="1">
      <c r="A645" s="109" t="s">
        <v>5373</v>
      </c>
      <c r="B645" s="110" t="s">
        <v>5357</v>
      </c>
      <c r="C645" s="110" t="s">
        <v>5358</v>
      </c>
      <c r="D645" s="111" t="s">
        <v>4862</v>
      </c>
      <c r="E645" s="111" t="s">
        <v>5374</v>
      </c>
      <c r="F645" s="109" t="s">
        <v>346</v>
      </c>
      <c r="G645" s="109"/>
      <c r="H645" s="109"/>
      <c r="I645" s="109" t="s">
        <v>346</v>
      </c>
      <c r="J645" s="109"/>
      <c r="K645" s="109"/>
      <c r="L645" s="109" t="s">
        <v>346</v>
      </c>
      <c r="M645" s="109"/>
      <c r="N645" s="109"/>
      <c r="O645" s="113" t="s">
        <v>2816</v>
      </c>
    </row>
    <row r="646" spans="1:15" ht="15.75" customHeight="1">
      <c r="A646" s="60" t="s">
        <v>223</v>
      </c>
      <c r="B646" s="60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2"/>
    </row>
    <row r="647" spans="1:15" ht="70.05" customHeight="1" outlineLevel="1">
      <c r="A647" s="109" t="s">
        <v>5375</v>
      </c>
      <c r="B647" s="110" t="s">
        <v>5376</v>
      </c>
      <c r="C647" s="110" t="s">
        <v>5377</v>
      </c>
      <c r="D647" s="111" t="s">
        <v>5378</v>
      </c>
      <c r="E647" s="111" t="s">
        <v>5379</v>
      </c>
      <c r="F647" s="109" t="s">
        <v>346</v>
      </c>
      <c r="G647" s="109"/>
      <c r="H647" s="109"/>
      <c r="I647" s="109" t="s">
        <v>346</v>
      </c>
      <c r="J647" s="109"/>
      <c r="K647" s="109"/>
      <c r="L647" s="109" t="s">
        <v>346</v>
      </c>
      <c r="M647" s="109"/>
      <c r="N647" s="109"/>
      <c r="O647" s="113" t="s">
        <v>2816</v>
      </c>
    </row>
    <row r="648" spans="1:15" ht="70.05" customHeight="1" outlineLevel="1">
      <c r="A648" s="109" t="s">
        <v>5380</v>
      </c>
      <c r="B648" s="110" t="s">
        <v>5381</v>
      </c>
      <c r="C648" s="110" t="s">
        <v>5382</v>
      </c>
      <c r="D648" s="111" t="s">
        <v>5383</v>
      </c>
      <c r="E648" s="111" t="s">
        <v>5379</v>
      </c>
      <c r="F648" s="109" t="s">
        <v>346</v>
      </c>
      <c r="G648" s="109"/>
      <c r="H648" s="109"/>
      <c r="I648" s="109" t="s">
        <v>346</v>
      </c>
      <c r="J648" s="109"/>
      <c r="K648" s="109"/>
      <c r="L648" s="109" t="s">
        <v>346</v>
      </c>
      <c r="M648" s="109"/>
      <c r="N648" s="109"/>
      <c r="O648" s="113" t="s">
        <v>2816</v>
      </c>
    </row>
    <row r="649" spans="1:15" ht="70.05" customHeight="1" outlineLevel="1">
      <c r="A649" s="109" t="s">
        <v>5384</v>
      </c>
      <c r="B649" s="110" t="s">
        <v>5376</v>
      </c>
      <c r="C649" s="110" t="s">
        <v>5377</v>
      </c>
      <c r="D649" s="111" t="s">
        <v>5378</v>
      </c>
      <c r="E649" s="111" t="s">
        <v>5385</v>
      </c>
      <c r="F649" s="109" t="s">
        <v>346</v>
      </c>
      <c r="G649" s="109"/>
      <c r="H649" s="109"/>
      <c r="I649" s="109" t="s">
        <v>346</v>
      </c>
      <c r="J649" s="109"/>
      <c r="K649" s="109"/>
      <c r="L649" s="109" t="s">
        <v>346</v>
      </c>
      <c r="M649" s="109"/>
      <c r="N649" s="109"/>
      <c r="O649" s="113" t="s">
        <v>2816</v>
      </c>
    </row>
    <row r="650" spans="1:15" ht="70.05" customHeight="1" outlineLevel="1">
      <c r="A650" s="109" t="s">
        <v>5386</v>
      </c>
      <c r="B650" s="110" t="s">
        <v>5387</v>
      </c>
      <c r="C650" s="110" t="s">
        <v>5388</v>
      </c>
      <c r="D650" s="111" t="s">
        <v>5389</v>
      </c>
      <c r="E650" s="111" t="s">
        <v>5379</v>
      </c>
      <c r="F650" s="109" t="s">
        <v>346</v>
      </c>
      <c r="G650" s="109"/>
      <c r="H650" s="109"/>
      <c r="I650" s="109" t="s">
        <v>346</v>
      </c>
      <c r="J650" s="109"/>
      <c r="K650" s="109"/>
      <c r="L650" s="109" t="s">
        <v>346</v>
      </c>
      <c r="M650" s="109"/>
      <c r="N650" s="109"/>
      <c r="O650" s="113" t="s">
        <v>2816</v>
      </c>
    </row>
    <row r="651" spans="1:15" ht="70.05" customHeight="1" outlineLevel="1">
      <c r="A651" s="109" t="s">
        <v>5390</v>
      </c>
      <c r="B651" s="110" t="s">
        <v>5391</v>
      </c>
      <c r="C651" s="110" t="s">
        <v>5392</v>
      </c>
      <c r="D651" s="111" t="s">
        <v>5393</v>
      </c>
      <c r="E651" s="111" t="s">
        <v>5379</v>
      </c>
      <c r="F651" s="109" t="s">
        <v>346</v>
      </c>
      <c r="G651" s="109"/>
      <c r="H651" s="109"/>
      <c r="I651" s="109" t="s">
        <v>346</v>
      </c>
      <c r="J651" s="109"/>
      <c r="K651" s="109"/>
      <c r="L651" s="109" t="s">
        <v>346</v>
      </c>
      <c r="M651" s="109"/>
      <c r="N651" s="109"/>
      <c r="O651" s="113" t="s">
        <v>2816</v>
      </c>
    </row>
    <row r="652" spans="1:15" ht="70.05" customHeight="1" outlineLevel="1">
      <c r="A652" s="109" t="s">
        <v>5394</v>
      </c>
      <c r="B652" s="110" t="s">
        <v>5395</v>
      </c>
      <c r="C652" s="110" t="s">
        <v>5396</v>
      </c>
      <c r="D652" s="111" t="s">
        <v>5397</v>
      </c>
      <c r="E652" s="111" t="s">
        <v>5398</v>
      </c>
      <c r="F652" s="109" t="s">
        <v>346</v>
      </c>
      <c r="G652" s="109"/>
      <c r="H652" s="109"/>
      <c r="I652" s="109" t="s">
        <v>346</v>
      </c>
      <c r="J652" s="109"/>
      <c r="K652" s="109"/>
      <c r="L652" s="109" t="s">
        <v>346</v>
      </c>
      <c r="M652" s="109"/>
      <c r="N652" s="109"/>
      <c r="O652" s="113" t="s">
        <v>2816</v>
      </c>
    </row>
    <row r="653" spans="1:15" ht="70.05" customHeight="1" outlineLevel="1">
      <c r="A653" s="109" t="s">
        <v>5399</v>
      </c>
      <c r="B653" s="110" t="s">
        <v>5381</v>
      </c>
      <c r="C653" s="110" t="s">
        <v>5382</v>
      </c>
      <c r="D653" s="111" t="s">
        <v>5400</v>
      </c>
      <c r="E653" s="111" t="s">
        <v>5379</v>
      </c>
      <c r="F653" s="109" t="s">
        <v>346</v>
      </c>
      <c r="G653" s="109"/>
      <c r="H653" s="109"/>
      <c r="I653" s="109" t="s">
        <v>346</v>
      </c>
      <c r="J653" s="109"/>
      <c r="K653" s="109"/>
      <c r="L653" s="109" t="s">
        <v>346</v>
      </c>
      <c r="M653" s="109"/>
      <c r="N653" s="109"/>
      <c r="O653" s="113" t="s">
        <v>2816</v>
      </c>
    </row>
    <row r="654" spans="1:15" ht="70.05" customHeight="1" outlineLevel="1">
      <c r="A654" s="109" t="s">
        <v>5401</v>
      </c>
      <c r="B654" s="110" t="s">
        <v>5381</v>
      </c>
      <c r="C654" s="110" t="s">
        <v>5382</v>
      </c>
      <c r="D654" s="111" t="s">
        <v>5402</v>
      </c>
      <c r="E654" s="111" t="s">
        <v>5379</v>
      </c>
      <c r="F654" s="109" t="s">
        <v>346</v>
      </c>
      <c r="G654" s="109"/>
      <c r="H654" s="109"/>
      <c r="I654" s="109" t="s">
        <v>346</v>
      </c>
      <c r="J654" s="109"/>
      <c r="K654" s="109"/>
      <c r="L654" s="109" t="s">
        <v>346</v>
      </c>
      <c r="M654" s="109"/>
      <c r="N654" s="109"/>
      <c r="O654" s="113" t="s">
        <v>2816</v>
      </c>
    </row>
    <row r="655" spans="1:15" ht="70.05" customHeight="1" outlineLevel="1">
      <c r="A655" s="109" t="s">
        <v>5403</v>
      </c>
      <c r="B655" s="110" t="s">
        <v>5404</v>
      </c>
      <c r="C655" s="110" t="s">
        <v>5405</v>
      </c>
      <c r="D655" s="111" t="s">
        <v>5406</v>
      </c>
      <c r="E655" s="111" t="s">
        <v>5379</v>
      </c>
      <c r="F655" s="109" t="s">
        <v>346</v>
      </c>
      <c r="G655" s="109"/>
      <c r="H655" s="109"/>
      <c r="I655" s="109" t="s">
        <v>346</v>
      </c>
      <c r="J655" s="109"/>
      <c r="K655" s="109"/>
      <c r="L655" s="109" t="s">
        <v>346</v>
      </c>
      <c r="M655" s="109"/>
      <c r="N655" s="109"/>
      <c r="O655" s="113" t="s">
        <v>2816</v>
      </c>
    </row>
    <row r="656" spans="1:15" ht="70.05" customHeight="1" outlineLevel="1">
      <c r="A656" s="109" t="s">
        <v>5407</v>
      </c>
      <c r="B656" s="110" t="s">
        <v>5408</v>
      </c>
      <c r="C656" s="110" t="s">
        <v>5409</v>
      </c>
      <c r="D656" s="111" t="s">
        <v>5410</v>
      </c>
      <c r="E656" s="111" t="s">
        <v>5379</v>
      </c>
      <c r="F656" s="109" t="s">
        <v>346</v>
      </c>
      <c r="G656" s="109"/>
      <c r="H656" s="109"/>
      <c r="I656" s="109" t="s">
        <v>346</v>
      </c>
      <c r="J656" s="109"/>
      <c r="K656" s="109"/>
      <c r="L656" s="109" t="s">
        <v>346</v>
      </c>
      <c r="M656" s="109"/>
      <c r="N656" s="109"/>
      <c r="O656" s="113" t="s">
        <v>2816</v>
      </c>
    </row>
    <row r="657" spans="1:15" ht="70.05" customHeight="1" outlineLevel="1">
      <c r="A657" s="109" t="s">
        <v>5411</v>
      </c>
      <c r="B657" s="110" t="s">
        <v>5412</v>
      </c>
      <c r="C657" s="110" t="s">
        <v>5413</v>
      </c>
      <c r="D657" s="111" t="s">
        <v>5414</v>
      </c>
      <c r="E657" s="111" t="s">
        <v>5379</v>
      </c>
      <c r="F657" s="109" t="s">
        <v>346</v>
      </c>
      <c r="G657" s="109"/>
      <c r="H657" s="109"/>
      <c r="I657" s="109" t="s">
        <v>346</v>
      </c>
      <c r="J657" s="109"/>
      <c r="K657" s="109"/>
      <c r="L657" s="109" t="s">
        <v>346</v>
      </c>
      <c r="M657" s="109"/>
      <c r="N657" s="109"/>
      <c r="O657" s="113" t="s">
        <v>2816</v>
      </c>
    </row>
    <row r="658" spans="1:15" ht="70.05" customHeight="1" outlineLevel="1">
      <c r="A658" s="109" t="s">
        <v>5415</v>
      </c>
      <c r="B658" s="110" t="s">
        <v>5416</v>
      </c>
      <c r="C658" s="110" t="s">
        <v>5417</v>
      </c>
      <c r="D658" s="111" t="s">
        <v>5418</v>
      </c>
      <c r="E658" s="111" t="s">
        <v>5379</v>
      </c>
      <c r="F658" s="109" t="s">
        <v>346</v>
      </c>
      <c r="G658" s="109"/>
      <c r="H658" s="109"/>
      <c r="I658" s="109" t="s">
        <v>346</v>
      </c>
      <c r="J658" s="109"/>
      <c r="K658" s="109"/>
      <c r="L658" s="109" t="s">
        <v>346</v>
      </c>
      <c r="M658" s="109"/>
      <c r="N658" s="109"/>
      <c r="O658" s="113" t="s">
        <v>2816</v>
      </c>
    </row>
    <row r="659" spans="1:15" ht="70.05" customHeight="1" outlineLevel="1">
      <c r="A659" s="109" t="s">
        <v>5419</v>
      </c>
      <c r="B659" s="110" t="s">
        <v>5420</v>
      </c>
      <c r="C659" s="110" t="s">
        <v>5421</v>
      </c>
      <c r="D659" s="111" t="s">
        <v>5422</v>
      </c>
      <c r="E659" s="111" t="s">
        <v>5423</v>
      </c>
      <c r="F659" s="109" t="s">
        <v>346</v>
      </c>
      <c r="G659" s="109"/>
      <c r="H659" s="109"/>
      <c r="I659" s="109" t="s">
        <v>346</v>
      </c>
      <c r="J659" s="109"/>
      <c r="K659" s="109"/>
      <c r="L659" s="109" t="s">
        <v>346</v>
      </c>
      <c r="M659" s="109"/>
      <c r="N659" s="109"/>
      <c r="O659" s="113" t="s">
        <v>2816</v>
      </c>
    </row>
    <row r="660" spans="1:15" ht="70.05" customHeight="1" outlineLevel="1">
      <c r="A660" s="109" t="s">
        <v>5424</v>
      </c>
      <c r="B660" s="110" t="s">
        <v>5425</v>
      </c>
      <c r="C660" s="110" t="s">
        <v>5426</v>
      </c>
      <c r="D660" s="111" t="s">
        <v>4867</v>
      </c>
      <c r="E660" s="111" t="s">
        <v>5427</v>
      </c>
      <c r="F660" s="109" t="s">
        <v>346</v>
      </c>
      <c r="G660" s="109"/>
      <c r="H660" s="109"/>
      <c r="I660" s="109" t="s">
        <v>346</v>
      </c>
      <c r="J660" s="109"/>
      <c r="K660" s="109"/>
      <c r="L660" s="109" t="s">
        <v>346</v>
      </c>
      <c r="M660" s="109"/>
      <c r="N660" s="109"/>
      <c r="O660" s="113" t="s">
        <v>2816</v>
      </c>
    </row>
    <row r="661" spans="1:15" ht="70.05" customHeight="1" outlineLevel="1">
      <c r="A661" s="109" t="s">
        <v>5428</v>
      </c>
      <c r="B661" s="110" t="s">
        <v>5429</v>
      </c>
      <c r="C661" s="110" t="s">
        <v>5430</v>
      </c>
      <c r="D661" s="111" t="s">
        <v>4867</v>
      </c>
      <c r="E661" s="111" t="s">
        <v>5379</v>
      </c>
      <c r="F661" s="109" t="s">
        <v>346</v>
      </c>
      <c r="G661" s="109"/>
      <c r="H661" s="109"/>
      <c r="I661" s="109" t="s">
        <v>346</v>
      </c>
      <c r="J661" s="109"/>
      <c r="K661" s="109"/>
      <c r="L661" s="109" t="s">
        <v>346</v>
      </c>
      <c r="M661" s="109"/>
      <c r="N661" s="109"/>
      <c r="O661" s="113" t="s">
        <v>2816</v>
      </c>
    </row>
    <row r="662" spans="1:15" ht="70.05" customHeight="1" outlineLevel="1">
      <c r="A662" s="109" t="s">
        <v>5431</v>
      </c>
      <c r="B662" s="110" t="s">
        <v>5432</v>
      </c>
      <c r="C662" s="110" t="s">
        <v>5433</v>
      </c>
      <c r="D662" s="111" t="s">
        <v>4857</v>
      </c>
      <c r="E662" s="111" t="s">
        <v>5427</v>
      </c>
      <c r="F662" s="109" t="s">
        <v>346</v>
      </c>
      <c r="G662" s="109"/>
      <c r="H662" s="109"/>
      <c r="I662" s="109" t="s">
        <v>346</v>
      </c>
      <c r="J662" s="109"/>
      <c r="K662" s="109"/>
      <c r="L662" s="109" t="s">
        <v>346</v>
      </c>
      <c r="M662" s="109"/>
      <c r="N662" s="109"/>
      <c r="O662" s="113" t="s">
        <v>2816</v>
      </c>
    </row>
    <row r="663" spans="1:15" ht="70.05" customHeight="1" outlineLevel="1">
      <c r="A663" s="109" t="s">
        <v>5434</v>
      </c>
      <c r="B663" s="110" t="s">
        <v>5420</v>
      </c>
      <c r="C663" s="110" t="s">
        <v>5421</v>
      </c>
      <c r="D663" s="111" t="s">
        <v>4859</v>
      </c>
      <c r="E663" s="111" t="s">
        <v>5435</v>
      </c>
      <c r="F663" s="109" t="s">
        <v>346</v>
      </c>
      <c r="G663" s="109"/>
      <c r="H663" s="109"/>
      <c r="I663" s="109" t="s">
        <v>346</v>
      </c>
      <c r="J663" s="109"/>
      <c r="K663" s="109"/>
      <c r="L663" s="109" t="s">
        <v>346</v>
      </c>
      <c r="M663" s="109"/>
      <c r="N663" s="109"/>
      <c r="O663" s="113" t="s">
        <v>2816</v>
      </c>
    </row>
    <row r="664" spans="1:15" ht="70.05" customHeight="1" outlineLevel="1">
      <c r="A664" s="109" t="s">
        <v>5436</v>
      </c>
      <c r="B664" s="110" t="s">
        <v>5420</v>
      </c>
      <c r="C664" s="110" t="s">
        <v>5421</v>
      </c>
      <c r="D664" s="111" t="s">
        <v>4862</v>
      </c>
      <c r="E664" s="111" t="s">
        <v>5437</v>
      </c>
      <c r="F664" s="109" t="s">
        <v>346</v>
      </c>
      <c r="G664" s="109"/>
      <c r="H664" s="109"/>
      <c r="I664" s="109" t="s">
        <v>346</v>
      </c>
      <c r="J664" s="109"/>
      <c r="K664" s="109"/>
      <c r="L664" s="109" t="s">
        <v>346</v>
      </c>
      <c r="M664" s="109"/>
      <c r="N664" s="109"/>
      <c r="O664" s="113" t="s">
        <v>2816</v>
      </c>
    </row>
    <row r="665" spans="1:15" ht="15.75" customHeight="1">
      <c r="A665" s="60" t="s">
        <v>225</v>
      </c>
      <c r="B665" s="60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2"/>
    </row>
    <row r="666" spans="1:15" ht="70.05" customHeight="1" outlineLevel="1">
      <c r="A666" s="109" t="s">
        <v>5438</v>
      </c>
      <c r="B666" s="110" t="s">
        <v>5439</v>
      </c>
      <c r="C666" s="110" t="s">
        <v>5440</v>
      </c>
      <c r="D666" s="111" t="s">
        <v>5441</v>
      </c>
      <c r="E666" s="111" t="s">
        <v>5442</v>
      </c>
      <c r="F666" s="109" t="s">
        <v>346</v>
      </c>
      <c r="G666" s="109"/>
      <c r="H666" s="109"/>
      <c r="I666" s="109" t="s">
        <v>346</v>
      </c>
      <c r="J666" s="109"/>
      <c r="K666" s="109"/>
      <c r="L666" s="109" t="s">
        <v>346</v>
      </c>
      <c r="M666" s="109"/>
      <c r="N666" s="109"/>
      <c r="O666" s="113" t="s">
        <v>2816</v>
      </c>
    </row>
    <row r="667" spans="1:15" ht="70.05" customHeight="1" outlineLevel="1">
      <c r="A667" s="109" t="s">
        <v>5443</v>
      </c>
      <c r="B667" s="110" t="s">
        <v>5439</v>
      </c>
      <c r="C667" s="110" t="s">
        <v>5440</v>
      </c>
      <c r="D667" s="111" t="s">
        <v>5444</v>
      </c>
      <c r="E667" s="111" t="s">
        <v>5445</v>
      </c>
      <c r="F667" s="109" t="s">
        <v>346</v>
      </c>
      <c r="G667" s="109"/>
      <c r="H667" s="109"/>
      <c r="I667" s="109" t="s">
        <v>346</v>
      </c>
      <c r="J667" s="109"/>
      <c r="K667" s="109"/>
      <c r="L667" s="109" t="s">
        <v>346</v>
      </c>
      <c r="M667" s="109"/>
      <c r="N667" s="109"/>
      <c r="O667" s="113" t="s">
        <v>2816</v>
      </c>
    </row>
    <row r="668" spans="1:15" ht="70.05" customHeight="1" outlineLevel="1">
      <c r="A668" s="109" t="s">
        <v>5446</v>
      </c>
      <c r="B668" s="110" t="s">
        <v>5439</v>
      </c>
      <c r="C668" s="110" t="s">
        <v>5440</v>
      </c>
      <c r="D668" s="111" t="s">
        <v>5444</v>
      </c>
      <c r="E668" s="111" t="s">
        <v>5447</v>
      </c>
      <c r="F668" s="109" t="s">
        <v>346</v>
      </c>
      <c r="G668" s="109"/>
      <c r="H668" s="109"/>
      <c r="I668" s="109" t="s">
        <v>346</v>
      </c>
      <c r="J668" s="109"/>
      <c r="K668" s="109"/>
      <c r="L668" s="109" t="s">
        <v>346</v>
      </c>
      <c r="M668" s="109"/>
      <c r="N668" s="109"/>
      <c r="O668" s="113" t="s">
        <v>2816</v>
      </c>
    </row>
    <row r="669" spans="1:15" ht="70.05" customHeight="1" outlineLevel="1">
      <c r="A669" s="109" t="s">
        <v>5448</v>
      </c>
      <c r="B669" s="110" t="s">
        <v>5449</v>
      </c>
      <c r="C669" s="110" t="s">
        <v>5450</v>
      </c>
      <c r="D669" s="111" t="s">
        <v>5451</v>
      </c>
      <c r="E669" s="111" t="s">
        <v>5442</v>
      </c>
      <c r="F669" s="109" t="s">
        <v>346</v>
      </c>
      <c r="G669" s="109"/>
      <c r="H669" s="109"/>
      <c r="I669" s="109" t="s">
        <v>346</v>
      </c>
      <c r="J669" s="109"/>
      <c r="K669" s="109"/>
      <c r="L669" s="109" t="s">
        <v>346</v>
      </c>
      <c r="M669" s="109"/>
      <c r="N669" s="109"/>
      <c r="O669" s="113" t="s">
        <v>2816</v>
      </c>
    </row>
    <row r="670" spans="1:15" ht="70.05" customHeight="1" outlineLevel="1">
      <c r="A670" s="109" t="s">
        <v>5452</v>
      </c>
      <c r="B670" s="110" t="s">
        <v>5453</v>
      </c>
      <c r="C670" s="110" t="s">
        <v>5454</v>
      </c>
      <c r="D670" s="111" t="s">
        <v>5455</v>
      </c>
      <c r="E670" s="111" t="s">
        <v>5442</v>
      </c>
      <c r="F670" s="109" t="s">
        <v>346</v>
      </c>
      <c r="G670" s="109"/>
      <c r="H670" s="109"/>
      <c r="I670" s="109" t="s">
        <v>346</v>
      </c>
      <c r="J670" s="109"/>
      <c r="K670" s="109"/>
      <c r="L670" s="109" t="s">
        <v>346</v>
      </c>
      <c r="M670" s="109"/>
      <c r="N670" s="109"/>
      <c r="O670" s="113" t="s">
        <v>2816</v>
      </c>
    </row>
    <row r="671" spans="1:15" ht="70.05" customHeight="1" outlineLevel="1">
      <c r="A671" s="109" t="s">
        <v>5456</v>
      </c>
      <c r="B671" s="110" t="s">
        <v>5457</v>
      </c>
      <c r="C671" s="110" t="s">
        <v>5458</v>
      </c>
      <c r="D671" s="111" t="s">
        <v>5459</v>
      </c>
      <c r="E671" s="111" t="s">
        <v>5442</v>
      </c>
      <c r="F671" s="109" t="s">
        <v>346</v>
      </c>
      <c r="G671" s="109"/>
      <c r="H671" s="109"/>
      <c r="I671" s="109" t="s">
        <v>346</v>
      </c>
      <c r="J671" s="109"/>
      <c r="K671" s="109"/>
      <c r="L671" s="109" t="s">
        <v>346</v>
      </c>
      <c r="M671" s="109"/>
      <c r="N671" s="109"/>
      <c r="O671" s="113" t="s">
        <v>2816</v>
      </c>
    </row>
    <row r="672" spans="1:15" ht="70.05" customHeight="1" outlineLevel="1">
      <c r="A672" s="109" t="s">
        <v>5460</v>
      </c>
      <c r="B672" s="110" t="s">
        <v>5461</v>
      </c>
      <c r="C672" s="110" t="s">
        <v>5462</v>
      </c>
      <c r="D672" s="111" t="s">
        <v>5463</v>
      </c>
      <c r="E672" s="111" t="s">
        <v>5442</v>
      </c>
      <c r="F672" s="109" t="s">
        <v>346</v>
      </c>
      <c r="G672" s="109"/>
      <c r="H672" s="109"/>
      <c r="I672" s="109" t="s">
        <v>346</v>
      </c>
      <c r="J672" s="109"/>
      <c r="K672" s="109"/>
      <c r="L672" s="109" t="s">
        <v>346</v>
      </c>
      <c r="M672" s="109"/>
      <c r="N672" s="109"/>
      <c r="O672" s="113" t="s">
        <v>2816</v>
      </c>
    </row>
    <row r="673" spans="1:15" ht="70.05" customHeight="1" outlineLevel="1">
      <c r="A673" s="109" t="s">
        <v>5464</v>
      </c>
      <c r="B673" s="110" t="s">
        <v>5439</v>
      </c>
      <c r="C673" s="110" t="s">
        <v>5440</v>
      </c>
      <c r="D673" s="111" t="s">
        <v>5465</v>
      </c>
      <c r="E673" s="111" t="s">
        <v>5466</v>
      </c>
      <c r="F673" s="109" t="s">
        <v>346</v>
      </c>
      <c r="G673" s="109"/>
      <c r="H673" s="109"/>
      <c r="I673" s="109" t="s">
        <v>346</v>
      </c>
      <c r="J673" s="109"/>
      <c r="K673" s="109"/>
      <c r="L673" s="109" t="s">
        <v>346</v>
      </c>
      <c r="M673" s="109"/>
      <c r="N673" s="109"/>
      <c r="O673" s="113" t="s">
        <v>2816</v>
      </c>
    </row>
    <row r="674" spans="1:15" ht="70.05" customHeight="1" outlineLevel="1">
      <c r="A674" s="109" t="s">
        <v>5467</v>
      </c>
      <c r="B674" s="110" t="s">
        <v>5468</v>
      </c>
      <c r="C674" s="110" t="s">
        <v>5469</v>
      </c>
      <c r="D674" s="111" t="s">
        <v>5028</v>
      </c>
      <c r="E674" s="111" t="s">
        <v>5020</v>
      </c>
      <c r="F674" s="109" t="s">
        <v>346</v>
      </c>
      <c r="G674" s="109"/>
      <c r="H674" s="109"/>
      <c r="I674" s="109" t="s">
        <v>346</v>
      </c>
      <c r="J674" s="109"/>
      <c r="K674" s="109"/>
      <c r="L674" s="109" t="s">
        <v>346</v>
      </c>
      <c r="M674" s="109"/>
      <c r="N674" s="109"/>
      <c r="O674" s="113" t="s">
        <v>2816</v>
      </c>
    </row>
    <row r="675" spans="1:15" ht="70.05" customHeight="1" outlineLevel="1">
      <c r="A675" s="109" t="s">
        <v>5470</v>
      </c>
      <c r="B675" s="110" t="s">
        <v>5471</v>
      </c>
      <c r="C675" s="110" t="s">
        <v>5472</v>
      </c>
      <c r="D675" s="111" t="s">
        <v>5016</v>
      </c>
      <c r="E675" s="111" t="s">
        <v>5442</v>
      </c>
      <c r="F675" s="109" t="s">
        <v>346</v>
      </c>
      <c r="G675" s="109"/>
      <c r="H675" s="109"/>
      <c r="I675" s="109" t="s">
        <v>346</v>
      </c>
      <c r="J675" s="109"/>
      <c r="K675" s="109"/>
      <c r="L675" s="109" t="s">
        <v>346</v>
      </c>
      <c r="M675" s="109"/>
      <c r="N675" s="109"/>
      <c r="O675" s="113" t="s">
        <v>2816</v>
      </c>
    </row>
    <row r="676" spans="1:15" ht="70.05" customHeight="1" outlineLevel="1">
      <c r="A676" s="109" t="s">
        <v>5473</v>
      </c>
      <c r="B676" s="110" t="s">
        <v>5474</v>
      </c>
      <c r="C676" s="110" t="s">
        <v>5475</v>
      </c>
      <c r="D676" s="111" t="s">
        <v>5036</v>
      </c>
      <c r="E676" s="111" t="s">
        <v>5442</v>
      </c>
      <c r="F676" s="109" t="s">
        <v>346</v>
      </c>
      <c r="G676" s="109"/>
      <c r="H676" s="109"/>
      <c r="I676" s="109" t="s">
        <v>346</v>
      </c>
      <c r="J676" s="109"/>
      <c r="K676" s="109"/>
      <c r="L676" s="109" t="s">
        <v>346</v>
      </c>
      <c r="M676" s="109"/>
      <c r="N676" s="109"/>
      <c r="O676" s="113" t="s">
        <v>2816</v>
      </c>
    </row>
    <row r="677" spans="1:15" ht="70.05" customHeight="1" outlineLevel="1">
      <c r="A677" s="109" t="s">
        <v>5476</v>
      </c>
      <c r="B677" s="110" t="s">
        <v>5477</v>
      </c>
      <c r="C677" s="110" t="s">
        <v>5478</v>
      </c>
      <c r="D677" s="111" t="s">
        <v>5479</v>
      </c>
      <c r="E677" s="111" t="s">
        <v>5442</v>
      </c>
      <c r="F677" s="109" t="s">
        <v>346</v>
      </c>
      <c r="G677" s="109"/>
      <c r="H677" s="109"/>
      <c r="I677" s="109" t="s">
        <v>346</v>
      </c>
      <c r="J677" s="109"/>
      <c r="K677" s="109"/>
      <c r="L677" s="109" t="s">
        <v>346</v>
      </c>
      <c r="M677" s="109"/>
      <c r="N677" s="109"/>
      <c r="O677" s="113" t="s">
        <v>2816</v>
      </c>
    </row>
    <row r="678" spans="1:15" ht="70.05" customHeight="1" outlineLevel="1">
      <c r="A678" s="109" t="s">
        <v>5480</v>
      </c>
      <c r="B678" s="110" t="s">
        <v>5481</v>
      </c>
      <c r="C678" s="110" t="s">
        <v>5440</v>
      </c>
      <c r="D678" s="111" t="s">
        <v>4862</v>
      </c>
      <c r="E678" s="111" t="s">
        <v>5043</v>
      </c>
      <c r="F678" s="109" t="s">
        <v>346</v>
      </c>
      <c r="G678" s="109"/>
      <c r="H678" s="109"/>
      <c r="I678" s="109" t="s">
        <v>346</v>
      </c>
      <c r="J678" s="109"/>
      <c r="K678" s="109"/>
      <c r="L678" s="109" t="s">
        <v>346</v>
      </c>
      <c r="M678" s="109"/>
      <c r="N678" s="109"/>
      <c r="O678" s="113" t="s">
        <v>2816</v>
      </c>
    </row>
    <row r="679" spans="1:15" ht="70.05" customHeight="1" outlineLevel="1">
      <c r="A679" s="109" t="s">
        <v>5482</v>
      </c>
      <c r="B679" s="110" t="s">
        <v>5483</v>
      </c>
      <c r="C679" s="110" t="s">
        <v>5484</v>
      </c>
      <c r="D679" s="111" t="s">
        <v>5049</v>
      </c>
      <c r="E679" s="111" t="s">
        <v>4007</v>
      </c>
      <c r="F679" s="109" t="s">
        <v>346</v>
      </c>
      <c r="G679" s="109"/>
      <c r="H679" s="109"/>
      <c r="I679" s="109" t="s">
        <v>346</v>
      </c>
      <c r="J679" s="109"/>
      <c r="K679" s="109"/>
      <c r="L679" s="109" t="s">
        <v>346</v>
      </c>
      <c r="M679" s="109"/>
      <c r="N679" s="109"/>
      <c r="O679" s="113" t="s">
        <v>2816</v>
      </c>
    </row>
    <row r="680" spans="1:15" ht="70.05" customHeight="1" outlineLevel="1">
      <c r="A680" s="109" t="s">
        <v>5485</v>
      </c>
      <c r="B680" s="110" t="s">
        <v>5486</v>
      </c>
      <c r="C680" s="110" t="s">
        <v>5487</v>
      </c>
      <c r="D680" s="111" t="s">
        <v>4867</v>
      </c>
      <c r="E680" s="111" t="s">
        <v>5442</v>
      </c>
      <c r="F680" s="109" t="s">
        <v>346</v>
      </c>
      <c r="G680" s="109"/>
      <c r="H680" s="109"/>
      <c r="I680" s="109" t="s">
        <v>346</v>
      </c>
      <c r="J680" s="109"/>
      <c r="K680" s="109"/>
      <c r="L680" s="109" t="s">
        <v>346</v>
      </c>
      <c r="M680" s="109"/>
      <c r="N680" s="109"/>
      <c r="O680" s="113" t="s">
        <v>2816</v>
      </c>
    </row>
    <row r="681" spans="1:15" ht="70.05" customHeight="1" outlineLevel="1">
      <c r="A681" s="109" t="s">
        <v>5488</v>
      </c>
      <c r="B681" s="110" t="s">
        <v>5489</v>
      </c>
      <c r="C681" s="110" t="s">
        <v>5490</v>
      </c>
      <c r="D681" s="111" t="s">
        <v>5491</v>
      </c>
      <c r="E681" s="111" t="s">
        <v>5442</v>
      </c>
      <c r="F681" s="109" t="s">
        <v>346</v>
      </c>
      <c r="G681" s="109"/>
      <c r="H681" s="109"/>
      <c r="I681" s="109" t="s">
        <v>346</v>
      </c>
      <c r="J681" s="109"/>
      <c r="K681" s="109"/>
      <c r="L681" s="109" t="s">
        <v>346</v>
      </c>
      <c r="M681" s="109"/>
      <c r="N681" s="109"/>
      <c r="O681" s="113" t="s">
        <v>2816</v>
      </c>
    </row>
    <row r="682" spans="1:15" ht="70.05" customHeight="1" outlineLevel="1">
      <c r="A682" s="109" t="s">
        <v>5492</v>
      </c>
      <c r="B682" s="110" t="s">
        <v>5493</v>
      </c>
      <c r="C682" s="110" t="s">
        <v>5494</v>
      </c>
      <c r="D682" s="111" t="s">
        <v>4867</v>
      </c>
      <c r="E682" s="111" t="s">
        <v>4007</v>
      </c>
      <c r="F682" s="109" t="s">
        <v>346</v>
      </c>
      <c r="G682" s="109"/>
      <c r="H682" s="109"/>
      <c r="I682" s="109" t="s">
        <v>346</v>
      </c>
      <c r="J682" s="109"/>
      <c r="K682" s="109"/>
      <c r="L682" s="109" t="s">
        <v>346</v>
      </c>
      <c r="M682" s="109"/>
      <c r="N682" s="109"/>
      <c r="O682" s="113" t="s">
        <v>2816</v>
      </c>
    </row>
    <row r="683" spans="1:15" ht="15.75" customHeight="1">
      <c r="A683" s="60" t="s">
        <v>227</v>
      </c>
      <c r="B683" s="60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2"/>
    </row>
    <row r="684" spans="1:15" ht="70.05" customHeight="1" outlineLevel="1">
      <c r="A684" s="109" t="s">
        <v>5495</v>
      </c>
      <c r="B684" s="110" t="s">
        <v>5496</v>
      </c>
      <c r="C684" s="110" t="s">
        <v>5497</v>
      </c>
      <c r="D684" s="111" t="s">
        <v>5498</v>
      </c>
      <c r="E684" s="111" t="s">
        <v>5499</v>
      </c>
      <c r="F684" s="109" t="s">
        <v>344</v>
      </c>
      <c r="G684" s="112">
        <v>46300</v>
      </c>
      <c r="H684" s="109" t="s">
        <v>2554</v>
      </c>
      <c r="I684" s="109" t="s">
        <v>346</v>
      </c>
      <c r="J684" s="109"/>
      <c r="K684" s="109"/>
      <c r="L684" s="109" t="s">
        <v>346</v>
      </c>
      <c r="M684" s="109"/>
      <c r="N684" s="109"/>
      <c r="O684" s="113"/>
    </row>
    <row r="685" spans="1:15" ht="70.05" customHeight="1" outlineLevel="1">
      <c r="A685" s="109" t="s">
        <v>5500</v>
      </c>
      <c r="B685" s="110" t="s">
        <v>5501</v>
      </c>
      <c r="C685" s="110" t="s">
        <v>5502</v>
      </c>
      <c r="D685" s="111" t="s">
        <v>5503</v>
      </c>
      <c r="E685" s="111" t="s">
        <v>5499</v>
      </c>
      <c r="F685" s="109" t="s">
        <v>344</v>
      </c>
      <c r="G685" s="112">
        <v>46300</v>
      </c>
      <c r="H685" s="109" t="s">
        <v>2554</v>
      </c>
      <c r="I685" s="109" t="s">
        <v>346</v>
      </c>
      <c r="J685" s="109"/>
      <c r="K685" s="109"/>
      <c r="L685" s="109" t="s">
        <v>346</v>
      </c>
      <c r="M685" s="109"/>
      <c r="N685" s="109"/>
      <c r="O685" s="113"/>
    </row>
    <row r="686" spans="1:15" ht="70.05" customHeight="1" outlineLevel="1">
      <c r="A686" s="109" t="s">
        <v>5504</v>
      </c>
      <c r="B686" s="110" t="s">
        <v>5505</v>
      </c>
      <c r="C686" s="110" t="s">
        <v>5506</v>
      </c>
      <c r="D686" s="111" t="s">
        <v>5507</v>
      </c>
      <c r="E686" s="111" t="s">
        <v>5508</v>
      </c>
      <c r="F686" s="109" t="s">
        <v>344</v>
      </c>
      <c r="G686" s="112">
        <v>46300</v>
      </c>
      <c r="H686" s="109" t="s">
        <v>2554</v>
      </c>
      <c r="I686" s="109" t="s">
        <v>346</v>
      </c>
      <c r="J686" s="109"/>
      <c r="K686" s="109"/>
      <c r="L686" s="109" t="s">
        <v>346</v>
      </c>
      <c r="M686" s="109"/>
      <c r="N686" s="109"/>
      <c r="O686" s="113"/>
    </row>
    <row r="687" spans="1:15" ht="70.05" customHeight="1" outlineLevel="1">
      <c r="A687" s="109" t="s">
        <v>5509</v>
      </c>
      <c r="B687" s="110" t="s">
        <v>5505</v>
      </c>
      <c r="C687" s="110" t="s">
        <v>5506</v>
      </c>
      <c r="D687" s="111" t="s">
        <v>5510</v>
      </c>
      <c r="E687" s="111" t="s">
        <v>5511</v>
      </c>
      <c r="F687" s="109" t="s">
        <v>344</v>
      </c>
      <c r="G687" s="112">
        <v>46300</v>
      </c>
      <c r="H687" s="109" t="s">
        <v>2554</v>
      </c>
      <c r="I687" s="109" t="s">
        <v>346</v>
      </c>
      <c r="J687" s="109"/>
      <c r="K687" s="109"/>
      <c r="L687" s="109" t="s">
        <v>346</v>
      </c>
      <c r="M687" s="109"/>
      <c r="N687" s="109"/>
      <c r="O687" s="113"/>
    </row>
    <row r="688" spans="1:15" ht="70.05" customHeight="1" outlineLevel="1">
      <c r="A688" s="109" t="s">
        <v>5512</v>
      </c>
      <c r="B688" s="110" t="s">
        <v>5505</v>
      </c>
      <c r="C688" s="110" t="s">
        <v>5506</v>
      </c>
      <c r="D688" s="111" t="s">
        <v>5513</v>
      </c>
      <c r="E688" s="111" t="s">
        <v>5514</v>
      </c>
      <c r="F688" s="109" t="s">
        <v>344</v>
      </c>
      <c r="G688" s="112">
        <v>46300</v>
      </c>
      <c r="H688" s="109" t="s">
        <v>2554</v>
      </c>
      <c r="I688" s="109" t="s">
        <v>346</v>
      </c>
      <c r="J688" s="109"/>
      <c r="K688" s="109"/>
      <c r="L688" s="109" t="s">
        <v>346</v>
      </c>
      <c r="M688" s="109"/>
      <c r="N688" s="109"/>
      <c r="O688" s="113"/>
    </row>
    <row r="689" spans="1:15" ht="70.05" customHeight="1" outlineLevel="1">
      <c r="A689" s="109" t="s">
        <v>5515</v>
      </c>
      <c r="B689" s="110" t="s">
        <v>5516</v>
      </c>
      <c r="C689" s="110" t="s">
        <v>5517</v>
      </c>
      <c r="D689" s="111" t="s">
        <v>5518</v>
      </c>
      <c r="E689" s="111" t="s">
        <v>5519</v>
      </c>
      <c r="F689" s="109" t="s">
        <v>344</v>
      </c>
      <c r="G689" s="112">
        <v>46300</v>
      </c>
      <c r="H689" s="109" t="s">
        <v>2554</v>
      </c>
      <c r="I689" s="109" t="s">
        <v>346</v>
      </c>
      <c r="J689" s="109"/>
      <c r="K689" s="109"/>
      <c r="L689" s="109" t="s">
        <v>346</v>
      </c>
      <c r="M689" s="109"/>
      <c r="N689" s="109"/>
      <c r="O689" s="113"/>
    </row>
    <row r="690" spans="1:15" ht="70.05" customHeight="1" outlineLevel="1">
      <c r="A690" s="109" t="s">
        <v>5520</v>
      </c>
      <c r="B690" s="110" t="s">
        <v>5521</v>
      </c>
      <c r="C690" s="110" t="s">
        <v>5522</v>
      </c>
      <c r="D690" s="111" t="s">
        <v>5523</v>
      </c>
      <c r="E690" s="111" t="s">
        <v>5524</v>
      </c>
      <c r="F690" s="109" t="s">
        <v>344</v>
      </c>
      <c r="G690" s="112">
        <v>46300</v>
      </c>
      <c r="H690" s="109" t="s">
        <v>2554</v>
      </c>
      <c r="I690" s="109" t="s">
        <v>346</v>
      </c>
      <c r="J690" s="109"/>
      <c r="K690" s="109"/>
      <c r="L690" s="109" t="s">
        <v>346</v>
      </c>
      <c r="M690" s="109"/>
      <c r="N690" s="109"/>
      <c r="O690" s="113"/>
    </row>
    <row r="691" spans="1:15" ht="70.05" customHeight="1" outlineLevel="1">
      <c r="A691" s="109" t="s">
        <v>5525</v>
      </c>
      <c r="B691" s="110" t="s">
        <v>5526</v>
      </c>
      <c r="C691" s="110" t="s">
        <v>5527</v>
      </c>
      <c r="D691" s="111" t="s">
        <v>5528</v>
      </c>
      <c r="E691" s="111" t="s">
        <v>5529</v>
      </c>
      <c r="F691" s="109" t="s">
        <v>344</v>
      </c>
      <c r="G691" s="112">
        <v>46300</v>
      </c>
      <c r="H691" s="109" t="s">
        <v>2554</v>
      </c>
      <c r="I691" s="109" t="s">
        <v>346</v>
      </c>
      <c r="J691" s="109"/>
      <c r="K691" s="109"/>
      <c r="L691" s="109" t="s">
        <v>346</v>
      </c>
      <c r="M691" s="109"/>
      <c r="N691" s="109"/>
      <c r="O691" s="113"/>
    </row>
    <row r="692" spans="1:15" ht="70.05" customHeight="1" outlineLevel="1">
      <c r="A692" s="109" t="s">
        <v>5530</v>
      </c>
      <c r="B692" s="110" t="s">
        <v>5531</v>
      </c>
      <c r="C692" s="110" t="s">
        <v>5532</v>
      </c>
      <c r="D692" s="111" t="s">
        <v>5533</v>
      </c>
      <c r="E692" s="111" t="s">
        <v>5534</v>
      </c>
      <c r="F692" s="109" t="s">
        <v>344</v>
      </c>
      <c r="G692" s="112">
        <v>46300</v>
      </c>
      <c r="H692" s="109" t="s">
        <v>2554</v>
      </c>
      <c r="I692" s="109" t="s">
        <v>346</v>
      </c>
      <c r="J692" s="109"/>
      <c r="K692" s="109"/>
      <c r="L692" s="109" t="s">
        <v>346</v>
      </c>
      <c r="M692" s="109"/>
      <c r="N692" s="109"/>
      <c r="O692" s="113"/>
    </row>
    <row r="693" spans="1:15" ht="70.05" customHeight="1" outlineLevel="1">
      <c r="A693" s="109" t="s">
        <v>5535</v>
      </c>
      <c r="B693" s="110" t="s">
        <v>5536</v>
      </c>
      <c r="C693" s="110" t="s">
        <v>5537</v>
      </c>
      <c r="D693" s="111" t="s">
        <v>5538</v>
      </c>
      <c r="E693" s="111" t="s">
        <v>5499</v>
      </c>
      <c r="F693" s="109" t="s">
        <v>344</v>
      </c>
      <c r="G693" s="112">
        <v>46300</v>
      </c>
      <c r="H693" s="109" t="s">
        <v>2554</v>
      </c>
      <c r="I693" s="109" t="s">
        <v>346</v>
      </c>
      <c r="J693" s="109"/>
      <c r="K693" s="109"/>
      <c r="L693" s="109" t="s">
        <v>346</v>
      </c>
      <c r="M693" s="109"/>
      <c r="N693" s="109"/>
      <c r="O693" s="113"/>
    </row>
    <row r="694" spans="1:15" ht="70.05" customHeight="1" outlineLevel="1">
      <c r="A694" s="109" t="s">
        <v>5539</v>
      </c>
      <c r="B694" s="110" t="s">
        <v>5540</v>
      </c>
      <c r="C694" s="110" t="s">
        <v>5541</v>
      </c>
      <c r="D694" s="111" t="s">
        <v>5542</v>
      </c>
      <c r="E694" s="111" t="s">
        <v>5499</v>
      </c>
      <c r="F694" s="109" t="s">
        <v>344</v>
      </c>
      <c r="G694" s="112">
        <v>46300</v>
      </c>
      <c r="H694" s="109" t="s">
        <v>2554</v>
      </c>
      <c r="I694" s="109" t="s">
        <v>346</v>
      </c>
      <c r="J694" s="109"/>
      <c r="K694" s="109"/>
      <c r="L694" s="109" t="s">
        <v>346</v>
      </c>
      <c r="M694" s="109"/>
      <c r="N694" s="109"/>
      <c r="O694" s="113"/>
    </row>
    <row r="695" spans="1:15" ht="70.05" customHeight="1" outlineLevel="1">
      <c r="A695" s="109" t="s">
        <v>5543</v>
      </c>
      <c r="B695" s="110" t="s">
        <v>5544</v>
      </c>
      <c r="C695" s="110" t="s">
        <v>5545</v>
      </c>
      <c r="D695" s="111" t="s">
        <v>5542</v>
      </c>
      <c r="E695" s="111" t="s">
        <v>5499</v>
      </c>
      <c r="F695" s="109" t="s">
        <v>344</v>
      </c>
      <c r="G695" s="112">
        <v>46300</v>
      </c>
      <c r="H695" s="109" t="s">
        <v>2554</v>
      </c>
      <c r="I695" s="109" t="s">
        <v>346</v>
      </c>
      <c r="J695" s="109"/>
      <c r="K695" s="109"/>
      <c r="L695" s="109" t="s">
        <v>346</v>
      </c>
      <c r="M695" s="109"/>
      <c r="N695" s="109"/>
      <c r="O695" s="113"/>
    </row>
    <row r="696" spans="1:15" ht="70.05" customHeight="1" outlineLevel="1">
      <c r="A696" s="109" t="s">
        <v>5546</v>
      </c>
      <c r="B696" s="110" t="s">
        <v>5547</v>
      </c>
      <c r="C696" s="110" t="s">
        <v>5548</v>
      </c>
      <c r="D696" s="111" t="s">
        <v>5549</v>
      </c>
      <c r="E696" s="111" t="s">
        <v>5499</v>
      </c>
      <c r="F696" s="109" t="s">
        <v>344</v>
      </c>
      <c r="G696" s="112">
        <v>46300</v>
      </c>
      <c r="H696" s="109" t="s">
        <v>2554</v>
      </c>
      <c r="I696" s="109" t="s">
        <v>346</v>
      </c>
      <c r="J696" s="109"/>
      <c r="K696" s="109"/>
      <c r="L696" s="109" t="s">
        <v>346</v>
      </c>
      <c r="M696" s="109"/>
      <c r="N696" s="109"/>
      <c r="O696" s="113"/>
    </row>
    <row r="697" spans="1:15" ht="70.05" customHeight="1" outlineLevel="1">
      <c r="A697" s="109" t="s">
        <v>5550</v>
      </c>
      <c r="B697" s="110" t="s">
        <v>5551</v>
      </c>
      <c r="C697" s="110" t="s">
        <v>5552</v>
      </c>
      <c r="D697" s="111" t="s">
        <v>5553</v>
      </c>
      <c r="E697" s="111" t="s">
        <v>5499</v>
      </c>
      <c r="F697" s="109" t="s">
        <v>344</v>
      </c>
      <c r="G697" s="112">
        <v>46300</v>
      </c>
      <c r="H697" s="109" t="s">
        <v>2554</v>
      </c>
      <c r="I697" s="109" t="s">
        <v>346</v>
      </c>
      <c r="J697" s="109"/>
      <c r="K697" s="109"/>
      <c r="L697" s="109" t="s">
        <v>346</v>
      </c>
      <c r="M697" s="109"/>
      <c r="N697" s="109"/>
      <c r="O697" s="113"/>
    </row>
    <row r="698" spans="1:15" ht="70.05" customHeight="1" outlineLevel="1">
      <c r="A698" s="109" t="s">
        <v>5554</v>
      </c>
      <c r="B698" s="110" t="s">
        <v>5555</v>
      </c>
      <c r="C698" s="110" t="s">
        <v>5556</v>
      </c>
      <c r="D698" s="111" t="s">
        <v>5549</v>
      </c>
      <c r="E698" s="111" t="s">
        <v>5499</v>
      </c>
      <c r="F698" s="109" t="s">
        <v>344</v>
      </c>
      <c r="G698" s="112">
        <v>46300</v>
      </c>
      <c r="H698" s="109" t="s">
        <v>2554</v>
      </c>
      <c r="I698" s="109" t="s">
        <v>346</v>
      </c>
      <c r="J698" s="109"/>
      <c r="K698" s="109"/>
      <c r="L698" s="109" t="s">
        <v>346</v>
      </c>
      <c r="M698" s="109"/>
      <c r="N698" s="109"/>
      <c r="O698" s="113"/>
    </row>
    <row r="699" spans="1:15" ht="70.05" customHeight="1" outlineLevel="1">
      <c r="A699" s="109" t="s">
        <v>5557</v>
      </c>
      <c r="B699" s="110" t="s">
        <v>5558</v>
      </c>
      <c r="C699" s="110" t="s">
        <v>5559</v>
      </c>
      <c r="D699" s="111" t="s">
        <v>5549</v>
      </c>
      <c r="E699" s="111" t="s">
        <v>5499</v>
      </c>
      <c r="F699" s="109" t="s">
        <v>344</v>
      </c>
      <c r="G699" s="112">
        <v>46300</v>
      </c>
      <c r="H699" s="109" t="s">
        <v>2554</v>
      </c>
      <c r="I699" s="109" t="s">
        <v>346</v>
      </c>
      <c r="J699" s="109"/>
      <c r="K699" s="109"/>
      <c r="L699" s="109" t="s">
        <v>346</v>
      </c>
      <c r="M699" s="109"/>
      <c r="N699" s="109"/>
      <c r="O699" s="113"/>
    </row>
    <row r="700" spans="1:15" ht="70.05" customHeight="1" outlineLevel="1">
      <c r="A700" s="109" t="s">
        <v>5560</v>
      </c>
      <c r="B700" s="110" t="s">
        <v>5561</v>
      </c>
      <c r="C700" s="110" t="s">
        <v>5562</v>
      </c>
      <c r="D700" s="111" t="s">
        <v>5549</v>
      </c>
      <c r="E700" s="111" t="s">
        <v>5499</v>
      </c>
      <c r="F700" s="109" t="s">
        <v>344</v>
      </c>
      <c r="G700" s="112">
        <v>46300</v>
      </c>
      <c r="H700" s="109" t="s">
        <v>2554</v>
      </c>
      <c r="I700" s="109" t="s">
        <v>346</v>
      </c>
      <c r="J700" s="109"/>
      <c r="K700" s="109"/>
      <c r="L700" s="109" t="s">
        <v>346</v>
      </c>
      <c r="M700" s="109"/>
      <c r="N700" s="109"/>
      <c r="O700" s="113"/>
    </row>
    <row r="701" spans="1:15" ht="70.05" customHeight="1" outlineLevel="1">
      <c r="A701" s="109" t="s">
        <v>5563</v>
      </c>
      <c r="B701" s="110" t="s">
        <v>5564</v>
      </c>
      <c r="C701" s="110" t="s">
        <v>5565</v>
      </c>
      <c r="D701" s="111" t="s">
        <v>5566</v>
      </c>
      <c r="E701" s="111" t="s">
        <v>5499</v>
      </c>
      <c r="F701" s="109" t="s">
        <v>344</v>
      </c>
      <c r="G701" s="112">
        <v>46300</v>
      </c>
      <c r="H701" s="109" t="s">
        <v>2554</v>
      </c>
      <c r="I701" s="109" t="s">
        <v>346</v>
      </c>
      <c r="J701" s="109"/>
      <c r="K701" s="109"/>
      <c r="L701" s="109" t="s">
        <v>346</v>
      </c>
      <c r="M701" s="109"/>
      <c r="N701" s="109"/>
      <c r="O701" s="113"/>
    </row>
    <row r="702" spans="1:15" ht="70.05" customHeight="1" outlineLevel="1">
      <c r="A702" s="109" t="s">
        <v>5567</v>
      </c>
      <c r="B702" s="110" t="s">
        <v>5568</v>
      </c>
      <c r="C702" s="110" t="s">
        <v>5569</v>
      </c>
      <c r="D702" s="111" t="s">
        <v>5566</v>
      </c>
      <c r="E702" s="111" t="s">
        <v>5499</v>
      </c>
      <c r="F702" s="109" t="s">
        <v>344</v>
      </c>
      <c r="G702" s="112">
        <v>46300</v>
      </c>
      <c r="H702" s="109" t="s">
        <v>2554</v>
      </c>
      <c r="I702" s="109" t="s">
        <v>346</v>
      </c>
      <c r="J702" s="109"/>
      <c r="K702" s="109"/>
      <c r="L702" s="109" t="s">
        <v>346</v>
      </c>
      <c r="M702" s="109"/>
      <c r="N702" s="109"/>
      <c r="O702" s="113"/>
    </row>
    <row r="703" spans="1:15" ht="70.05" customHeight="1" outlineLevel="1">
      <c r="A703" s="109" t="s">
        <v>5570</v>
      </c>
      <c r="B703" s="110" t="s">
        <v>5571</v>
      </c>
      <c r="C703" s="110" t="s">
        <v>5572</v>
      </c>
      <c r="D703" s="111" t="s">
        <v>5566</v>
      </c>
      <c r="E703" s="111" t="s">
        <v>5499</v>
      </c>
      <c r="F703" s="109" t="s">
        <v>344</v>
      </c>
      <c r="G703" s="112">
        <v>46300</v>
      </c>
      <c r="H703" s="109" t="s">
        <v>2554</v>
      </c>
      <c r="I703" s="109" t="s">
        <v>346</v>
      </c>
      <c r="J703" s="109"/>
      <c r="K703" s="109"/>
      <c r="L703" s="109" t="s">
        <v>346</v>
      </c>
      <c r="M703" s="109"/>
      <c r="N703" s="109"/>
      <c r="O703" s="113"/>
    </row>
    <row r="704" spans="1:15" ht="70.05" customHeight="1" outlineLevel="1">
      <c r="A704" s="109" t="s">
        <v>5573</v>
      </c>
      <c r="B704" s="110" t="s">
        <v>5574</v>
      </c>
      <c r="C704" s="110" t="s">
        <v>5575</v>
      </c>
      <c r="D704" s="111" t="s">
        <v>5566</v>
      </c>
      <c r="E704" s="111" t="s">
        <v>5499</v>
      </c>
      <c r="F704" s="109" t="s">
        <v>344</v>
      </c>
      <c r="G704" s="112">
        <v>46300</v>
      </c>
      <c r="H704" s="109" t="s">
        <v>2554</v>
      </c>
      <c r="I704" s="109" t="s">
        <v>346</v>
      </c>
      <c r="J704" s="109"/>
      <c r="K704" s="109"/>
      <c r="L704" s="109" t="s">
        <v>346</v>
      </c>
      <c r="M704" s="109"/>
      <c r="N704" s="109"/>
      <c r="O704" s="113"/>
    </row>
    <row r="705" spans="1:15" ht="70.05" customHeight="1" outlineLevel="1">
      <c r="A705" s="109" t="s">
        <v>5576</v>
      </c>
      <c r="B705" s="110" t="s">
        <v>5577</v>
      </c>
      <c r="C705" s="110" t="s">
        <v>5506</v>
      </c>
      <c r="D705" s="111" t="s">
        <v>5578</v>
      </c>
      <c r="E705" s="111" t="s">
        <v>5579</v>
      </c>
      <c r="F705" s="109" t="s">
        <v>344</v>
      </c>
      <c r="G705" s="112">
        <v>46300</v>
      </c>
      <c r="H705" s="109" t="s">
        <v>2554</v>
      </c>
      <c r="I705" s="109" t="s">
        <v>346</v>
      </c>
      <c r="J705" s="109"/>
      <c r="K705" s="109"/>
      <c r="L705" s="109" t="s">
        <v>346</v>
      </c>
      <c r="M705" s="109"/>
      <c r="N705" s="109"/>
      <c r="O705" s="113"/>
    </row>
    <row r="706" spans="1:15" ht="70.05" customHeight="1" outlineLevel="1">
      <c r="A706" s="109" t="s">
        <v>5580</v>
      </c>
      <c r="B706" s="110" t="s">
        <v>5577</v>
      </c>
      <c r="C706" s="110" t="s">
        <v>5506</v>
      </c>
      <c r="D706" s="111" t="s">
        <v>5581</v>
      </c>
      <c r="E706" s="111" t="s">
        <v>5582</v>
      </c>
      <c r="F706" s="109" t="s">
        <v>344</v>
      </c>
      <c r="G706" s="112">
        <v>46300</v>
      </c>
      <c r="H706" s="109" t="s">
        <v>2554</v>
      </c>
      <c r="I706" s="109" t="s">
        <v>346</v>
      </c>
      <c r="J706" s="109"/>
      <c r="K706" s="109"/>
      <c r="L706" s="109" t="s">
        <v>346</v>
      </c>
      <c r="M706" s="109"/>
      <c r="N706" s="109"/>
      <c r="O706" s="113"/>
    </row>
    <row r="707" spans="1:15" ht="70.05" customHeight="1" outlineLevel="1">
      <c r="A707" s="109" t="s">
        <v>5583</v>
      </c>
      <c r="B707" s="110" t="s">
        <v>5577</v>
      </c>
      <c r="C707" s="110" t="s">
        <v>5506</v>
      </c>
      <c r="D707" s="111" t="s">
        <v>5581</v>
      </c>
      <c r="E707" s="111" t="s">
        <v>5584</v>
      </c>
      <c r="F707" s="109" t="s">
        <v>344</v>
      </c>
      <c r="G707" s="112">
        <v>46300</v>
      </c>
      <c r="H707" s="109" t="s">
        <v>2554</v>
      </c>
      <c r="I707" s="109" t="s">
        <v>346</v>
      </c>
      <c r="J707" s="109"/>
      <c r="K707" s="109"/>
      <c r="L707" s="109" t="s">
        <v>346</v>
      </c>
      <c r="M707" s="109"/>
      <c r="N707" s="109"/>
      <c r="O707" s="113"/>
    </row>
    <row r="708" spans="1:15" ht="70.05" customHeight="1" outlineLevel="1">
      <c r="A708" s="109" t="s">
        <v>5585</v>
      </c>
      <c r="B708" s="110" t="s">
        <v>5586</v>
      </c>
      <c r="C708" s="110" t="s">
        <v>5527</v>
      </c>
      <c r="D708" s="111" t="s">
        <v>5581</v>
      </c>
      <c r="E708" s="111" t="s">
        <v>5582</v>
      </c>
      <c r="F708" s="109" t="s">
        <v>344</v>
      </c>
      <c r="G708" s="112">
        <v>46300</v>
      </c>
      <c r="H708" s="109" t="s">
        <v>2554</v>
      </c>
      <c r="I708" s="109" t="s">
        <v>346</v>
      </c>
      <c r="J708" s="109"/>
      <c r="K708" s="109"/>
      <c r="L708" s="109" t="s">
        <v>346</v>
      </c>
      <c r="M708" s="109"/>
      <c r="N708" s="109"/>
      <c r="O708" s="113"/>
    </row>
  </sheetData>
  <mergeCells count="3">
    <mergeCell ref="B3:E3"/>
    <mergeCell ref="B2:E2"/>
    <mergeCell ref="B4:E4"/>
  </mergeCells>
  <dataValidations count="1">
    <dataValidation type="list" allowBlank="1" sqref="F12:F708 I12:I708 L12:L708" xr:uid="{00000000-0002-0000-0700-000000000000}">
      <formula1>$R$2:$R$5</formula1>
    </dataValidation>
  </dataValidations>
  <pageMargins left="0.74791666666666667" right="0.25" top="0.75" bottom="0.98402777777777772" header="0.5" footer="0.5"/>
  <pageSetup paperSize="9" firstPageNumber="0" orientation="landscape" horizontalDpi="300" verticalDpi="30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R228"/>
  <sheetViews>
    <sheetView workbookViewId="0"/>
  </sheetViews>
  <sheetFormatPr defaultColWidth="9" defaultRowHeight="13.2" outlineLevelRow="1" outlineLevelCol="1"/>
  <cols>
    <col min="1" max="1" width="17" style="1" customWidth="1"/>
    <col min="2" max="2" width="34.44140625" style="1" customWidth="1"/>
    <col min="3" max="3" width="34.109375" style="1" customWidth="1"/>
    <col min="4" max="4" width="34.6640625" style="1" customWidth="1"/>
    <col min="5" max="5" width="28.33203125" style="1" customWidth="1"/>
    <col min="6" max="6" width="9.33203125" style="1" customWidth="1"/>
    <col min="7" max="7" width="10.6640625" style="1" customWidth="1" outlineLevel="1"/>
    <col min="8" max="8" width="7" style="1" bestFit="1" customWidth="1" outlineLevel="1"/>
    <col min="9" max="9" width="9.33203125" style="1" customWidth="1"/>
    <col min="10" max="10" width="10.6640625" style="1" customWidth="1" outlineLevel="1"/>
    <col min="11" max="11" width="7" style="1" bestFit="1" customWidth="1" outlineLevel="1"/>
    <col min="12" max="12" width="9.33203125" style="1" customWidth="1"/>
    <col min="13" max="13" width="10.6640625" style="1" customWidth="1" outlineLevel="1"/>
    <col min="14" max="14" width="7" style="1" bestFit="1" customWidth="1" outlineLevel="1"/>
    <col min="15" max="15" width="28.6640625" style="1" customWidth="1"/>
    <col min="16" max="16" width="10.109375" style="1" customWidth="1"/>
    <col min="17" max="17" width="8.109375" style="23" customWidth="1"/>
    <col min="18" max="18" width="7.6640625" style="1" hidden="1" customWidth="1"/>
    <col min="19" max="20" width="9" style="1" customWidth="1"/>
    <col min="21" max="16384" width="9" style="1"/>
  </cols>
  <sheetData>
    <row r="1" spans="1:18" ht="13.95" customHeight="1" thickBot="1"/>
    <row r="2" spans="1:18" s="25" customFormat="1" ht="15" customHeight="1">
      <c r="A2" s="73" t="s">
        <v>353</v>
      </c>
      <c r="B2" s="130" t="s">
        <v>231</v>
      </c>
      <c r="C2" s="131"/>
      <c r="D2" s="131"/>
      <c r="E2" s="132"/>
      <c r="F2" s="63"/>
      <c r="G2" s="57"/>
      <c r="H2" s="9"/>
      <c r="I2" s="63"/>
      <c r="J2" s="57"/>
      <c r="K2" s="9"/>
      <c r="L2" s="63"/>
      <c r="M2" s="57"/>
      <c r="N2" s="9"/>
      <c r="O2" s="9"/>
      <c r="P2" s="9"/>
      <c r="Q2" s="24"/>
      <c r="R2" s="25" t="s">
        <v>344</v>
      </c>
    </row>
    <row r="3" spans="1:18" s="25" customFormat="1" ht="13.95" customHeight="1">
      <c r="A3" s="74" t="s">
        <v>354</v>
      </c>
      <c r="B3" s="127" t="s">
        <v>5587</v>
      </c>
      <c r="C3" s="128"/>
      <c r="D3" s="128"/>
      <c r="E3" s="129"/>
      <c r="F3" s="63"/>
      <c r="G3" s="57"/>
      <c r="H3" s="9"/>
      <c r="I3" s="63"/>
      <c r="J3" s="57"/>
      <c r="K3" s="9"/>
      <c r="L3" s="63"/>
      <c r="M3" s="57"/>
      <c r="N3" s="9"/>
      <c r="O3" s="9"/>
      <c r="P3" s="9"/>
      <c r="Q3" s="24"/>
      <c r="R3" s="25" t="s">
        <v>345</v>
      </c>
    </row>
    <row r="4" spans="1:18" s="25" customFormat="1" ht="18" customHeight="1">
      <c r="A4" s="74" t="s">
        <v>356</v>
      </c>
      <c r="B4" s="127">
        <f>COUNTA(F12:F1000)</f>
        <v>206</v>
      </c>
      <c r="C4" s="128"/>
      <c r="D4" s="128"/>
      <c r="E4" s="129"/>
      <c r="F4" s="63"/>
      <c r="G4" s="57"/>
      <c r="H4" s="9"/>
      <c r="I4" s="63"/>
      <c r="J4" s="57"/>
      <c r="K4" s="9"/>
      <c r="L4" s="63"/>
      <c r="M4" s="57"/>
      <c r="N4" s="9"/>
      <c r="O4" s="9"/>
      <c r="P4" s="9"/>
      <c r="Q4" s="24"/>
      <c r="R4" s="25" t="s">
        <v>346</v>
      </c>
    </row>
    <row r="5" spans="1:18" s="25" customFormat="1" ht="19.5" customHeight="1">
      <c r="A5" s="67" t="s">
        <v>357</v>
      </c>
      <c r="B5" s="65" t="s">
        <v>344</v>
      </c>
      <c r="C5" s="65" t="s">
        <v>345</v>
      </c>
      <c r="D5" s="65" t="s">
        <v>346</v>
      </c>
      <c r="E5" s="68" t="s">
        <v>347</v>
      </c>
      <c r="F5" s="58"/>
      <c r="G5" s="58"/>
      <c r="H5" s="26"/>
      <c r="I5" s="58"/>
      <c r="J5" s="58"/>
      <c r="K5" s="26"/>
      <c r="L5" s="58"/>
      <c r="M5" s="58"/>
      <c r="N5" s="26"/>
      <c r="O5" s="26"/>
      <c r="P5" s="26"/>
      <c r="Q5" s="27"/>
      <c r="R5" s="25" t="s">
        <v>347</v>
      </c>
    </row>
    <row r="6" spans="1:18" s="25" customFormat="1" ht="15" customHeight="1">
      <c r="A6" s="67" t="s">
        <v>358</v>
      </c>
      <c r="B6" s="66">
        <f>COUNTIF($F$10:$F$998,B$5)</f>
        <v>122</v>
      </c>
      <c r="C6" s="66">
        <f>COUNTIF($F$10:$F$998,C$5)</f>
        <v>0</v>
      </c>
      <c r="D6" s="66">
        <f>COUNTIF($F$10:$F$998,D$5)</f>
        <v>84</v>
      </c>
      <c r="E6" s="72">
        <f>COUNTIF($F$10:$F$998,E$5)</f>
        <v>0</v>
      </c>
      <c r="F6" s="59"/>
      <c r="G6" s="59"/>
      <c r="H6" s="26"/>
      <c r="I6" s="59"/>
      <c r="J6" s="59"/>
      <c r="K6" s="26"/>
      <c r="L6" s="59"/>
      <c r="M6" s="59"/>
      <c r="N6" s="26"/>
      <c r="O6" s="26"/>
      <c r="P6" s="26"/>
      <c r="Q6" s="27"/>
    </row>
    <row r="7" spans="1:18" s="25" customFormat="1" ht="15" customHeight="1">
      <c r="A7" s="67" t="s">
        <v>359</v>
      </c>
      <c r="B7" s="66">
        <f>COUNTIF($I$10:$I$998,B$5)</f>
        <v>0</v>
      </c>
      <c r="C7" s="66">
        <f>COUNTIF($I$10:$I$998,C$5)</f>
        <v>0</v>
      </c>
      <c r="D7" s="66">
        <f>COUNTIF($I$10:$I$998,D$5)</f>
        <v>206</v>
      </c>
      <c r="E7" s="72">
        <f>COUNTIF($I$10:$I$998,E$5)</f>
        <v>0</v>
      </c>
      <c r="F7" s="59"/>
      <c r="G7" s="59"/>
      <c r="H7" s="26"/>
      <c r="I7" s="59"/>
      <c r="J7" s="59"/>
      <c r="K7" s="26"/>
      <c r="L7" s="59"/>
      <c r="M7" s="59"/>
      <c r="N7" s="26"/>
      <c r="O7" s="26"/>
      <c r="P7" s="26"/>
      <c r="Q7" s="27"/>
    </row>
    <row r="8" spans="1:18" s="25" customFormat="1" ht="15" customHeight="1" thickBot="1">
      <c r="A8" s="69" t="s">
        <v>360</v>
      </c>
      <c r="B8" s="70">
        <f>COUNTIF($L$10:$L$998,B$5)</f>
        <v>0</v>
      </c>
      <c r="C8" s="70">
        <f>COUNTIF($L$10:$L$998,C$5)</f>
        <v>0</v>
      </c>
      <c r="D8" s="70">
        <f>COUNTIF($L$10:$L$998,D$5)</f>
        <v>206</v>
      </c>
      <c r="E8" s="71">
        <f>COUNTIF($L$10:$L$998,E$5)</f>
        <v>0</v>
      </c>
      <c r="F8" s="59"/>
      <c r="G8" s="59"/>
      <c r="H8" s="26"/>
      <c r="I8" s="59"/>
      <c r="J8" s="59"/>
      <c r="K8" s="26"/>
      <c r="L8" s="59"/>
      <c r="M8" s="59"/>
      <c r="N8" s="26"/>
      <c r="O8" s="26"/>
      <c r="P8" s="26"/>
      <c r="Q8" s="27"/>
    </row>
    <row r="9" spans="1:18" s="25" customFormat="1" ht="15" customHeight="1">
      <c r="A9" s="26"/>
      <c r="B9" s="26"/>
      <c r="C9" s="26"/>
      <c r="D9" s="26"/>
      <c r="E9" s="26"/>
      <c r="F9" s="28"/>
      <c r="G9" s="26"/>
      <c r="H9" s="26"/>
      <c r="I9" s="28"/>
      <c r="J9" s="26"/>
      <c r="K9" s="26"/>
      <c r="L9" s="28"/>
      <c r="M9" s="26"/>
      <c r="N9" s="26"/>
      <c r="O9" s="26"/>
      <c r="P9" s="26"/>
      <c r="Q9" s="27"/>
    </row>
    <row r="10" spans="1:18" s="25" customFormat="1" ht="25.5" customHeight="1">
      <c r="A10" s="64" t="s">
        <v>361</v>
      </c>
      <c r="B10" s="64" t="s">
        <v>362</v>
      </c>
      <c r="C10" s="64" t="s">
        <v>363</v>
      </c>
      <c r="D10" s="64" t="s">
        <v>364</v>
      </c>
      <c r="E10" s="64" t="s">
        <v>365</v>
      </c>
      <c r="F10" s="64" t="s">
        <v>358</v>
      </c>
      <c r="G10" s="64" t="s">
        <v>366</v>
      </c>
      <c r="H10" s="64" t="s">
        <v>367</v>
      </c>
      <c r="I10" s="64" t="s">
        <v>359</v>
      </c>
      <c r="J10" s="64" t="s">
        <v>366</v>
      </c>
      <c r="K10" s="64" t="s">
        <v>367</v>
      </c>
      <c r="L10" s="64" t="s">
        <v>360</v>
      </c>
      <c r="M10" s="64" t="s">
        <v>366</v>
      </c>
      <c r="N10" s="64" t="s">
        <v>367</v>
      </c>
      <c r="O10" s="64" t="s">
        <v>368</v>
      </c>
      <c r="Q10" s="29"/>
    </row>
    <row r="11" spans="1:18" s="25" customFormat="1" ht="15.75" customHeight="1">
      <c r="A11" s="60" t="s">
        <v>230</v>
      </c>
      <c r="B11" s="60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2"/>
      <c r="Q11" s="30"/>
    </row>
    <row r="12" spans="1:18" s="32" customFormat="1" ht="70.05" customHeight="1" outlineLevel="1">
      <c r="A12" s="109" t="s">
        <v>5588</v>
      </c>
      <c r="B12" s="110" t="s">
        <v>5589</v>
      </c>
      <c r="C12" s="110" t="s">
        <v>5590</v>
      </c>
      <c r="D12" s="111" t="s">
        <v>5591</v>
      </c>
      <c r="E12" s="111" t="s">
        <v>5592</v>
      </c>
      <c r="F12" s="109" t="s">
        <v>344</v>
      </c>
      <c r="G12" s="112">
        <v>46300</v>
      </c>
      <c r="H12" s="109" t="s">
        <v>5593</v>
      </c>
      <c r="I12" s="109" t="s">
        <v>346</v>
      </c>
      <c r="J12" s="109"/>
      <c r="K12" s="109"/>
      <c r="L12" s="109" t="s">
        <v>346</v>
      </c>
      <c r="M12" s="109"/>
      <c r="N12" s="109"/>
      <c r="O12" s="113"/>
      <c r="Q12" s="31"/>
    </row>
    <row r="13" spans="1:18" ht="70.05" customHeight="1" outlineLevel="1">
      <c r="A13" s="109" t="s">
        <v>5594</v>
      </c>
      <c r="B13" s="110" t="s">
        <v>5595</v>
      </c>
      <c r="C13" s="110" t="s">
        <v>5596</v>
      </c>
      <c r="D13" s="111" t="s">
        <v>5597</v>
      </c>
      <c r="E13" s="111" t="s">
        <v>5592</v>
      </c>
      <c r="F13" s="109" t="s">
        <v>344</v>
      </c>
      <c r="G13" s="112">
        <v>46300</v>
      </c>
      <c r="H13" s="109" t="s">
        <v>5593</v>
      </c>
      <c r="I13" s="109" t="s">
        <v>346</v>
      </c>
      <c r="J13" s="109"/>
      <c r="K13" s="109"/>
      <c r="L13" s="109" t="s">
        <v>346</v>
      </c>
      <c r="M13" s="109"/>
      <c r="N13" s="109"/>
      <c r="O13" s="113"/>
      <c r="Q13" s="31"/>
    </row>
    <row r="14" spans="1:18" ht="70.05" customHeight="1" outlineLevel="1">
      <c r="A14" s="109" t="s">
        <v>5598</v>
      </c>
      <c r="B14" s="110" t="s">
        <v>5599</v>
      </c>
      <c r="C14" s="110" t="s">
        <v>5600</v>
      </c>
      <c r="D14" s="111" t="s">
        <v>5601</v>
      </c>
      <c r="E14" s="111" t="s">
        <v>5592</v>
      </c>
      <c r="F14" s="109" t="s">
        <v>344</v>
      </c>
      <c r="G14" s="112">
        <v>46300</v>
      </c>
      <c r="H14" s="109" t="s">
        <v>5593</v>
      </c>
      <c r="I14" s="109" t="s">
        <v>346</v>
      </c>
      <c r="J14" s="109"/>
      <c r="K14" s="109"/>
      <c r="L14" s="109" t="s">
        <v>346</v>
      </c>
      <c r="M14" s="109"/>
      <c r="N14" s="109"/>
      <c r="O14" s="113"/>
      <c r="Q14" s="31"/>
    </row>
    <row r="15" spans="1:18" s="25" customFormat="1" ht="70.05" customHeight="1" outlineLevel="1">
      <c r="A15" s="109" t="s">
        <v>5602</v>
      </c>
      <c r="B15" s="110" t="s">
        <v>5603</v>
      </c>
      <c r="C15" s="110" t="s">
        <v>5604</v>
      </c>
      <c r="D15" s="111" t="s">
        <v>5605</v>
      </c>
      <c r="E15" s="111" t="s">
        <v>5592</v>
      </c>
      <c r="F15" s="109" t="s">
        <v>344</v>
      </c>
      <c r="G15" s="112">
        <v>46300</v>
      </c>
      <c r="H15" s="109" t="s">
        <v>5593</v>
      </c>
      <c r="I15" s="109" t="s">
        <v>346</v>
      </c>
      <c r="J15" s="109"/>
      <c r="K15" s="109"/>
      <c r="L15" s="109" t="s">
        <v>346</v>
      </c>
      <c r="M15" s="109"/>
      <c r="N15" s="109"/>
      <c r="O15" s="113"/>
      <c r="Q15" s="30"/>
    </row>
    <row r="16" spans="1:18" ht="70.05" customHeight="1" outlineLevel="1">
      <c r="A16" s="109" t="s">
        <v>5606</v>
      </c>
      <c r="B16" s="110" t="s">
        <v>5607</v>
      </c>
      <c r="C16" s="110" t="s">
        <v>5608</v>
      </c>
      <c r="D16" s="111" t="s">
        <v>5609</v>
      </c>
      <c r="E16" s="111" t="s">
        <v>5592</v>
      </c>
      <c r="F16" s="109" t="s">
        <v>344</v>
      </c>
      <c r="G16" s="112">
        <v>46300</v>
      </c>
      <c r="H16" s="109" t="s">
        <v>5593</v>
      </c>
      <c r="I16" s="109" t="s">
        <v>346</v>
      </c>
      <c r="J16" s="109"/>
      <c r="K16" s="109"/>
      <c r="L16" s="109" t="s">
        <v>346</v>
      </c>
      <c r="M16" s="109"/>
      <c r="N16" s="109"/>
      <c r="O16" s="113"/>
      <c r="Q16" s="31"/>
    </row>
    <row r="17" spans="1:17" ht="70.05" customHeight="1" outlineLevel="1">
      <c r="A17" s="109" t="s">
        <v>5610</v>
      </c>
      <c r="B17" s="110" t="s">
        <v>5595</v>
      </c>
      <c r="C17" s="110" t="s">
        <v>5596</v>
      </c>
      <c r="D17" s="111" t="s">
        <v>5611</v>
      </c>
      <c r="E17" s="111" t="s">
        <v>5612</v>
      </c>
      <c r="F17" s="109" t="s">
        <v>344</v>
      </c>
      <c r="G17" s="112">
        <v>46300</v>
      </c>
      <c r="H17" s="109" t="s">
        <v>5593</v>
      </c>
      <c r="I17" s="109" t="s">
        <v>346</v>
      </c>
      <c r="J17" s="109"/>
      <c r="K17" s="109"/>
      <c r="L17" s="109" t="s">
        <v>346</v>
      </c>
      <c r="M17" s="109"/>
      <c r="N17" s="109"/>
      <c r="O17" s="113"/>
    </row>
    <row r="18" spans="1:17" s="25" customFormat="1" ht="70.05" customHeight="1" outlineLevel="1">
      <c r="A18" s="109" t="s">
        <v>5613</v>
      </c>
      <c r="B18" s="110" t="s">
        <v>5614</v>
      </c>
      <c r="C18" s="110" t="s">
        <v>5615</v>
      </c>
      <c r="D18" s="111" t="s">
        <v>5616</v>
      </c>
      <c r="E18" s="111" t="s">
        <v>5592</v>
      </c>
      <c r="F18" s="109" t="s">
        <v>344</v>
      </c>
      <c r="G18" s="112">
        <v>46300</v>
      </c>
      <c r="H18" s="109" t="s">
        <v>5593</v>
      </c>
      <c r="I18" s="109" t="s">
        <v>346</v>
      </c>
      <c r="J18" s="109"/>
      <c r="K18" s="109"/>
      <c r="L18" s="109" t="s">
        <v>346</v>
      </c>
      <c r="M18" s="109"/>
      <c r="N18" s="109"/>
      <c r="O18" s="113"/>
      <c r="Q18" s="30"/>
    </row>
    <row r="19" spans="1:17" ht="70.05" customHeight="1" outlineLevel="1">
      <c r="A19" s="109" t="s">
        <v>5617</v>
      </c>
      <c r="B19" s="110" t="s">
        <v>5618</v>
      </c>
      <c r="C19" s="110" t="s">
        <v>5619</v>
      </c>
      <c r="D19" s="111" t="s">
        <v>5620</v>
      </c>
      <c r="E19" s="111" t="s">
        <v>5592</v>
      </c>
      <c r="F19" s="109" t="s">
        <v>344</v>
      </c>
      <c r="G19" s="112">
        <v>46300</v>
      </c>
      <c r="H19" s="109" t="s">
        <v>5593</v>
      </c>
      <c r="I19" s="109" t="s">
        <v>346</v>
      </c>
      <c r="J19" s="109"/>
      <c r="K19" s="109"/>
      <c r="L19" s="109" t="s">
        <v>346</v>
      </c>
      <c r="M19" s="109"/>
      <c r="N19" s="109"/>
      <c r="O19" s="113"/>
      <c r="Q19" s="31"/>
    </row>
    <row r="20" spans="1:17" ht="70.05" customHeight="1" outlineLevel="1">
      <c r="A20" s="109" t="s">
        <v>5621</v>
      </c>
      <c r="B20" s="110" t="s">
        <v>5622</v>
      </c>
      <c r="C20" s="110" t="s">
        <v>5623</v>
      </c>
      <c r="D20" s="111" t="s">
        <v>5624</v>
      </c>
      <c r="E20" s="111" t="s">
        <v>5592</v>
      </c>
      <c r="F20" s="109" t="s">
        <v>344</v>
      </c>
      <c r="G20" s="112">
        <v>46300</v>
      </c>
      <c r="H20" s="109" t="s">
        <v>5593</v>
      </c>
      <c r="I20" s="109" t="s">
        <v>346</v>
      </c>
      <c r="J20" s="109"/>
      <c r="K20" s="109"/>
      <c r="L20" s="109" t="s">
        <v>346</v>
      </c>
      <c r="M20" s="109"/>
      <c r="N20" s="109"/>
      <c r="O20" s="113"/>
    </row>
    <row r="21" spans="1:17" ht="70.05" customHeight="1" outlineLevel="1">
      <c r="A21" s="109" t="s">
        <v>5625</v>
      </c>
      <c r="B21" s="110" t="s">
        <v>5626</v>
      </c>
      <c r="C21" s="110" t="s">
        <v>5590</v>
      </c>
      <c r="D21" s="111" t="s">
        <v>5627</v>
      </c>
      <c r="E21" s="111" t="s">
        <v>5628</v>
      </c>
      <c r="F21" s="109" t="s">
        <v>344</v>
      </c>
      <c r="G21" s="112">
        <v>46300</v>
      </c>
      <c r="H21" s="109" t="s">
        <v>5593</v>
      </c>
      <c r="I21" s="109" t="s">
        <v>346</v>
      </c>
      <c r="J21" s="109"/>
      <c r="K21" s="109"/>
      <c r="L21" s="109" t="s">
        <v>346</v>
      </c>
      <c r="M21" s="109"/>
      <c r="N21" s="109"/>
      <c r="O21" s="113"/>
    </row>
    <row r="22" spans="1:17" ht="70.05" customHeight="1" outlineLevel="1">
      <c r="A22" s="109" t="s">
        <v>5629</v>
      </c>
      <c r="B22" s="110" t="s">
        <v>5626</v>
      </c>
      <c r="C22" s="110" t="s">
        <v>5630</v>
      </c>
      <c r="D22" s="111" t="s">
        <v>5631</v>
      </c>
      <c r="E22" s="111" t="s">
        <v>5592</v>
      </c>
      <c r="F22" s="109" t="s">
        <v>344</v>
      </c>
      <c r="G22" s="112">
        <v>46300</v>
      </c>
      <c r="H22" s="109" t="s">
        <v>5593</v>
      </c>
      <c r="I22" s="109" t="s">
        <v>346</v>
      </c>
      <c r="J22" s="109"/>
      <c r="K22" s="109"/>
      <c r="L22" s="109" t="s">
        <v>346</v>
      </c>
      <c r="M22" s="109"/>
      <c r="N22" s="109"/>
      <c r="O22" s="113"/>
    </row>
    <row r="23" spans="1:17" ht="70.05" customHeight="1" outlineLevel="1">
      <c r="A23" s="109" t="s">
        <v>5632</v>
      </c>
      <c r="B23" s="110" t="s">
        <v>5633</v>
      </c>
      <c r="C23" s="110" t="s">
        <v>5590</v>
      </c>
      <c r="D23" s="111" t="s">
        <v>5634</v>
      </c>
      <c r="E23" s="111" t="s">
        <v>5635</v>
      </c>
      <c r="F23" s="109" t="s">
        <v>344</v>
      </c>
      <c r="G23" s="112">
        <v>46300</v>
      </c>
      <c r="H23" s="109" t="s">
        <v>5593</v>
      </c>
      <c r="I23" s="109" t="s">
        <v>346</v>
      </c>
      <c r="J23" s="109"/>
      <c r="K23" s="109"/>
      <c r="L23" s="109" t="s">
        <v>346</v>
      </c>
      <c r="M23" s="109"/>
      <c r="N23" s="109"/>
      <c r="O23" s="113"/>
    </row>
    <row r="24" spans="1:17" ht="70.05" customHeight="1" outlineLevel="1">
      <c r="A24" s="109" t="s">
        <v>5636</v>
      </c>
      <c r="B24" s="110" t="s">
        <v>5637</v>
      </c>
      <c r="C24" s="110" t="s">
        <v>5638</v>
      </c>
      <c r="D24" s="111" t="s">
        <v>1223</v>
      </c>
      <c r="E24" s="111" t="s">
        <v>5592</v>
      </c>
      <c r="F24" s="109" t="s">
        <v>344</v>
      </c>
      <c r="G24" s="112">
        <v>46300</v>
      </c>
      <c r="H24" s="109" t="s">
        <v>5593</v>
      </c>
      <c r="I24" s="109" t="s">
        <v>346</v>
      </c>
      <c r="J24" s="109"/>
      <c r="K24" s="109"/>
      <c r="L24" s="109" t="s">
        <v>346</v>
      </c>
      <c r="M24" s="109"/>
      <c r="N24" s="109"/>
      <c r="O24" s="113"/>
    </row>
    <row r="25" spans="1:17" ht="70.05" customHeight="1" outlineLevel="1">
      <c r="A25" s="109" t="s">
        <v>5639</v>
      </c>
      <c r="B25" s="110" t="s">
        <v>5640</v>
      </c>
      <c r="C25" s="110" t="s">
        <v>5641</v>
      </c>
      <c r="D25" s="111" t="s">
        <v>5642</v>
      </c>
      <c r="E25" s="111" t="s">
        <v>5592</v>
      </c>
      <c r="F25" s="109" t="s">
        <v>344</v>
      </c>
      <c r="G25" s="112">
        <v>46300</v>
      </c>
      <c r="H25" s="109" t="s">
        <v>5593</v>
      </c>
      <c r="I25" s="109" t="s">
        <v>346</v>
      </c>
      <c r="J25" s="109"/>
      <c r="K25" s="109"/>
      <c r="L25" s="109" t="s">
        <v>346</v>
      </c>
      <c r="M25" s="109"/>
      <c r="N25" s="109"/>
      <c r="O25" s="113"/>
    </row>
    <row r="26" spans="1:17" ht="70.05" customHeight="1" outlineLevel="1">
      <c r="A26" s="109" t="s">
        <v>5643</v>
      </c>
      <c r="B26" s="110" t="s">
        <v>5644</v>
      </c>
      <c r="C26" s="110" t="s">
        <v>5645</v>
      </c>
      <c r="D26" s="111" t="s">
        <v>5646</v>
      </c>
      <c r="E26" s="111" t="s">
        <v>5592</v>
      </c>
      <c r="F26" s="109" t="s">
        <v>344</v>
      </c>
      <c r="G26" s="112">
        <v>46300</v>
      </c>
      <c r="H26" s="109" t="s">
        <v>5593</v>
      </c>
      <c r="I26" s="109" t="s">
        <v>346</v>
      </c>
      <c r="J26" s="109"/>
      <c r="K26" s="109"/>
      <c r="L26" s="109" t="s">
        <v>346</v>
      </c>
      <c r="M26" s="109"/>
      <c r="N26" s="109"/>
      <c r="O26" s="113"/>
    </row>
    <row r="27" spans="1:17" ht="70.05" customHeight="1" outlineLevel="1">
      <c r="A27" s="109" t="s">
        <v>5647</v>
      </c>
      <c r="B27" s="110" t="s">
        <v>5633</v>
      </c>
      <c r="C27" s="110" t="s">
        <v>5590</v>
      </c>
      <c r="D27" s="111" t="s">
        <v>5648</v>
      </c>
      <c r="E27" s="111" t="s">
        <v>5649</v>
      </c>
      <c r="F27" s="109" t="s">
        <v>344</v>
      </c>
      <c r="G27" s="112">
        <v>46300</v>
      </c>
      <c r="H27" s="109" t="s">
        <v>5593</v>
      </c>
      <c r="I27" s="109" t="s">
        <v>346</v>
      </c>
      <c r="J27" s="109"/>
      <c r="K27" s="109"/>
      <c r="L27" s="109" t="s">
        <v>346</v>
      </c>
      <c r="M27" s="109"/>
      <c r="N27" s="109"/>
      <c r="O27" s="113"/>
    </row>
    <row r="28" spans="1:17" ht="15.75" customHeight="1">
      <c r="A28" s="60" t="s">
        <v>234</v>
      </c>
      <c r="B28" s="60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2"/>
    </row>
    <row r="29" spans="1:17" ht="70.05" customHeight="1" outlineLevel="1">
      <c r="A29" s="109" t="s">
        <v>5650</v>
      </c>
      <c r="B29" s="110" t="s">
        <v>5651</v>
      </c>
      <c r="C29" s="110" t="s">
        <v>5652</v>
      </c>
      <c r="D29" s="111" t="s">
        <v>5653</v>
      </c>
      <c r="E29" s="111" t="s">
        <v>5654</v>
      </c>
      <c r="F29" s="109" t="s">
        <v>344</v>
      </c>
      <c r="G29" s="112">
        <v>46300</v>
      </c>
      <c r="H29" s="109" t="s">
        <v>5593</v>
      </c>
      <c r="I29" s="109" t="s">
        <v>346</v>
      </c>
      <c r="J29" s="109"/>
      <c r="K29" s="109"/>
      <c r="L29" s="109" t="s">
        <v>346</v>
      </c>
      <c r="M29" s="109"/>
      <c r="N29" s="109"/>
      <c r="O29" s="113"/>
    </row>
    <row r="30" spans="1:17" ht="70.05" customHeight="1" outlineLevel="1">
      <c r="A30" s="109" t="s">
        <v>5655</v>
      </c>
      <c r="B30" s="110" t="s">
        <v>5656</v>
      </c>
      <c r="C30" s="110" t="s">
        <v>5657</v>
      </c>
      <c r="D30" s="111" t="s">
        <v>5658</v>
      </c>
      <c r="E30" s="111" t="s">
        <v>5654</v>
      </c>
      <c r="F30" s="109" t="s">
        <v>344</v>
      </c>
      <c r="G30" s="112">
        <v>46300</v>
      </c>
      <c r="H30" s="109" t="s">
        <v>5593</v>
      </c>
      <c r="I30" s="109" t="s">
        <v>346</v>
      </c>
      <c r="J30" s="109"/>
      <c r="K30" s="109"/>
      <c r="L30" s="109" t="s">
        <v>346</v>
      </c>
      <c r="M30" s="109"/>
      <c r="N30" s="109"/>
      <c r="O30" s="113"/>
    </row>
    <row r="31" spans="1:17" ht="70.05" customHeight="1" outlineLevel="1">
      <c r="A31" s="109" t="s">
        <v>5659</v>
      </c>
      <c r="B31" s="110" t="s">
        <v>5660</v>
      </c>
      <c r="C31" s="110" t="s">
        <v>5661</v>
      </c>
      <c r="D31" s="111" t="s">
        <v>5662</v>
      </c>
      <c r="E31" s="111" t="s">
        <v>5654</v>
      </c>
      <c r="F31" s="109" t="s">
        <v>344</v>
      </c>
      <c r="G31" s="112">
        <v>46300</v>
      </c>
      <c r="H31" s="109" t="s">
        <v>5593</v>
      </c>
      <c r="I31" s="109" t="s">
        <v>346</v>
      </c>
      <c r="J31" s="109"/>
      <c r="K31" s="109"/>
      <c r="L31" s="109" t="s">
        <v>346</v>
      </c>
      <c r="M31" s="109"/>
      <c r="N31" s="109"/>
      <c r="O31" s="113"/>
    </row>
    <row r="32" spans="1:17" ht="70.05" customHeight="1" outlineLevel="1">
      <c r="A32" s="109" t="s">
        <v>5663</v>
      </c>
      <c r="B32" s="110" t="s">
        <v>5664</v>
      </c>
      <c r="C32" s="110" t="s">
        <v>5665</v>
      </c>
      <c r="D32" s="111" t="s">
        <v>5666</v>
      </c>
      <c r="E32" s="111" t="s">
        <v>5654</v>
      </c>
      <c r="F32" s="109" t="s">
        <v>344</v>
      </c>
      <c r="G32" s="112">
        <v>46300</v>
      </c>
      <c r="H32" s="109" t="s">
        <v>5593</v>
      </c>
      <c r="I32" s="109" t="s">
        <v>346</v>
      </c>
      <c r="J32" s="109"/>
      <c r="K32" s="109"/>
      <c r="L32" s="109" t="s">
        <v>346</v>
      </c>
      <c r="M32" s="109"/>
      <c r="N32" s="109"/>
      <c r="O32" s="113"/>
    </row>
    <row r="33" spans="1:15" ht="70.05" customHeight="1" outlineLevel="1">
      <c r="A33" s="109" t="s">
        <v>5667</v>
      </c>
      <c r="B33" s="110" t="s">
        <v>5651</v>
      </c>
      <c r="C33" s="110" t="s">
        <v>5668</v>
      </c>
      <c r="D33" s="111" t="s">
        <v>5669</v>
      </c>
      <c r="E33" s="111" t="s">
        <v>5654</v>
      </c>
      <c r="F33" s="109" t="s">
        <v>344</v>
      </c>
      <c r="G33" s="112">
        <v>46300</v>
      </c>
      <c r="H33" s="109" t="s">
        <v>5593</v>
      </c>
      <c r="I33" s="109" t="s">
        <v>346</v>
      </c>
      <c r="J33" s="109"/>
      <c r="K33" s="109"/>
      <c r="L33" s="109" t="s">
        <v>346</v>
      </c>
      <c r="M33" s="109"/>
      <c r="N33" s="109"/>
      <c r="O33" s="113"/>
    </row>
    <row r="34" spans="1:15" ht="70.05" customHeight="1" outlineLevel="1">
      <c r="A34" s="109" t="s">
        <v>5670</v>
      </c>
      <c r="B34" s="110" t="s">
        <v>5651</v>
      </c>
      <c r="C34" s="110" t="s">
        <v>5671</v>
      </c>
      <c r="D34" s="111" t="s">
        <v>5672</v>
      </c>
      <c r="E34" s="111" t="s">
        <v>5654</v>
      </c>
      <c r="F34" s="109" t="s">
        <v>344</v>
      </c>
      <c r="G34" s="112">
        <v>46300</v>
      </c>
      <c r="H34" s="109" t="s">
        <v>5593</v>
      </c>
      <c r="I34" s="109" t="s">
        <v>346</v>
      </c>
      <c r="J34" s="109"/>
      <c r="K34" s="109"/>
      <c r="L34" s="109" t="s">
        <v>346</v>
      </c>
      <c r="M34" s="109"/>
      <c r="N34" s="109"/>
      <c r="O34" s="113"/>
    </row>
    <row r="35" spans="1:15" ht="70.05" customHeight="1" outlineLevel="1">
      <c r="A35" s="109" t="s">
        <v>5673</v>
      </c>
      <c r="B35" s="110" t="s">
        <v>5651</v>
      </c>
      <c r="C35" s="110" t="s">
        <v>5674</v>
      </c>
      <c r="D35" s="111" t="s">
        <v>5675</v>
      </c>
      <c r="E35" s="111" t="s">
        <v>5654</v>
      </c>
      <c r="F35" s="109" t="s">
        <v>344</v>
      </c>
      <c r="G35" s="112">
        <v>46300</v>
      </c>
      <c r="H35" s="109" t="s">
        <v>5593</v>
      </c>
      <c r="I35" s="109" t="s">
        <v>346</v>
      </c>
      <c r="J35" s="109"/>
      <c r="K35" s="109"/>
      <c r="L35" s="109" t="s">
        <v>346</v>
      </c>
      <c r="M35" s="109"/>
      <c r="N35" s="109"/>
      <c r="O35" s="113"/>
    </row>
    <row r="36" spans="1:15" ht="70.05" customHeight="1" outlineLevel="1">
      <c r="A36" s="109" t="s">
        <v>5676</v>
      </c>
      <c r="B36" s="110" t="s">
        <v>5677</v>
      </c>
      <c r="C36" s="110" t="s">
        <v>5678</v>
      </c>
      <c r="D36" s="111" t="s">
        <v>5679</v>
      </c>
      <c r="E36" s="111" t="s">
        <v>5654</v>
      </c>
      <c r="F36" s="109" t="s">
        <v>344</v>
      </c>
      <c r="G36" s="112">
        <v>46300</v>
      </c>
      <c r="H36" s="109" t="s">
        <v>5593</v>
      </c>
      <c r="I36" s="109" t="s">
        <v>346</v>
      </c>
      <c r="J36" s="109"/>
      <c r="K36" s="109"/>
      <c r="L36" s="109" t="s">
        <v>346</v>
      </c>
      <c r="M36" s="109"/>
      <c r="N36" s="109"/>
      <c r="O36" s="113"/>
    </row>
    <row r="37" spans="1:15" ht="70.05" customHeight="1" outlineLevel="1">
      <c r="A37" s="109" t="s">
        <v>5680</v>
      </c>
      <c r="B37" s="110" t="s">
        <v>5681</v>
      </c>
      <c r="C37" s="110" t="s">
        <v>5682</v>
      </c>
      <c r="D37" s="111" t="s">
        <v>5683</v>
      </c>
      <c r="E37" s="111" t="s">
        <v>5654</v>
      </c>
      <c r="F37" s="109" t="s">
        <v>344</v>
      </c>
      <c r="G37" s="112">
        <v>46300</v>
      </c>
      <c r="H37" s="109" t="s">
        <v>5593</v>
      </c>
      <c r="I37" s="109" t="s">
        <v>346</v>
      </c>
      <c r="J37" s="109"/>
      <c r="K37" s="109"/>
      <c r="L37" s="109" t="s">
        <v>346</v>
      </c>
      <c r="M37" s="109"/>
      <c r="N37" s="109"/>
      <c r="O37" s="113"/>
    </row>
    <row r="38" spans="1:15" ht="70.05" customHeight="1" outlineLevel="1">
      <c r="A38" s="109" t="s">
        <v>5684</v>
      </c>
      <c r="B38" s="110" t="s">
        <v>5685</v>
      </c>
      <c r="C38" s="110" t="s">
        <v>5686</v>
      </c>
      <c r="D38" s="111" t="s">
        <v>5687</v>
      </c>
      <c r="E38" s="111" t="s">
        <v>5654</v>
      </c>
      <c r="F38" s="109" t="s">
        <v>344</v>
      </c>
      <c r="G38" s="112">
        <v>46300</v>
      </c>
      <c r="H38" s="109" t="s">
        <v>5593</v>
      </c>
      <c r="I38" s="109" t="s">
        <v>346</v>
      </c>
      <c r="J38" s="109"/>
      <c r="K38" s="109"/>
      <c r="L38" s="109" t="s">
        <v>346</v>
      </c>
      <c r="M38" s="109"/>
      <c r="N38" s="109"/>
      <c r="O38" s="113"/>
    </row>
    <row r="39" spans="1:15" ht="70.05" customHeight="1" outlineLevel="1">
      <c r="A39" s="109" t="s">
        <v>5688</v>
      </c>
      <c r="B39" s="110" t="s">
        <v>5689</v>
      </c>
      <c r="C39" s="110" t="s">
        <v>5690</v>
      </c>
      <c r="D39" s="111" t="s">
        <v>5691</v>
      </c>
      <c r="E39" s="111" t="s">
        <v>5654</v>
      </c>
      <c r="F39" s="109" t="s">
        <v>344</v>
      </c>
      <c r="G39" s="112">
        <v>46300</v>
      </c>
      <c r="H39" s="109" t="s">
        <v>5593</v>
      </c>
      <c r="I39" s="109" t="s">
        <v>346</v>
      </c>
      <c r="J39" s="109"/>
      <c r="K39" s="109"/>
      <c r="L39" s="109" t="s">
        <v>346</v>
      </c>
      <c r="M39" s="109"/>
      <c r="N39" s="109"/>
      <c r="O39" s="113"/>
    </row>
    <row r="40" spans="1:15" ht="70.05" customHeight="1" outlineLevel="1">
      <c r="A40" s="109" t="s">
        <v>5692</v>
      </c>
      <c r="B40" s="110" t="s">
        <v>5693</v>
      </c>
      <c r="C40" s="110" t="s">
        <v>5694</v>
      </c>
      <c r="D40" s="111" t="s">
        <v>5695</v>
      </c>
      <c r="E40" s="111" t="s">
        <v>5654</v>
      </c>
      <c r="F40" s="109" t="s">
        <v>344</v>
      </c>
      <c r="G40" s="112">
        <v>46300</v>
      </c>
      <c r="H40" s="109" t="s">
        <v>5593</v>
      </c>
      <c r="I40" s="109" t="s">
        <v>346</v>
      </c>
      <c r="J40" s="109"/>
      <c r="K40" s="109"/>
      <c r="L40" s="109" t="s">
        <v>346</v>
      </c>
      <c r="M40" s="109"/>
      <c r="N40" s="109"/>
      <c r="O40" s="113"/>
    </row>
    <row r="41" spans="1:15" ht="70.05" customHeight="1" outlineLevel="1">
      <c r="A41" s="109" t="s">
        <v>5696</v>
      </c>
      <c r="B41" s="110" t="s">
        <v>5697</v>
      </c>
      <c r="C41" s="110" t="s">
        <v>5698</v>
      </c>
      <c r="D41" s="111" t="s">
        <v>5699</v>
      </c>
      <c r="E41" s="111" t="s">
        <v>5654</v>
      </c>
      <c r="F41" s="109" t="s">
        <v>344</v>
      </c>
      <c r="G41" s="112">
        <v>46300</v>
      </c>
      <c r="H41" s="109" t="s">
        <v>5593</v>
      </c>
      <c r="I41" s="109" t="s">
        <v>346</v>
      </c>
      <c r="J41" s="109"/>
      <c r="K41" s="109"/>
      <c r="L41" s="109" t="s">
        <v>346</v>
      </c>
      <c r="M41" s="109"/>
      <c r="N41" s="109"/>
      <c r="O41" s="113"/>
    </row>
    <row r="42" spans="1:15" ht="70.05" customHeight="1" outlineLevel="1">
      <c r="A42" s="109" t="s">
        <v>5700</v>
      </c>
      <c r="B42" s="110" t="s">
        <v>5701</v>
      </c>
      <c r="C42" s="110" t="s">
        <v>5702</v>
      </c>
      <c r="D42" s="111" t="s">
        <v>5703</v>
      </c>
      <c r="E42" s="111" t="s">
        <v>5654</v>
      </c>
      <c r="F42" s="109" t="s">
        <v>344</v>
      </c>
      <c r="G42" s="112">
        <v>46300</v>
      </c>
      <c r="H42" s="109" t="s">
        <v>5593</v>
      </c>
      <c r="I42" s="109" t="s">
        <v>346</v>
      </c>
      <c r="J42" s="109"/>
      <c r="K42" s="109"/>
      <c r="L42" s="109" t="s">
        <v>346</v>
      </c>
      <c r="M42" s="109"/>
      <c r="N42" s="109"/>
      <c r="O42" s="113"/>
    </row>
    <row r="43" spans="1:15" ht="70.05" customHeight="1" outlineLevel="1">
      <c r="A43" s="109" t="s">
        <v>5704</v>
      </c>
      <c r="B43" s="110" t="s">
        <v>5705</v>
      </c>
      <c r="C43" s="110" t="s">
        <v>5706</v>
      </c>
      <c r="D43" s="111" t="s">
        <v>5707</v>
      </c>
      <c r="E43" s="111" t="s">
        <v>5654</v>
      </c>
      <c r="F43" s="109" t="s">
        <v>344</v>
      </c>
      <c r="G43" s="112">
        <v>46300</v>
      </c>
      <c r="H43" s="109" t="s">
        <v>5593</v>
      </c>
      <c r="I43" s="109" t="s">
        <v>346</v>
      </c>
      <c r="J43" s="109"/>
      <c r="K43" s="109"/>
      <c r="L43" s="109" t="s">
        <v>346</v>
      </c>
      <c r="M43" s="109"/>
      <c r="N43" s="109"/>
      <c r="O43" s="113"/>
    </row>
    <row r="44" spans="1:15" ht="70.05" customHeight="1" outlineLevel="1">
      <c r="A44" s="109" t="s">
        <v>5708</v>
      </c>
      <c r="B44" s="110" t="s">
        <v>5709</v>
      </c>
      <c r="C44" s="110" t="s">
        <v>5710</v>
      </c>
      <c r="D44" s="111" t="s">
        <v>5711</v>
      </c>
      <c r="E44" s="111" t="s">
        <v>5654</v>
      </c>
      <c r="F44" s="109" t="s">
        <v>344</v>
      </c>
      <c r="G44" s="112">
        <v>46300</v>
      </c>
      <c r="H44" s="109" t="s">
        <v>5593</v>
      </c>
      <c r="I44" s="109" t="s">
        <v>346</v>
      </c>
      <c r="J44" s="109"/>
      <c r="K44" s="109"/>
      <c r="L44" s="109" t="s">
        <v>346</v>
      </c>
      <c r="M44" s="109"/>
      <c r="N44" s="109"/>
      <c r="O44" s="113"/>
    </row>
    <row r="45" spans="1:15" ht="70.05" customHeight="1" outlineLevel="1">
      <c r="A45" s="109" t="s">
        <v>5712</v>
      </c>
      <c r="B45" s="110" t="s">
        <v>5709</v>
      </c>
      <c r="C45" s="110" t="s">
        <v>5652</v>
      </c>
      <c r="D45" s="111" t="s">
        <v>5713</v>
      </c>
      <c r="E45" s="111" t="s">
        <v>5714</v>
      </c>
      <c r="F45" s="109" t="s">
        <v>344</v>
      </c>
      <c r="G45" s="112">
        <v>46300</v>
      </c>
      <c r="H45" s="109" t="s">
        <v>5593</v>
      </c>
      <c r="I45" s="109" t="s">
        <v>346</v>
      </c>
      <c r="J45" s="109"/>
      <c r="K45" s="109"/>
      <c r="L45" s="109" t="s">
        <v>346</v>
      </c>
      <c r="M45" s="109"/>
      <c r="N45" s="109"/>
      <c r="O45" s="113"/>
    </row>
    <row r="46" spans="1:15" ht="70.05" customHeight="1" outlineLevel="1">
      <c r="A46" s="109" t="s">
        <v>5715</v>
      </c>
      <c r="B46" s="110" t="s">
        <v>5709</v>
      </c>
      <c r="C46" s="110" t="s">
        <v>5652</v>
      </c>
      <c r="D46" s="111" t="s">
        <v>5716</v>
      </c>
      <c r="E46" s="111" t="s">
        <v>5717</v>
      </c>
      <c r="F46" s="109" t="s">
        <v>344</v>
      </c>
      <c r="G46" s="112">
        <v>46300</v>
      </c>
      <c r="H46" s="109" t="s">
        <v>5593</v>
      </c>
      <c r="I46" s="109" t="s">
        <v>346</v>
      </c>
      <c r="J46" s="109"/>
      <c r="K46" s="109"/>
      <c r="L46" s="109" t="s">
        <v>346</v>
      </c>
      <c r="M46" s="109"/>
      <c r="N46" s="109"/>
      <c r="O46" s="113"/>
    </row>
    <row r="47" spans="1:15" ht="15.75" customHeight="1">
      <c r="A47" s="60" t="s">
        <v>237</v>
      </c>
      <c r="B47" s="60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2"/>
    </row>
    <row r="48" spans="1:15" ht="70.05" customHeight="1" outlineLevel="1">
      <c r="A48" s="109" t="s">
        <v>5718</v>
      </c>
      <c r="B48" s="110" t="s">
        <v>5719</v>
      </c>
      <c r="C48" s="110" t="s">
        <v>5720</v>
      </c>
      <c r="D48" s="111" t="s">
        <v>5721</v>
      </c>
      <c r="E48" s="111" t="s">
        <v>5654</v>
      </c>
      <c r="F48" s="109" t="s">
        <v>344</v>
      </c>
      <c r="G48" s="112">
        <v>46300</v>
      </c>
      <c r="H48" s="109" t="s">
        <v>5722</v>
      </c>
      <c r="I48" s="109" t="s">
        <v>346</v>
      </c>
      <c r="J48" s="109"/>
      <c r="K48" s="109"/>
      <c r="L48" s="109" t="s">
        <v>346</v>
      </c>
      <c r="M48" s="109"/>
      <c r="N48" s="109"/>
      <c r="O48" s="113"/>
    </row>
    <row r="49" spans="1:15" ht="70.05" customHeight="1" outlineLevel="1">
      <c r="A49" s="109" t="s">
        <v>5723</v>
      </c>
      <c r="B49" s="110" t="s">
        <v>5724</v>
      </c>
      <c r="C49" s="110" t="s">
        <v>5725</v>
      </c>
      <c r="D49" s="111" t="s">
        <v>5726</v>
      </c>
      <c r="E49" s="111" t="s">
        <v>5654</v>
      </c>
      <c r="F49" s="109" t="s">
        <v>344</v>
      </c>
      <c r="G49" s="112">
        <v>46300</v>
      </c>
      <c r="H49" s="109" t="s">
        <v>5722</v>
      </c>
      <c r="I49" s="109" t="s">
        <v>346</v>
      </c>
      <c r="J49" s="109"/>
      <c r="K49" s="109"/>
      <c r="L49" s="109" t="s">
        <v>346</v>
      </c>
      <c r="M49" s="109"/>
      <c r="N49" s="109"/>
      <c r="O49" s="113"/>
    </row>
    <row r="50" spans="1:15" ht="70.05" customHeight="1" outlineLevel="1">
      <c r="A50" s="109" t="s">
        <v>5727</v>
      </c>
      <c r="B50" s="110" t="s">
        <v>5728</v>
      </c>
      <c r="C50" s="110" t="s">
        <v>5729</v>
      </c>
      <c r="D50" s="111" t="s">
        <v>5730</v>
      </c>
      <c r="E50" s="111" t="s">
        <v>5654</v>
      </c>
      <c r="F50" s="109" t="s">
        <v>344</v>
      </c>
      <c r="G50" s="112">
        <v>46300</v>
      </c>
      <c r="H50" s="109" t="s">
        <v>5722</v>
      </c>
      <c r="I50" s="109" t="s">
        <v>346</v>
      </c>
      <c r="J50" s="109"/>
      <c r="K50" s="109"/>
      <c r="L50" s="109" t="s">
        <v>346</v>
      </c>
      <c r="M50" s="109"/>
      <c r="N50" s="109"/>
      <c r="O50" s="113"/>
    </row>
    <row r="51" spans="1:15" ht="70.05" customHeight="1" outlineLevel="1">
      <c r="A51" s="109" t="s">
        <v>5731</v>
      </c>
      <c r="B51" s="110" t="s">
        <v>5732</v>
      </c>
      <c r="C51" s="110" t="s">
        <v>5733</v>
      </c>
      <c r="D51" s="111" t="s">
        <v>5734</v>
      </c>
      <c r="E51" s="111" t="s">
        <v>5654</v>
      </c>
      <c r="F51" s="109" t="s">
        <v>344</v>
      </c>
      <c r="G51" s="112">
        <v>46300</v>
      </c>
      <c r="H51" s="109" t="s">
        <v>5722</v>
      </c>
      <c r="I51" s="109" t="s">
        <v>346</v>
      </c>
      <c r="J51" s="109"/>
      <c r="K51" s="109"/>
      <c r="L51" s="109" t="s">
        <v>346</v>
      </c>
      <c r="M51" s="109"/>
      <c r="N51" s="109"/>
      <c r="O51" s="113"/>
    </row>
    <row r="52" spans="1:15" ht="70.05" customHeight="1" outlineLevel="1">
      <c r="A52" s="109" t="s">
        <v>5735</v>
      </c>
      <c r="B52" s="110" t="s">
        <v>5736</v>
      </c>
      <c r="C52" s="110" t="s">
        <v>5737</v>
      </c>
      <c r="D52" s="111" t="s">
        <v>5738</v>
      </c>
      <c r="E52" s="111" t="s">
        <v>5739</v>
      </c>
      <c r="F52" s="109" t="s">
        <v>344</v>
      </c>
      <c r="G52" s="112">
        <v>46300</v>
      </c>
      <c r="H52" s="109" t="s">
        <v>5722</v>
      </c>
      <c r="I52" s="109" t="s">
        <v>346</v>
      </c>
      <c r="J52" s="109"/>
      <c r="K52" s="109"/>
      <c r="L52" s="109" t="s">
        <v>346</v>
      </c>
      <c r="M52" s="109"/>
      <c r="N52" s="109"/>
      <c r="O52" s="113"/>
    </row>
    <row r="53" spans="1:15" ht="70.05" customHeight="1" outlineLevel="1">
      <c r="A53" s="109" t="s">
        <v>5740</v>
      </c>
      <c r="B53" s="110" t="s">
        <v>5736</v>
      </c>
      <c r="C53" s="110" t="s">
        <v>5737</v>
      </c>
      <c r="D53" s="111" t="s">
        <v>5741</v>
      </c>
      <c r="E53" s="111" t="s">
        <v>5742</v>
      </c>
      <c r="F53" s="109" t="s">
        <v>344</v>
      </c>
      <c r="G53" s="112">
        <v>46300</v>
      </c>
      <c r="H53" s="109" t="s">
        <v>5722</v>
      </c>
      <c r="I53" s="109" t="s">
        <v>346</v>
      </c>
      <c r="J53" s="109"/>
      <c r="K53" s="109"/>
      <c r="L53" s="109" t="s">
        <v>346</v>
      </c>
      <c r="M53" s="109"/>
      <c r="N53" s="109"/>
      <c r="O53" s="113"/>
    </row>
    <row r="54" spans="1:15" ht="70.05" customHeight="1" outlineLevel="1">
      <c r="A54" s="109" t="s">
        <v>5743</v>
      </c>
      <c r="B54" s="110" t="s">
        <v>5744</v>
      </c>
      <c r="C54" s="110" t="s">
        <v>5745</v>
      </c>
      <c r="D54" s="111" t="s">
        <v>5746</v>
      </c>
      <c r="E54" s="111" t="s">
        <v>5654</v>
      </c>
      <c r="F54" s="109" t="s">
        <v>344</v>
      </c>
      <c r="G54" s="112">
        <v>46300</v>
      </c>
      <c r="H54" s="109" t="s">
        <v>5722</v>
      </c>
      <c r="I54" s="109" t="s">
        <v>346</v>
      </c>
      <c r="J54" s="109"/>
      <c r="K54" s="109"/>
      <c r="L54" s="109" t="s">
        <v>346</v>
      </c>
      <c r="M54" s="109"/>
      <c r="N54" s="109"/>
      <c r="O54" s="113"/>
    </row>
    <row r="55" spans="1:15" ht="70.05" customHeight="1" outlineLevel="1">
      <c r="A55" s="109" t="s">
        <v>5747</v>
      </c>
      <c r="B55" s="110" t="s">
        <v>5748</v>
      </c>
      <c r="C55" s="110" t="s">
        <v>5749</v>
      </c>
      <c r="D55" s="111" t="s">
        <v>5750</v>
      </c>
      <c r="E55" s="111" t="s">
        <v>5654</v>
      </c>
      <c r="F55" s="109" t="s">
        <v>344</v>
      </c>
      <c r="G55" s="112">
        <v>46300</v>
      </c>
      <c r="H55" s="109" t="s">
        <v>5722</v>
      </c>
      <c r="I55" s="109" t="s">
        <v>346</v>
      </c>
      <c r="J55" s="109"/>
      <c r="K55" s="109"/>
      <c r="L55" s="109" t="s">
        <v>346</v>
      </c>
      <c r="M55" s="109"/>
      <c r="N55" s="109"/>
      <c r="O55" s="113"/>
    </row>
    <row r="56" spans="1:15" ht="70.05" customHeight="1" outlineLevel="1">
      <c r="A56" s="109" t="s">
        <v>5751</v>
      </c>
      <c r="B56" s="110" t="s">
        <v>5752</v>
      </c>
      <c r="C56" s="110" t="s">
        <v>5753</v>
      </c>
      <c r="D56" s="111" t="s">
        <v>5754</v>
      </c>
      <c r="E56" s="111" t="s">
        <v>5654</v>
      </c>
      <c r="F56" s="109" t="s">
        <v>344</v>
      </c>
      <c r="G56" s="112">
        <v>46300</v>
      </c>
      <c r="H56" s="109" t="s">
        <v>5722</v>
      </c>
      <c r="I56" s="109" t="s">
        <v>346</v>
      </c>
      <c r="J56" s="109"/>
      <c r="K56" s="109"/>
      <c r="L56" s="109" t="s">
        <v>346</v>
      </c>
      <c r="M56" s="109"/>
      <c r="N56" s="109"/>
      <c r="O56" s="113"/>
    </row>
    <row r="57" spans="1:15" ht="70.05" customHeight="1" outlineLevel="1">
      <c r="A57" s="109" t="s">
        <v>5755</v>
      </c>
      <c r="B57" s="110" t="s">
        <v>5756</v>
      </c>
      <c r="C57" s="110" t="s">
        <v>5757</v>
      </c>
      <c r="D57" s="111" t="s">
        <v>5758</v>
      </c>
      <c r="E57" s="111" t="s">
        <v>5654</v>
      </c>
      <c r="F57" s="109" t="s">
        <v>344</v>
      </c>
      <c r="G57" s="112">
        <v>46300</v>
      </c>
      <c r="H57" s="109" t="s">
        <v>5722</v>
      </c>
      <c r="I57" s="109" t="s">
        <v>346</v>
      </c>
      <c r="J57" s="109"/>
      <c r="K57" s="109"/>
      <c r="L57" s="109" t="s">
        <v>346</v>
      </c>
      <c r="M57" s="109"/>
      <c r="N57" s="109"/>
      <c r="O57" s="113"/>
    </row>
    <row r="58" spans="1:15" ht="70.05" customHeight="1" outlineLevel="1">
      <c r="A58" s="109" t="s">
        <v>5759</v>
      </c>
      <c r="B58" s="110" t="s">
        <v>5760</v>
      </c>
      <c r="C58" s="110" t="s">
        <v>5761</v>
      </c>
      <c r="D58" s="111" t="s">
        <v>5758</v>
      </c>
      <c r="E58" s="111" t="s">
        <v>5654</v>
      </c>
      <c r="F58" s="109" t="s">
        <v>344</v>
      </c>
      <c r="G58" s="112">
        <v>46300</v>
      </c>
      <c r="H58" s="109" t="s">
        <v>5722</v>
      </c>
      <c r="I58" s="109" t="s">
        <v>346</v>
      </c>
      <c r="J58" s="109"/>
      <c r="K58" s="109"/>
      <c r="L58" s="109" t="s">
        <v>346</v>
      </c>
      <c r="M58" s="109"/>
      <c r="N58" s="109"/>
      <c r="O58" s="113"/>
    </row>
    <row r="59" spans="1:15" ht="70.05" customHeight="1" outlineLevel="1">
      <c r="A59" s="109" t="s">
        <v>5762</v>
      </c>
      <c r="B59" s="110" t="s">
        <v>5763</v>
      </c>
      <c r="C59" s="110" t="s">
        <v>5764</v>
      </c>
      <c r="D59" s="111" t="s">
        <v>5765</v>
      </c>
      <c r="E59" s="111" t="s">
        <v>5654</v>
      </c>
      <c r="F59" s="109" t="s">
        <v>344</v>
      </c>
      <c r="G59" s="112">
        <v>46300</v>
      </c>
      <c r="H59" s="109" t="s">
        <v>5722</v>
      </c>
      <c r="I59" s="109" t="s">
        <v>346</v>
      </c>
      <c r="J59" s="109"/>
      <c r="K59" s="109"/>
      <c r="L59" s="109" t="s">
        <v>346</v>
      </c>
      <c r="M59" s="109"/>
      <c r="N59" s="109"/>
      <c r="O59" s="113"/>
    </row>
    <row r="60" spans="1:15" ht="70.05" customHeight="1" outlineLevel="1">
      <c r="A60" s="109" t="s">
        <v>5766</v>
      </c>
      <c r="B60" s="110" t="s">
        <v>5767</v>
      </c>
      <c r="C60" s="110" t="s">
        <v>5737</v>
      </c>
      <c r="D60" s="111" t="s">
        <v>5768</v>
      </c>
      <c r="E60" s="111" t="s">
        <v>5769</v>
      </c>
      <c r="F60" s="109" t="s">
        <v>344</v>
      </c>
      <c r="G60" s="112">
        <v>46300</v>
      </c>
      <c r="H60" s="109" t="s">
        <v>5722</v>
      </c>
      <c r="I60" s="109" t="s">
        <v>346</v>
      </c>
      <c r="J60" s="109"/>
      <c r="K60" s="109"/>
      <c r="L60" s="109" t="s">
        <v>346</v>
      </c>
      <c r="M60" s="109"/>
      <c r="N60" s="109"/>
      <c r="O60" s="113"/>
    </row>
    <row r="61" spans="1:15" ht="70.05" customHeight="1" outlineLevel="1">
      <c r="A61" s="109" t="s">
        <v>5770</v>
      </c>
      <c r="B61" s="110" t="s">
        <v>5767</v>
      </c>
      <c r="C61" s="110" t="s">
        <v>5737</v>
      </c>
      <c r="D61" s="111" t="s">
        <v>5771</v>
      </c>
      <c r="E61" s="111" t="s">
        <v>5772</v>
      </c>
      <c r="F61" s="109" t="s">
        <v>344</v>
      </c>
      <c r="G61" s="112">
        <v>46300</v>
      </c>
      <c r="H61" s="109" t="s">
        <v>5722</v>
      </c>
      <c r="I61" s="109" t="s">
        <v>346</v>
      </c>
      <c r="J61" s="109"/>
      <c r="K61" s="109"/>
      <c r="L61" s="109" t="s">
        <v>346</v>
      </c>
      <c r="M61" s="109"/>
      <c r="N61" s="109"/>
      <c r="O61" s="113"/>
    </row>
    <row r="62" spans="1:15" ht="70.05" customHeight="1" outlineLevel="1">
      <c r="A62" s="109" t="s">
        <v>5773</v>
      </c>
      <c r="B62" s="110" t="s">
        <v>5767</v>
      </c>
      <c r="C62" s="110" t="s">
        <v>5737</v>
      </c>
      <c r="D62" s="111" t="s">
        <v>5774</v>
      </c>
      <c r="E62" s="111" t="s">
        <v>5775</v>
      </c>
      <c r="F62" s="109" t="s">
        <v>344</v>
      </c>
      <c r="G62" s="112">
        <v>46300</v>
      </c>
      <c r="H62" s="109" t="s">
        <v>5722</v>
      </c>
      <c r="I62" s="109" t="s">
        <v>346</v>
      </c>
      <c r="J62" s="109"/>
      <c r="K62" s="109"/>
      <c r="L62" s="109" t="s">
        <v>346</v>
      </c>
      <c r="M62" s="109"/>
      <c r="N62" s="109"/>
      <c r="O62" s="113"/>
    </row>
    <row r="63" spans="1:15" ht="70.05" customHeight="1" outlineLevel="1">
      <c r="A63" s="109" t="s">
        <v>5776</v>
      </c>
      <c r="B63" s="110" t="s">
        <v>5767</v>
      </c>
      <c r="C63" s="110" t="s">
        <v>5737</v>
      </c>
      <c r="D63" s="111" t="s">
        <v>5716</v>
      </c>
      <c r="E63" s="111" t="s">
        <v>5717</v>
      </c>
      <c r="F63" s="109" t="s">
        <v>344</v>
      </c>
      <c r="G63" s="112">
        <v>46300</v>
      </c>
      <c r="H63" s="109" t="s">
        <v>5722</v>
      </c>
      <c r="I63" s="109" t="s">
        <v>346</v>
      </c>
      <c r="J63" s="109"/>
      <c r="K63" s="109"/>
      <c r="L63" s="109" t="s">
        <v>346</v>
      </c>
      <c r="M63" s="109"/>
      <c r="N63" s="109"/>
      <c r="O63" s="113"/>
    </row>
    <row r="64" spans="1:15" ht="15.75" customHeight="1">
      <c r="A64" s="60" t="s">
        <v>239</v>
      </c>
      <c r="B64" s="60"/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2"/>
    </row>
    <row r="65" spans="1:15" ht="70.05" customHeight="1" outlineLevel="1">
      <c r="A65" s="109" t="s">
        <v>5777</v>
      </c>
      <c r="B65" s="110" t="s">
        <v>5778</v>
      </c>
      <c r="C65" s="110" t="s">
        <v>5779</v>
      </c>
      <c r="D65" s="111" t="s">
        <v>5780</v>
      </c>
      <c r="E65" s="111" t="s">
        <v>5781</v>
      </c>
      <c r="F65" s="109" t="s">
        <v>344</v>
      </c>
      <c r="G65" s="112">
        <v>46300</v>
      </c>
      <c r="H65" s="109" t="s">
        <v>2554</v>
      </c>
      <c r="I65" s="109" t="s">
        <v>346</v>
      </c>
      <c r="J65" s="109"/>
      <c r="K65" s="109"/>
      <c r="L65" s="109" t="s">
        <v>346</v>
      </c>
      <c r="M65" s="109"/>
      <c r="N65" s="109"/>
      <c r="O65" s="113"/>
    </row>
    <row r="66" spans="1:15" ht="70.05" customHeight="1" outlineLevel="1">
      <c r="A66" s="109" t="s">
        <v>5782</v>
      </c>
      <c r="B66" s="110" t="s">
        <v>5783</v>
      </c>
      <c r="C66" s="110" t="s">
        <v>5784</v>
      </c>
      <c r="D66" s="111" t="s">
        <v>5785</v>
      </c>
      <c r="E66" s="111" t="s">
        <v>5781</v>
      </c>
      <c r="F66" s="109" t="s">
        <v>344</v>
      </c>
      <c r="G66" s="112">
        <v>46300</v>
      </c>
      <c r="H66" s="109" t="s">
        <v>2554</v>
      </c>
      <c r="I66" s="109" t="s">
        <v>346</v>
      </c>
      <c r="J66" s="109"/>
      <c r="K66" s="109"/>
      <c r="L66" s="109" t="s">
        <v>346</v>
      </c>
      <c r="M66" s="109"/>
      <c r="N66" s="109"/>
      <c r="O66" s="113"/>
    </row>
    <row r="67" spans="1:15" ht="70.05" customHeight="1" outlineLevel="1">
      <c r="A67" s="109" t="s">
        <v>5786</v>
      </c>
      <c r="B67" s="110" t="s">
        <v>5787</v>
      </c>
      <c r="C67" s="110" t="s">
        <v>5788</v>
      </c>
      <c r="D67" s="111" t="s">
        <v>5789</v>
      </c>
      <c r="E67" s="111" t="s">
        <v>5781</v>
      </c>
      <c r="F67" s="109" t="s">
        <v>344</v>
      </c>
      <c r="G67" s="112">
        <v>46300</v>
      </c>
      <c r="H67" s="109" t="s">
        <v>2554</v>
      </c>
      <c r="I67" s="109" t="s">
        <v>346</v>
      </c>
      <c r="J67" s="109"/>
      <c r="K67" s="109"/>
      <c r="L67" s="109" t="s">
        <v>346</v>
      </c>
      <c r="M67" s="109"/>
      <c r="N67" s="109"/>
      <c r="O67" s="113"/>
    </row>
    <row r="68" spans="1:15" ht="70.05" customHeight="1" outlineLevel="1">
      <c r="A68" s="109" t="s">
        <v>5790</v>
      </c>
      <c r="B68" s="110" t="s">
        <v>5791</v>
      </c>
      <c r="C68" s="110" t="s">
        <v>5792</v>
      </c>
      <c r="D68" s="111" t="s">
        <v>5793</v>
      </c>
      <c r="E68" s="111" t="s">
        <v>5781</v>
      </c>
      <c r="F68" s="109" t="s">
        <v>344</v>
      </c>
      <c r="G68" s="112">
        <v>46300</v>
      </c>
      <c r="H68" s="109" t="s">
        <v>2554</v>
      </c>
      <c r="I68" s="109" t="s">
        <v>346</v>
      </c>
      <c r="J68" s="109"/>
      <c r="K68" s="109"/>
      <c r="L68" s="109" t="s">
        <v>346</v>
      </c>
      <c r="M68" s="109"/>
      <c r="N68" s="109"/>
      <c r="O68" s="113"/>
    </row>
    <row r="69" spans="1:15" ht="70.05" customHeight="1" outlineLevel="1">
      <c r="A69" s="109" t="s">
        <v>5794</v>
      </c>
      <c r="B69" s="110" t="s">
        <v>5795</v>
      </c>
      <c r="C69" s="110" t="s">
        <v>5796</v>
      </c>
      <c r="D69" s="111" t="s">
        <v>5797</v>
      </c>
      <c r="E69" s="111" t="s">
        <v>5781</v>
      </c>
      <c r="F69" s="109" t="s">
        <v>344</v>
      </c>
      <c r="G69" s="112">
        <v>46300</v>
      </c>
      <c r="H69" s="109" t="s">
        <v>2554</v>
      </c>
      <c r="I69" s="109" t="s">
        <v>346</v>
      </c>
      <c r="J69" s="109"/>
      <c r="K69" s="109"/>
      <c r="L69" s="109" t="s">
        <v>346</v>
      </c>
      <c r="M69" s="109"/>
      <c r="N69" s="109"/>
      <c r="O69" s="113"/>
    </row>
    <row r="70" spans="1:15" ht="70.05" customHeight="1" outlineLevel="1">
      <c r="A70" s="109" t="s">
        <v>5798</v>
      </c>
      <c r="B70" s="110" t="s">
        <v>5799</v>
      </c>
      <c r="C70" s="110" t="s">
        <v>5800</v>
      </c>
      <c r="D70" s="111" t="s">
        <v>5801</v>
      </c>
      <c r="E70" s="111" t="s">
        <v>5781</v>
      </c>
      <c r="F70" s="109" t="s">
        <v>344</v>
      </c>
      <c r="G70" s="112">
        <v>46300</v>
      </c>
      <c r="H70" s="109" t="s">
        <v>2554</v>
      </c>
      <c r="I70" s="109" t="s">
        <v>346</v>
      </c>
      <c r="J70" s="109"/>
      <c r="K70" s="109"/>
      <c r="L70" s="109" t="s">
        <v>346</v>
      </c>
      <c r="M70" s="109"/>
      <c r="N70" s="109"/>
      <c r="O70" s="113"/>
    </row>
    <row r="71" spans="1:15" ht="70.05" customHeight="1" outlineLevel="1">
      <c r="A71" s="109" t="s">
        <v>5802</v>
      </c>
      <c r="B71" s="110" t="s">
        <v>5778</v>
      </c>
      <c r="C71" s="110" t="s">
        <v>5779</v>
      </c>
      <c r="D71" s="111" t="s">
        <v>5803</v>
      </c>
      <c r="E71" s="111" t="s">
        <v>5804</v>
      </c>
      <c r="F71" s="109" t="s">
        <v>344</v>
      </c>
      <c r="G71" s="112">
        <v>46300</v>
      </c>
      <c r="H71" s="109" t="s">
        <v>2554</v>
      </c>
      <c r="I71" s="109" t="s">
        <v>346</v>
      </c>
      <c r="J71" s="109"/>
      <c r="K71" s="109"/>
      <c r="L71" s="109" t="s">
        <v>346</v>
      </c>
      <c r="M71" s="109"/>
      <c r="N71" s="109"/>
      <c r="O71" s="113"/>
    </row>
    <row r="72" spans="1:15" ht="70.05" customHeight="1" outlineLevel="1">
      <c r="A72" s="109" t="s">
        <v>5805</v>
      </c>
      <c r="B72" s="110" t="s">
        <v>5806</v>
      </c>
      <c r="C72" s="110" t="s">
        <v>5779</v>
      </c>
      <c r="D72" s="111" t="s">
        <v>5807</v>
      </c>
      <c r="E72" s="111" t="s">
        <v>5808</v>
      </c>
      <c r="F72" s="109" t="s">
        <v>344</v>
      </c>
      <c r="G72" s="112">
        <v>46300</v>
      </c>
      <c r="H72" s="109" t="s">
        <v>2554</v>
      </c>
      <c r="I72" s="109" t="s">
        <v>346</v>
      </c>
      <c r="J72" s="109"/>
      <c r="K72" s="109"/>
      <c r="L72" s="109" t="s">
        <v>346</v>
      </c>
      <c r="M72" s="109"/>
      <c r="N72" s="109"/>
      <c r="O72" s="113"/>
    </row>
    <row r="73" spans="1:15" ht="70.05" customHeight="1" outlineLevel="1">
      <c r="A73" s="109" t="s">
        <v>5809</v>
      </c>
      <c r="B73" s="110" t="s">
        <v>5810</v>
      </c>
      <c r="C73" s="110" t="s">
        <v>5811</v>
      </c>
      <c r="D73" s="111" t="s">
        <v>5812</v>
      </c>
      <c r="E73" s="111" t="s">
        <v>5813</v>
      </c>
      <c r="F73" s="109" t="s">
        <v>344</v>
      </c>
      <c r="G73" s="112">
        <v>46300</v>
      </c>
      <c r="H73" s="109" t="s">
        <v>2554</v>
      </c>
      <c r="I73" s="109" t="s">
        <v>346</v>
      </c>
      <c r="J73" s="109"/>
      <c r="K73" s="109"/>
      <c r="L73" s="109" t="s">
        <v>346</v>
      </c>
      <c r="M73" s="109"/>
      <c r="N73" s="109"/>
      <c r="O73" s="113"/>
    </row>
    <row r="74" spans="1:15" ht="70.05" customHeight="1" outlineLevel="1">
      <c r="A74" s="109" t="s">
        <v>5814</v>
      </c>
      <c r="B74" s="110" t="s">
        <v>5806</v>
      </c>
      <c r="C74" s="110" t="s">
        <v>5779</v>
      </c>
      <c r="D74" s="111" t="s">
        <v>5815</v>
      </c>
      <c r="E74" s="111" t="s">
        <v>5816</v>
      </c>
      <c r="F74" s="109" t="s">
        <v>344</v>
      </c>
      <c r="G74" s="112">
        <v>46300</v>
      </c>
      <c r="H74" s="109" t="s">
        <v>2554</v>
      </c>
      <c r="I74" s="109" t="s">
        <v>346</v>
      </c>
      <c r="J74" s="109"/>
      <c r="K74" s="109"/>
      <c r="L74" s="109" t="s">
        <v>346</v>
      </c>
      <c r="M74" s="109"/>
      <c r="N74" s="109"/>
      <c r="O74" s="113"/>
    </row>
    <row r="75" spans="1:15" ht="70.05" customHeight="1" outlineLevel="1">
      <c r="A75" s="109" t="s">
        <v>5817</v>
      </c>
      <c r="B75" s="110" t="s">
        <v>5818</v>
      </c>
      <c r="C75" s="110" t="s">
        <v>5819</v>
      </c>
      <c r="D75" s="111" t="s">
        <v>1223</v>
      </c>
      <c r="E75" s="111" t="s">
        <v>5781</v>
      </c>
      <c r="F75" s="109" t="s">
        <v>344</v>
      </c>
      <c r="G75" s="112">
        <v>46300</v>
      </c>
      <c r="H75" s="109" t="s">
        <v>2554</v>
      </c>
      <c r="I75" s="109" t="s">
        <v>346</v>
      </c>
      <c r="J75" s="109"/>
      <c r="K75" s="109"/>
      <c r="L75" s="109" t="s">
        <v>346</v>
      </c>
      <c r="M75" s="109"/>
      <c r="N75" s="109"/>
      <c r="O75" s="113"/>
    </row>
    <row r="76" spans="1:15" ht="70.05" customHeight="1" outlineLevel="1">
      <c r="A76" s="109" t="s">
        <v>5820</v>
      </c>
      <c r="B76" s="110" t="s">
        <v>5821</v>
      </c>
      <c r="C76" s="110" t="s">
        <v>5779</v>
      </c>
      <c r="D76" s="111" t="s">
        <v>5822</v>
      </c>
      <c r="E76" s="111" t="s">
        <v>5823</v>
      </c>
      <c r="F76" s="109" t="s">
        <v>344</v>
      </c>
      <c r="G76" s="112">
        <v>46300</v>
      </c>
      <c r="H76" s="109" t="s">
        <v>2554</v>
      </c>
      <c r="I76" s="109" t="s">
        <v>346</v>
      </c>
      <c r="J76" s="109"/>
      <c r="K76" s="109"/>
      <c r="L76" s="109" t="s">
        <v>346</v>
      </c>
      <c r="M76" s="109"/>
      <c r="N76" s="109"/>
      <c r="O76" s="113"/>
    </row>
    <row r="77" spans="1:15" ht="70.05" customHeight="1" outlineLevel="1">
      <c r="A77" s="109" t="s">
        <v>5824</v>
      </c>
      <c r="B77" s="110" t="s">
        <v>5825</v>
      </c>
      <c r="C77" s="110" t="s">
        <v>5811</v>
      </c>
      <c r="D77" s="111" t="s">
        <v>1223</v>
      </c>
      <c r="E77" s="111" t="s">
        <v>5781</v>
      </c>
      <c r="F77" s="109" t="s">
        <v>344</v>
      </c>
      <c r="G77" s="112">
        <v>46300</v>
      </c>
      <c r="H77" s="109" t="s">
        <v>2554</v>
      </c>
      <c r="I77" s="109" t="s">
        <v>346</v>
      </c>
      <c r="J77" s="109"/>
      <c r="K77" s="109"/>
      <c r="L77" s="109" t="s">
        <v>346</v>
      </c>
      <c r="M77" s="109"/>
      <c r="N77" s="109"/>
      <c r="O77" s="113"/>
    </row>
    <row r="78" spans="1:15" ht="70.05" customHeight="1" outlineLevel="1">
      <c r="A78" s="109" t="s">
        <v>5826</v>
      </c>
      <c r="B78" s="110" t="s">
        <v>5821</v>
      </c>
      <c r="C78" s="110" t="s">
        <v>5779</v>
      </c>
      <c r="D78" s="111" t="s">
        <v>5827</v>
      </c>
      <c r="E78" s="111" t="s">
        <v>5717</v>
      </c>
      <c r="F78" s="109" t="s">
        <v>344</v>
      </c>
      <c r="G78" s="112">
        <v>46300</v>
      </c>
      <c r="H78" s="109" t="s">
        <v>2554</v>
      </c>
      <c r="I78" s="109" t="s">
        <v>346</v>
      </c>
      <c r="J78" s="109"/>
      <c r="K78" s="109"/>
      <c r="L78" s="109" t="s">
        <v>346</v>
      </c>
      <c r="M78" s="109"/>
      <c r="N78" s="109"/>
      <c r="O78" s="113"/>
    </row>
    <row r="79" spans="1:15" ht="70.05" customHeight="1" outlineLevel="1">
      <c r="A79" s="109" t="s">
        <v>5828</v>
      </c>
      <c r="B79" s="110" t="s">
        <v>5821</v>
      </c>
      <c r="C79" s="110" t="s">
        <v>5779</v>
      </c>
      <c r="D79" s="111" t="s">
        <v>5829</v>
      </c>
      <c r="E79" s="111" t="s">
        <v>5830</v>
      </c>
      <c r="F79" s="109" t="s">
        <v>344</v>
      </c>
      <c r="G79" s="112">
        <v>46300</v>
      </c>
      <c r="H79" s="109" t="s">
        <v>2554</v>
      </c>
      <c r="I79" s="109" t="s">
        <v>346</v>
      </c>
      <c r="J79" s="109"/>
      <c r="K79" s="109"/>
      <c r="L79" s="109" t="s">
        <v>346</v>
      </c>
      <c r="M79" s="109"/>
      <c r="N79" s="109"/>
      <c r="O79" s="113"/>
    </row>
    <row r="80" spans="1:15" ht="70.05" customHeight="1" outlineLevel="1">
      <c r="A80" s="109" t="s">
        <v>5831</v>
      </c>
      <c r="B80" s="110" t="s">
        <v>5832</v>
      </c>
      <c r="C80" s="110" t="s">
        <v>5833</v>
      </c>
      <c r="D80" s="111" t="s">
        <v>5834</v>
      </c>
      <c r="E80" s="111" t="s">
        <v>5781</v>
      </c>
      <c r="F80" s="109" t="s">
        <v>344</v>
      </c>
      <c r="G80" s="112">
        <v>46300</v>
      </c>
      <c r="H80" s="109" t="s">
        <v>2554</v>
      </c>
      <c r="I80" s="109" t="s">
        <v>346</v>
      </c>
      <c r="J80" s="109"/>
      <c r="K80" s="109"/>
      <c r="L80" s="109" t="s">
        <v>346</v>
      </c>
      <c r="M80" s="109"/>
      <c r="N80" s="109"/>
      <c r="O80" s="113"/>
    </row>
    <row r="81" spans="1:15" ht="70.05" customHeight="1" outlineLevel="1">
      <c r="A81" s="109" t="s">
        <v>5835</v>
      </c>
      <c r="B81" s="110" t="s">
        <v>5836</v>
      </c>
      <c r="C81" s="110" t="s">
        <v>5837</v>
      </c>
      <c r="D81" s="111" t="s">
        <v>5838</v>
      </c>
      <c r="E81" s="111" t="s">
        <v>5781</v>
      </c>
      <c r="F81" s="109" t="s">
        <v>344</v>
      </c>
      <c r="G81" s="112">
        <v>46300</v>
      </c>
      <c r="H81" s="109" t="s">
        <v>2554</v>
      </c>
      <c r="I81" s="109" t="s">
        <v>346</v>
      </c>
      <c r="J81" s="109"/>
      <c r="K81" s="109"/>
      <c r="L81" s="109" t="s">
        <v>346</v>
      </c>
      <c r="M81" s="109"/>
      <c r="N81" s="109"/>
      <c r="O81" s="113"/>
    </row>
    <row r="82" spans="1:15" ht="15.75" customHeight="1">
      <c r="A82" s="60" t="s">
        <v>242</v>
      </c>
      <c r="B82" s="60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2"/>
    </row>
    <row r="83" spans="1:15" ht="70.05" customHeight="1" outlineLevel="1">
      <c r="A83" s="109" t="s">
        <v>5839</v>
      </c>
      <c r="B83" s="110" t="s">
        <v>5840</v>
      </c>
      <c r="C83" s="110" t="s">
        <v>5841</v>
      </c>
      <c r="D83" s="111" t="s">
        <v>5842</v>
      </c>
      <c r="E83" s="111" t="s">
        <v>5654</v>
      </c>
      <c r="F83" s="109" t="s">
        <v>344</v>
      </c>
      <c r="G83" s="112">
        <v>46300</v>
      </c>
      <c r="H83" s="109" t="s">
        <v>2554</v>
      </c>
      <c r="I83" s="109" t="s">
        <v>346</v>
      </c>
      <c r="J83" s="109"/>
      <c r="K83" s="109"/>
      <c r="L83" s="109" t="s">
        <v>346</v>
      </c>
      <c r="M83" s="109"/>
      <c r="N83" s="109"/>
      <c r="O83" s="113"/>
    </row>
    <row r="84" spans="1:15" ht="70.05" customHeight="1" outlineLevel="1">
      <c r="A84" s="109" t="s">
        <v>5843</v>
      </c>
      <c r="B84" s="110" t="s">
        <v>5844</v>
      </c>
      <c r="C84" s="110" t="s">
        <v>5845</v>
      </c>
      <c r="D84" s="111" t="s">
        <v>5846</v>
      </c>
      <c r="E84" s="111" t="s">
        <v>5654</v>
      </c>
      <c r="F84" s="109" t="s">
        <v>344</v>
      </c>
      <c r="G84" s="112">
        <v>46300</v>
      </c>
      <c r="H84" s="109" t="s">
        <v>2554</v>
      </c>
      <c r="I84" s="109" t="s">
        <v>346</v>
      </c>
      <c r="J84" s="109"/>
      <c r="K84" s="109"/>
      <c r="L84" s="109" t="s">
        <v>346</v>
      </c>
      <c r="M84" s="109"/>
      <c r="N84" s="109"/>
      <c r="O84" s="113"/>
    </row>
    <row r="85" spans="1:15" ht="70.05" customHeight="1" outlineLevel="1">
      <c r="A85" s="109" t="s">
        <v>5847</v>
      </c>
      <c r="B85" s="110" t="s">
        <v>5848</v>
      </c>
      <c r="C85" s="110" t="s">
        <v>5849</v>
      </c>
      <c r="D85" s="111" t="s">
        <v>5850</v>
      </c>
      <c r="E85" s="111" t="s">
        <v>5654</v>
      </c>
      <c r="F85" s="109" t="s">
        <v>344</v>
      </c>
      <c r="G85" s="112">
        <v>46300</v>
      </c>
      <c r="H85" s="109" t="s">
        <v>2554</v>
      </c>
      <c r="I85" s="109" t="s">
        <v>346</v>
      </c>
      <c r="J85" s="109"/>
      <c r="K85" s="109"/>
      <c r="L85" s="109" t="s">
        <v>346</v>
      </c>
      <c r="M85" s="109"/>
      <c r="N85" s="109"/>
      <c r="O85" s="113"/>
    </row>
    <row r="86" spans="1:15" ht="70.05" customHeight="1" outlineLevel="1">
      <c r="A86" s="109" t="s">
        <v>5851</v>
      </c>
      <c r="B86" s="110" t="s">
        <v>5852</v>
      </c>
      <c r="C86" s="110" t="s">
        <v>5853</v>
      </c>
      <c r="D86" s="111" t="s">
        <v>5854</v>
      </c>
      <c r="E86" s="111" t="s">
        <v>5654</v>
      </c>
      <c r="F86" s="109" t="s">
        <v>344</v>
      </c>
      <c r="G86" s="112">
        <v>46300</v>
      </c>
      <c r="H86" s="109" t="s">
        <v>2554</v>
      </c>
      <c r="I86" s="109" t="s">
        <v>346</v>
      </c>
      <c r="J86" s="109"/>
      <c r="K86" s="109"/>
      <c r="L86" s="109" t="s">
        <v>346</v>
      </c>
      <c r="M86" s="109"/>
      <c r="N86" s="109"/>
      <c r="O86" s="113"/>
    </row>
    <row r="87" spans="1:15" ht="70.05" customHeight="1" outlineLevel="1">
      <c r="A87" s="109" t="s">
        <v>5855</v>
      </c>
      <c r="B87" s="110" t="s">
        <v>5856</v>
      </c>
      <c r="C87" s="110" t="s">
        <v>5857</v>
      </c>
      <c r="D87" s="111" t="s">
        <v>5858</v>
      </c>
      <c r="E87" s="111" t="s">
        <v>5654</v>
      </c>
      <c r="F87" s="109" t="s">
        <v>344</v>
      </c>
      <c r="G87" s="112">
        <v>46300</v>
      </c>
      <c r="H87" s="109" t="s">
        <v>2554</v>
      </c>
      <c r="I87" s="109" t="s">
        <v>346</v>
      </c>
      <c r="J87" s="109"/>
      <c r="K87" s="109"/>
      <c r="L87" s="109" t="s">
        <v>346</v>
      </c>
      <c r="M87" s="109"/>
      <c r="N87" s="109"/>
      <c r="O87" s="113"/>
    </row>
    <row r="88" spans="1:15" ht="70.05" customHeight="1" outlineLevel="1">
      <c r="A88" s="109" t="s">
        <v>5859</v>
      </c>
      <c r="B88" s="110" t="s">
        <v>5860</v>
      </c>
      <c r="C88" s="110" t="s">
        <v>5861</v>
      </c>
      <c r="D88" s="111" t="s">
        <v>5862</v>
      </c>
      <c r="E88" s="111" t="s">
        <v>5654</v>
      </c>
      <c r="F88" s="109" t="s">
        <v>344</v>
      </c>
      <c r="G88" s="112">
        <v>46300</v>
      </c>
      <c r="H88" s="109" t="s">
        <v>2554</v>
      </c>
      <c r="I88" s="109" t="s">
        <v>346</v>
      </c>
      <c r="J88" s="109"/>
      <c r="K88" s="109"/>
      <c r="L88" s="109" t="s">
        <v>346</v>
      </c>
      <c r="M88" s="109"/>
      <c r="N88" s="109"/>
      <c r="O88" s="113"/>
    </row>
    <row r="89" spans="1:15" ht="70.05" customHeight="1" outlineLevel="1">
      <c r="A89" s="109" t="s">
        <v>5863</v>
      </c>
      <c r="B89" s="110" t="s">
        <v>5864</v>
      </c>
      <c r="C89" s="110" t="s">
        <v>5865</v>
      </c>
      <c r="D89" s="111" t="s">
        <v>5866</v>
      </c>
      <c r="E89" s="111" t="s">
        <v>5654</v>
      </c>
      <c r="F89" s="109" t="s">
        <v>344</v>
      </c>
      <c r="G89" s="112">
        <v>46300</v>
      </c>
      <c r="H89" s="109" t="s">
        <v>2554</v>
      </c>
      <c r="I89" s="109" t="s">
        <v>346</v>
      </c>
      <c r="J89" s="109"/>
      <c r="K89" s="109"/>
      <c r="L89" s="109" t="s">
        <v>346</v>
      </c>
      <c r="M89" s="109"/>
      <c r="N89" s="109"/>
      <c r="O89" s="113"/>
    </row>
    <row r="90" spans="1:15" ht="70.05" customHeight="1" outlineLevel="1">
      <c r="A90" s="109" t="s">
        <v>5867</v>
      </c>
      <c r="B90" s="110" t="s">
        <v>5868</v>
      </c>
      <c r="C90" s="110" t="s">
        <v>5869</v>
      </c>
      <c r="D90" s="111" t="s">
        <v>5870</v>
      </c>
      <c r="E90" s="111" t="s">
        <v>5654</v>
      </c>
      <c r="F90" s="109" t="s">
        <v>344</v>
      </c>
      <c r="G90" s="112">
        <v>46300</v>
      </c>
      <c r="H90" s="109" t="s">
        <v>2554</v>
      </c>
      <c r="I90" s="109" t="s">
        <v>346</v>
      </c>
      <c r="J90" s="109"/>
      <c r="K90" s="109"/>
      <c r="L90" s="109" t="s">
        <v>346</v>
      </c>
      <c r="M90" s="109"/>
      <c r="N90" s="109"/>
      <c r="O90" s="113"/>
    </row>
    <row r="91" spans="1:15" ht="70.05" customHeight="1" outlineLevel="1">
      <c r="A91" s="109" t="s">
        <v>5871</v>
      </c>
      <c r="B91" s="110" t="s">
        <v>5872</v>
      </c>
      <c r="C91" s="110" t="s">
        <v>5873</v>
      </c>
      <c r="D91" s="111" t="s">
        <v>5874</v>
      </c>
      <c r="E91" s="111" t="s">
        <v>5654</v>
      </c>
      <c r="F91" s="109" t="s">
        <v>344</v>
      </c>
      <c r="G91" s="112">
        <v>46300</v>
      </c>
      <c r="H91" s="109" t="s">
        <v>2554</v>
      </c>
      <c r="I91" s="109" t="s">
        <v>346</v>
      </c>
      <c r="J91" s="109"/>
      <c r="K91" s="109"/>
      <c r="L91" s="109" t="s">
        <v>346</v>
      </c>
      <c r="M91" s="109"/>
      <c r="N91" s="109"/>
      <c r="O91" s="113"/>
    </row>
    <row r="92" spans="1:15" ht="70.05" customHeight="1" outlineLevel="1">
      <c r="A92" s="109" t="s">
        <v>5875</v>
      </c>
      <c r="B92" s="110" t="s">
        <v>5876</v>
      </c>
      <c r="C92" s="110" t="s">
        <v>5877</v>
      </c>
      <c r="D92" s="111" t="s">
        <v>5878</v>
      </c>
      <c r="E92" s="111" t="s">
        <v>5654</v>
      </c>
      <c r="F92" s="109" t="s">
        <v>344</v>
      </c>
      <c r="G92" s="112">
        <v>46300</v>
      </c>
      <c r="H92" s="109" t="s">
        <v>2554</v>
      </c>
      <c r="I92" s="109" t="s">
        <v>346</v>
      </c>
      <c r="J92" s="109"/>
      <c r="K92" s="109"/>
      <c r="L92" s="109" t="s">
        <v>346</v>
      </c>
      <c r="M92" s="109"/>
      <c r="N92" s="109"/>
      <c r="O92" s="113"/>
    </row>
    <row r="93" spans="1:15" ht="70.05" customHeight="1" outlineLevel="1">
      <c r="A93" s="109" t="s">
        <v>5879</v>
      </c>
      <c r="B93" s="110" t="s">
        <v>5880</v>
      </c>
      <c r="C93" s="110" t="s">
        <v>5881</v>
      </c>
      <c r="D93" s="111" t="s">
        <v>5882</v>
      </c>
      <c r="E93" s="111" t="s">
        <v>5654</v>
      </c>
      <c r="F93" s="109" t="s">
        <v>344</v>
      </c>
      <c r="G93" s="112">
        <v>46300</v>
      </c>
      <c r="H93" s="109" t="s">
        <v>2554</v>
      </c>
      <c r="I93" s="109" t="s">
        <v>346</v>
      </c>
      <c r="J93" s="109"/>
      <c r="K93" s="109"/>
      <c r="L93" s="109" t="s">
        <v>346</v>
      </c>
      <c r="M93" s="109"/>
      <c r="N93" s="109"/>
      <c r="O93" s="113"/>
    </row>
    <row r="94" spans="1:15" ht="70.05" customHeight="1" outlineLevel="1">
      <c r="A94" s="109" t="s">
        <v>5883</v>
      </c>
      <c r="B94" s="110" t="s">
        <v>5884</v>
      </c>
      <c r="C94" s="110" t="s">
        <v>5885</v>
      </c>
      <c r="D94" s="111" t="s">
        <v>5886</v>
      </c>
      <c r="E94" s="111" t="s">
        <v>5654</v>
      </c>
      <c r="F94" s="109" t="s">
        <v>344</v>
      </c>
      <c r="G94" s="112">
        <v>46300</v>
      </c>
      <c r="H94" s="109" t="s">
        <v>2554</v>
      </c>
      <c r="I94" s="109" t="s">
        <v>346</v>
      </c>
      <c r="J94" s="109"/>
      <c r="K94" s="109"/>
      <c r="L94" s="109" t="s">
        <v>346</v>
      </c>
      <c r="M94" s="109"/>
      <c r="N94" s="109"/>
      <c r="O94" s="113"/>
    </row>
    <row r="95" spans="1:15" ht="70.05" customHeight="1" outlineLevel="1">
      <c r="A95" s="109" t="s">
        <v>5887</v>
      </c>
      <c r="B95" s="110" t="s">
        <v>5888</v>
      </c>
      <c r="C95" s="110" t="s">
        <v>5889</v>
      </c>
      <c r="D95" s="111" t="s">
        <v>5890</v>
      </c>
      <c r="E95" s="111" t="s">
        <v>5654</v>
      </c>
      <c r="F95" s="109" t="s">
        <v>344</v>
      </c>
      <c r="G95" s="112">
        <v>46300</v>
      </c>
      <c r="H95" s="109" t="s">
        <v>2554</v>
      </c>
      <c r="I95" s="109" t="s">
        <v>346</v>
      </c>
      <c r="J95" s="109"/>
      <c r="K95" s="109"/>
      <c r="L95" s="109" t="s">
        <v>346</v>
      </c>
      <c r="M95" s="109"/>
      <c r="N95" s="109"/>
      <c r="O95" s="113"/>
    </row>
    <row r="96" spans="1:15" ht="70.05" customHeight="1" outlineLevel="1">
      <c r="A96" s="109" t="s">
        <v>5891</v>
      </c>
      <c r="B96" s="110" t="s">
        <v>5892</v>
      </c>
      <c r="C96" s="110" t="s">
        <v>5893</v>
      </c>
      <c r="D96" s="111" t="s">
        <v>5894</v>
      </c>
      <c r="E96" s="111" t="s">
        <v>5654</v>
      </c>
      <c r="F96" s="109" t="s">
        <v>344</v>
      </c>
      <c r="G96" s="112">
        <v>46300</v>
      </c>
      <c r="H96" s="109" t="s">
        <v>2554</v>
      </c>
      <c r="I96" s="109" t="s">
        <v>346</v>
      </c>
      <c r="J96" s="109"/>
      <c r="K96" s="109"/>
      <c r="L96" s="109" t="s">
        <v>346</v>
      </c>
      <c r="M96" s="109"/>
      <c r="N96" s="109"/>
      <c r="O96" s="113"/>
    </row>
    <row r="97" spans="1:15" ht="70.05" customHeight="1" outlineLevel="1">
      <c r="A97" s="109" t="s">
        <v>5895</v>
      </c>
      <c r="B97" s="110" t="s">
        <v>5896</v>
      </c>
      <c r="C97" s="110" t="s">
        <v>5897</v>
      </c>
      <c r="D97" s="111" t="s">
        <v>5898</v>
      </c>
      <c r="E97" s="111" t="s">
        <v>5654</v>
      </c>
      <c r="F97" s="109" t="s">
        <v>344</v>
      </c>
      <c r="G97" s="112">
        <v>46300</v>
      </c>
      <c r="H97" s="109" t="s">
        <v>2554</v>
      </c>
      <c r="I97" s="109" t="s">
        <v>346</v>
      </c>
      <c r="J97" s="109"/>
      <c r="K97" s="109"/>
      <c r="L97" s="109" t="s">
        <v>346</v>
      </c>
      <c r="M97" s="109"/>
      <c r="N97" s="109"/>
      <c r="O97" s="113"/>
    </row>
    <row r="98" spans="1:15" ht="70.05" customHeight="1" outlineLevel="1">
      <c r="A98" s="109" t="s">
        <v>5899</v>
      </c>
      <c r="B98" s="110" t="s">
        <v>5900</v>
      </c>
      <c r="C98" s="110" t="s">
        <v>5901</v>
      </c>
      <c r="D98" s="111" t="s">
        <v>5902</v>
      </c>
      <c r="E98" s="111" t="s">
        <v>5654</v>
      </c>
      <c r="F98" s="109" t="s">
        <v>344</v>
      </c>
      <c r="G98" s="112">
        <v>46300</v>
      </c>
      <c r="H98" s="109" t="s">
        <v>2554</v>
      </c>
      <c r="I98" s="109" t="s">
        <v>346</v>
      </c>
      <c r="J98" s="109"/>
      <c r="K98" s="109"/>
      <c r="L98" s="109" t="s">
        <v>346</v>
      </c>
      <c r="M98" s="109"/>
      <c r="N98" s="109"/>
      <c r="O98" s="113"/>
    </row>
    <row r="99" spans="1:15" ht="70.05" customHeight="1" outlineLevel="1">
      <c r="A99" s="109" t="s">
        <v>5903</v>
      </c>
      <c r="B99" s="110" t="s">
        <v>5904</v>
      </c>
      <c r="C99" s="110" t="s">
        <v>5905</v>
      </c>
      <c r="D99" s="111" t="s">
        <v>5906</v>
      </c>
      <c r="E99" s="111" t="s">
        <v>5654</v>
      </c>
      <c r="F99" s="109" t="s">
        <v>344</v>
      </c>
      <c r="G99" s="112">
        <v>46300</v>
      </c>
      <c r="H99" s="109" t="s">
        <v>2554</v>
      </c>
      <c r="I99" s="109" t="s">
        <v>346</v>
      </c>
      <c r="J99" s="109"/>
      <c r="K99" s="109"/>
      <c r="L99" s="109" t="s">
        <v>346</v>
      </c>
      <c r="M99" s="109"/>
      <c r="N99" s="109"/>
      <c r="O99" s="113"/>
    </row>
    <row r="100" spans="1:15" ht="70.05" customHeight="1" outlineLevel="1">
      <c r="A100" s="109" t="s">
        <v>5907</v>
      </c>
      <c r="B100" s="110" t="s">
        <v>5908</v>
      </c>
      <c r="C100" s="110" t="s">
        <v>5909</v>
      </c>
      <c r="D100" s="111" t="s">
        <v>5771</v>
      </c>
      <c r="E100" s="111" t="s">
        <v>5772</v>
      </c>
      <c r="F100" s="109" t="s">
        <v>344</v>
      </c>
      <c r="G100" s="112">
        <v>46300</v>
      </c>
      <c r="H100" s="109" t="s">
        <v>2554</v>
      </c>
      <c r="I100" s="109" t="s">
        <v>346</v>
      </c>
      <c r="J100" s="109"/>
      <c r="K100" s="109"/>
      <c r="L100" s="109" t="s">
        <v>346</v>
      </c>
      <c r="M100" s="109"/>
      <c r="N100" s="109"/>
      <c r="O100" s="113"/>
    </row>
    <row r="101" spans="1:15" ht="70.05" customHeight="1" outlineLevel="1">
      <c r="A101" s="109" t="s">
        <v>5910</v>
      </c>
      <c r="B101" s="110" t="s">
        <v>5908</v>
      </c>
      <c r="C101" s="110" t="s">
        <v>5909</v>
      </c>
      <c r="D101" s="111" t="s">
        <v>5911</v>
      </c>
      <c r="E101" s="111" t="s">
        <v>5912</v>
      </c>
      <c r="F101" s="109" t="s">
        <v>344</v>
      </c>
      <c r="G101" s="112">
        <v>46300</v>
      </c>
      <c r="H101" s="109" t="s">
        <v>2554</v>
      </c>
      <c r="I101" s="109" t="s">
        <v>346</v>
      </c>
      <c r="J101" s="109"/>
      <c r="K101" s="109"/>
      <c r="L101" s="109" t="s">
        <v>346</v>
      </c>
      <c r="M101" s="109"/>
      <c r="N101" s="109"/>
      <c r="O101" s="113"/>
    </row>
    <row r="102" spans="1:15" ht="15.75" customHeight="1">
      <c r="A102" s="60" t="s">
        <v>244</v>
      </c>
      <c r="B102" s="60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2"/>
    </row>
    <row r="103" spans="1:15" ht="70.05" customHeight="1" outlineLevel="1">
      <c r="A103" s="109" t="s">
        <v>5913</v>
      </c>
      <c r="B103" s="110" t="s">
        <v>5914</v>
      </c>
      <c r="C103" s="110" t="s">
        <v>5915</v>
      </c>
      <c r="D103" s="111" t="s">
        <v>5916</v>
      </c>
      <c r="E103" s="111" t="s">
        <v>5917</v>
      </c>
      <c r="F103" s="109" t="s">
        <v>346</v>
      </c>
      <c r="G103" s="109"/>
      <c r="H103" s="109"/>
      <c r="I103" s="109" t="s">
        <v>346</v>
      </c>
      <c r="J103" s="109"/>
      <c r="K103" s="109"/>
      <c r="L103" s="109" t="s">
        <v>346</v>
      </c>
      <c r="M103" s="109"/>
      <c r="N103" s="109"/>
      <c r="O103" s="113" t="s">
        <v>2816</v>
      </c>
    </row>
    <row r="104" spans="1:15" ht="70.05" customHeight="1" outlineLevel="1">
      <c r="A104" s="109" t="s">
        <v>5918</v>
      </c>
      <c r="B104" s="110" t="s">
        <v>5919</v>
      </c>
      <c r="C104" s="110" t="s">
        <v>5920</v>
      </c>
      <c r="D104" s="111" t="s">
        <v>5921</v>
      </c>
      <c r="E104" s="111" t="s">
        <v>5917</v>
      </c>
      <c r="F104" s="109" t="s">
        <v>346</v>
      </c>
      <c r="G104" s="109"/>
      <c r="H104" s="109"/>
      <c r="I104" s="109" t="s">
        <v>346</v>
      </c>
      <c r="J104" s="109"/>
      <c r="K104" s="109"/>
      <c r="L104" s="109" t="s">
        <v>346</v>
      </c>
      <c r="M104" s="109"/>
      <c r="N104" s="109"/>
      <c r="O104" s="113" t="s">
        <v>2816</v>
      </c>
    </row>
    <row r="105" spans="1:15" ht="70.05" customHeight="1" outlineLevel="1">
      <c r="A105" s="109" t="s">
        <v>5922</v>
      </c>
      <c r="B105" s="110" t="s">
        <v>5923</v>
      </c>
      <c r="C105" s="110" t="s">
        <v>5924</v>
      </c>
      <c r="D105" s="111" t="s">
        <v>5925</v>
      </c>
      <c r="E105" s="111" t="s">
        <v>5917</v>
      </c>
      <c r="F105" s="109" t="s">
        <v>346</v>
      </c>
      <c r="G105" s="109"/>
      <c r="H105" s="109"/>
      <c r="I105" s="109" t="s">
        <v>346</v>
      </c>
      <c r="J105" s="109"/>
      <c r="K105" s="109"/>
      <c r="L105" s="109" t="s">
        <v>346</v>
      </c>
      <c r="M105" s="109"/>
      <c r="N105" s="109"/>
      <c r="O105" s="113" t="s">
        <v>2816</v>
      </c>
    </row>
    <row r="106" spans="1:15" ht="70.05" customHeight="1" outlineLevel="1">
      <c r="A106" s="109" t="s">
        <v>5926</v>
      </c>
      <c r="B106" s="110" t="s">
        <v>5914</v>
      </c>
      <c r="C106" s="110" t="s">
        <v>5915</v>
      </c>
      <c r="D106" s="111" t="s">
        <v>5927</v>
      </c>
      <c r="E106" s="111" t="s">
        <v>5928</v>
      </c>
      <c r="F106" s="109" t="s">
        <v>346</v>
      </c>
      <c r="G106" s="109"/>
      <c r="H106" s="109"/>
      <c r="I106" s="109" t="s">
        <v>346</v>
      </c>
      <c r="J106" s="109"/>
      <c r="K106" s="109"/>
      <c r="L106" s="109" t="s">
        <v>346</v>
      </c>
      <c r="M106" s="109"/>
      <c r="N106" s="109"/>
      <c r="O106" s="113" t="s">
        <v>2816</v>
      </c>
    </row>
    <row r="107" spans="1:15" ht="70.05" customHeight="1" outlineLevel="1">
      <c r="A107" s="109" t="s">
        <v>5929</v>
      </c>
      <c r="B107" s="110" t="s">
        <v>5914</v>
      </c>
      <c r="C107" s="110" t="s">
        <v>5915</v>
      </c>
      <c r="D107" s="111" t="s">
        <v>5930</v>
      </c>
      <c r="E107" s="111" t="s">
        <v>5931</v>
      </c>
      <c r="F107" s="109" t="s">
        <v>346</v>
      </c>
      <c r="G107" s="109"/>
      <c r="H107" s="109"/>
      <c r="I107" s="109" t="s">
        <v>346</v>
      </c>
      <c r="J107" s="109"/>
      <c r="K107" s="109"/>
      <c r="L107" s="109" t="s">
        <v>346</v>
      </c>
      <c r="M107" s="109"/>
      <c r="N107" s="109"/>
      <c r="O107" s="113" t="s">
        <v>2816</v>
      </c>
    </row>
    <row r="108" spans="1:15" ht="70.05" customHeight="1" outlineLevel="1">
      <c r="A108" s="109" t="s">
        <v>5932</v>
      </c>
      <c r="B108" s="110" t="s">
        <v>5914</v>
      </c>
      <c r="C108" s="110" t="s">
        <v>5915</v>
      </c>
      <c r="D108" s="111" t="s">
        <v>5933</v>
      </c>
      <c r="E108" s="111" t="s">
        <v>5917</v>
      </c>
      <c r="F108" s="109" t="s">
        <v>346</v>
      </c>
      <c r="G108" s="109"/>
      <c r="H108" s="109"/>
      <c r="I108" s="109" t="s">
        <v>346</v>
      </c>
      <c r="J108" s="109"/>
      <c r="K108" s="109"/>
      <c r="L108" s="109" t="s">
        <v>346</v>
      </c>
      <c r="M108" s="109"/>
      <c r="N108" s="109"/>
      <c r="O108" s="113" t="s">
        <v>2816</v>
      </c>
    </row>
    <row r="109" spans="1:15" ht="70.05" customHeight="1" outlineLevel="1">
      <c r="A109" s="109" t="s">
        <v>5934</v>
      </c>
      <c r="B109" s="110" t="s">
        <v>5914</v>
      </c>
      <c r="C109" s="110" t="s">
        <v>5915</v>
      </c>
      <c r="D109" s="111" t="s">
        <v>5935</v>
      </c>
      <c r="E109" s="111" t="s">
        <v>5917</v>
      </c>
      <c r="F109" s="109" t="s">
        <v>346</v>
      </c>
      <c r="G109" s="109"/>
      <c r="H109" s="109"/>
      <c r="I109" s="109" t="s">
        <v>346</v>
      </c>
      <c r="J109" s="109"/>
      <c r="K109" s="109"/>
      <c r="L109" s="109" t="s">
        <v>346</v>
      </c>
      <c r="M109" s="109"/>
      <c r="N109" s="109"/>
      <c r="O109" s="113" t="s">
        <v>2816</v>
      </c>
    </row>
    <row r="110" spans="1:15" ht="70.05" customHeight="1" outlineLevel="1">
      <c r="A110" s="109" t="s">
        <v>5936</v>
      </c>
      <c r="B110" s="110" t="s">
        <v>5937</v>
      </c>
      <c r="C110" s="110" t="s">
        <v>5915</v>
      </c>
      <c r="D110" s="111" t="s">
        <v>5938</v>
      </c>
      <c r="E110" s="111" t="s">
        <v>5808</v>
      </c>
      <c r="F110" s="109" t="s">
        <v>346</v>
      </c>
      <c r="G110" s="109"/>
      <c r="H110" s="109"/>
      <c r="I110" s="109" t="s">
        <v>346</v>
      </c>
      <c r="J110" s="109"/>
      <c r="K110" s="109"/>
      <c r="L110" s="109" t="s">
        <v>346</v>
      </c>
      <c r="M110" s="109"/>
      <c r="N110" s="109"/>
      <c r="O110" s="113" t="s">
        <v>2816</v>
      </c>
    </row>
    <row r="111" spans="1:15" ht="70.05" customHeight="1" outlineLevel="1">
      <c r="A111" s="109" t="s">
        <v>5939</v>
      </c>
      <c r="B111" s="110" t="s">
        <v>5937</v>
      </c>
      <c r="C111" s="110" t="s">
        <v>5915</v>
      </c>
      <c r="D111" s="111" t="s">
        <v>5940</v>
      </c>
      <c r="E111" s="111" t="s">
        <v>5816</v>
      </c>
      <c r="F111" s="109" t="s">
        <v>346</v>
      </c>
      <c r="G111" s="109"/>
      <c r="H111" s="109"/>
      <c r="I111" s="109" t="s">
        <v>346</v>
      </c>
      <c r="J111" s="109"/>
      <c r="K111" s="109"/>
      <c r="L111" s="109" t="s">
        <v>346</v>
      </c>
      <c r="M111" s="109"/>
      <c r="N111" s="109"/>
      <c r="O111" s="113" t="s">
        <v>2816</v>
      </c>
    </row>
    <row r="112" spans="1:15" ht="70.05" customHeight="1" outlineLevel="1">
      <c r="A112" s="109" t="s">
        <v>5941</v>
      </c>
      <c r="B112" s="110" t="s">
        <v>5937</v>
      </c>
      <c r="C112" s="110" t="s">
        <v>5915</v>
      </c>
      <c r="D112" s="111" t="s">
        <v>5942</v>
      </c>
      <c r="E112" s="111" t="s">
        <v>5943</v>
      </c>
      <c r="F112" s="109" t="s">
        <v>346</v>
      </c>
      <c r="G112" s="109"/>
      <c r="H112" s="109"/>
      <c r="I112" s="109" t="s">
        <v>346</v>
      </c>
      <c r="J112" s="109"/>
      <c r="K112" s="109"/>
      <c r="L112" s="109" t="s">
        <v>346</v>
      </c>
      <c r="M112" s="109"/>
      <c r="N112" s="109"/>
      <c r="O112" s="113" t="s">
        <v>2816</v>
      </c>
    </row>
    <row r="113" spans="1:15" ht="70.05" customHeight="1" outlineLevel="1">
      <c r="A113" s="109" t="s">
        <v>5944</v>
      </c>
      <c r="B113" s="110" t="s">
        <v>5945</v>
      </c>
      <c r="C113" s="110" t="s">
        <v>5915</v>
      </c>
      <c r="D113" s="111" t="s">
        <v>5946</v>
      </c>
      <c r="E113" s="111" t="s">
        <v>5823</v>
      </c>
      <c r="F113" s="109" t="s">
        <v>346</v>
      </c>
      <c r="G113" s="109"/>
      <c r="H113" s="109"/>
      <c r="I113" s="109" t="s">
        <v>346</v>
      </c>
      <c r="J113" s="109"/>
      <c r="K113" s="109"/>
      <c r="L113" s="109" t="s">
        <v>346</v>
      </c>
      <c r="M113" s="109"/>
      <c r="N113" s="109"/>
      <c r="O113" s="113" t="s">
        <v>2816</v>
      </c>
    </row>
    <row r="114" spans="1:15" ht="70.05" customHeight="1" outlineLevel="1">
      <c r="A114" s="109" t="s">
        <v>5947</v>
      </c>
      <c r="B114" s="110" t="s">
        <v>5948</v>
      </c>
      <c r="C114" s="110" t="s">
        <v>5949</v>
      </c>
      <c r="D114" s="111" t="s">
        <v>1223</v>
      </c>
      <c r="E114" s="111" t="s">
        <v>5917</v>
      </c>
      <c r="F114" s="109" t="s">
        <v>346</v>
      </c>
      <c r="G114" s="109"/>
      <c r="H114" s="109"/>
      <c r="I114" s="109" t="s">
        <v>346</v>
      </c>
      <c r="J114" s="109"/>
      <c r="K114" s="109"/>
      <c r="L114" s="109" t="s">
        <v>346</v>
      </c>
      <c r="M114" s="109"/>
      <c r="N114" s="109"/>
      <c r="O114" s="113" t="s">
        <v>2816</v>
      </c>
    </row>
    <row r="115" spans="1:15" ht="70.05" customHeight="1" outlineLevel="1">
      <c r="A115" s="109" t="s">
        <v>5950</v>
      </c>
      <c r="B115" s="110" t="s">
        <v>5945</v>
      </c>
      <c r="C115" s="110" t="s">
        <v>5915</v>
      </c>
      <c r="D115" s="111" t="s">
        <v>4136</v>
      </c>
      <c r="E115" s="111" t="s">
        <v>5951</v>
      </c>
      <c r="F115" s="109" t="s">
        <v>346</v>
      </c>
      <c r="G115" s="109"/>
      <c r="H115" s="109"/>
      <c r="I115" s="109" t="s">
        <v>346</v>
      </c>
      <c r="J115" s="109"/>
      <c r="K115" s="109"/>
      <c r="L115" s="109" t="s">
        <v>346</v>
      </c>
      <c r="M115" s="109"/>
      <c r="N115" s="109"/>
      <c r="O115" s="113" t="s">
        <v>2816</v>
      </c>
    </row>
    <row r="116" spans="1:15" ht="70.05" customHeight="1" outlineLevel="1">
      <c r="A116" s="109" t="s">
        <v>5952</v>
      </c>
      <c r="B116" s="110" t="s">
        <v>5945</v>
      </c>
      <c r="C116" s="110" t="s">
        <v>5915</v>
      </c>
      <c r="D116" s="111" t="s">
        <v>5953</v>
      </c>
      <c r="E116" s="111" t="s">
        <v>5954</v>
      </c>
      <c r="F116" s="109" t="s">
        <v>346</v>
      </c>
      <c r="G116" s="109"/>
      <c r="H116" s="109"/>
      <c r="I116" s="109" t="s">
        <v>346</v>
      </c>
      <c r="J116" s="109"/>
      <c r="K116" s="109"/>
      <c r="L116" s="109" t="s">
        <v>346</v>
      </c>
      <c r="M116" s="109"/>
      <c r="N116" s="109"/>
      <c r="O116" s="113" t="s">
        <v>2816</v>
      </c>
    </row>
    <row r="117" spans="1:15" ht="70.05" customHeight="1" outlineLevel="1">
      <c r="A117" s="109" t="s">
        <v>5955</v>
      </c>
      <c r="B117" s="110" t="s">
        <v>5945</v>
      </c>
      <c r="C117" s="110" t="s">
        <v>5915</v>
      </c>
      <c r="D117" s="111" t="s">
        <v>4055</v>
      </c>
      <c r="E117" s="111" t="s">
        <v>5956</v>
      </c>
      <c r="F117" s="109" t="s">
        <v>346</v>
      </c>
      <c r="G117" s="109"/>
      <c r="H117" s="109"/>
      <c r="I117" s="109" t="s">
        <v>346</v>
      </c>
      <c r="J117" s="109"/>
      <c r="K117" s="109"/>
      <c r="L117" s="109" t="s">
        <v>346</v>
      </c>
      <c r="M117" s="109"/>
      <c r="N117" s="109"/>
      <c r="O117" s="113" t="s">
        <v>2816</v>
      </c>
    </row>
    <row r="118" spans="1:15" ht="15.75" customHeight="1">
      <c r="A118" s="60" t="s">
        <v>247</v>
      </c>
      <c r="B118" s="60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2"/>
    </row>
    <row r="119" spans="1:15" ht="70.05" customHeight="1" outlineLevel="1">
      <c r="A119" s="109" t="s">
        <v>5957</v>
      </c>
      <c r="B119" s="110" t="s">
        <v>5958</v>
      </c>
      <c r="C119" s="110" t="s">
        <v>5959</v>
      </c>
      <c r="D119" s="111" t="s">
        <v>5960</v>
      </c>
      <c r="E119" s="111" t="s">
        <v>5961</v>
      </c>
      <c r="F119" s="109" t="s">
        <v>344</v>
      </c>
      <c r="G119" s="112">
        <v>46300</v>
      </c>
      <c r="H119" s="109" t="s">
        <v>5593</v>
      </c>
      <c r="I119" s="109" t="s">
        <v>346</v>
      </c>
      <c r="J119" s="109"/>
      <c r="K119" s="109"/>
      <c r="L119" s="109" t="s">
        <v>346</v>
      </c>
      <c r="M119" s="109"/>
      <c r="N119" s="109"/>
      <c r="O119" s="113"/>
    </row>
    <row r="120" spans="1:15" ht="70.05" customHeight="1" outlineLevel="1">
      <c r="A120" s="109" t="s">
        <v>5962</v>
      </c>
      <c r="B120" s="110" t="s">
        <v>5963</v>
      </c>
      <c r="C120" s="110" t="s">
        <v>5964</v>
      </c>
      <c r="D120" s="111" t="s">
        <v>5965</v>
      </c>
      <c r="E120" s="111" t="s">
        <v>5961</v>
      </c>
      <c r="F120" s="109" t="s">
        <v>344</v>
      </c>
      <c r="G120" s="112">
        <v>46300</v>
      </c>
      <c r="H120" s="109" t="s">
        <v>5593</v>
      </c>
      <c r="I120" s="109" t="s">
        <v>346</v>
      </c>
      <c r="J120" s="109"/>
      <c r="K120" s="109"/>
      <c r="L120" s="109" t="s">
        <v>346</v>
      </c>
      <c r="M120" s="109"/>
      <c r="N120" s="109"/>
      <c r="O120" s="113"/>
    </row>
    <row r="121" spans="1:15" ht="70.05" customHeight="1" outlineLevel="1">
      <c r="A121" s="109" t="s">
        <v>5966</v>
      </c>
      <c r="B121" s="110" t="s">
        <v>5967</v>
      </c>
      <c r="C121" s="110" t="s">
        <v>5968</v>
      </c>
      <c r="D121" s="111" t="s">
        <v>5969</v>
      </c>
      <c r="E121" s="111" t="s">
        <v>5961</v>
      </c>
      <c r="F121" s="109" t="s">
        <v>344</v>
      </c>
      <c r="G121" s="112">
        <v>46300</v>
      </c>
      <c r="H121" s="109" t="s">
        <v>5593</v>
      </c>
      <c r="I121" s="109" t="s">
        <v>346</v>
      </c>
      <c r="J121" s="109"/>
      <c r="K121" s="109"/>
      <c r="L121" s="109" t="s">
        <v>346</v>
      </c>
      <c r="M121" s="109"/>
      <c r="N121" s="109"/>
      <c r="O121" s="113"/>
    </row>
    <row r="122" spans="1:15" ht="70.05" customHeight="1" outlineLevel="1">
      <c r="A122" s="109" t="s">
        <v>5970</v>
      </c>
      <c r="B122" s="110" t="s">
        <v>5971</v>
      </c>
      <c r="C122" s="110" t="s">
        <v>5972</v>
      </c>
      <c r="D122" s="111" t="s">
        <v>5973</v>
      </c>
      <c r="E122" s="111" t="s">
        <v>5961</v>
      </c>
      <c r="F122" s="109" t="s">
        <v>344</v>
      </c>
      <c r="G122" s="112">
        <v>46300</v>
      </c>
      <c r="H122" s="109" t="s">
        <v>5593</v>
      </c>
      <c r="I122" s="109" t="s">
        <v>346</v>
      </c>
      <c r="J122" s="109"/>
      <c r="K122" s="109"/>
      <c r="L122" s="109" t="s">
        <v>346</v>
      </c>
      <c r="M122" s="109"/>
      <c r="N122" s="109"/>
      <c r="O122" s="113"/>
    </row>
    <row r="123" spans="1:15" ht="70.05" customHeight="1" outlineLevel="1">
      <c r="A123" s="109" t="s">
        <v>5974</v>
      </c>
      <c r="B123" s="110" t="s">
        <v>5975</v>
      </c>
      <c r="C123" s="110" t="s">
        <v>5976</v>
      </c>
      <c r="D123" s="111" t="s">
        <v>5977</v>
      </c>
      <c r="E123" s="111" t="s">
        <v>5961</v>
      </c>
      <c r="F123" s="109" t="s">
        <v>344</v>
      </c>
      <c r="G123" s="112">
        <v>46300</v>
      </c>
      <c r="H123" s="109" t="s">
        <v>5593</v>
      </c>
      <c r="I123" s="109" t="s">
        <v>346</v>
      </c>
      <c r="J123" s="109"/>
      <c r="K123" s="109"/>
      <c r="L123" s="109" t="s">
        <v>346</v>
      </c>
      <c r="M123" s="109"/>
      <c r="N123" s="109"/>
      <c r="O123" s="113"/>
    </row>
    <row r="124" spans="1:15" ht="70.05" customHeight="1" outlineLevel="1">
      <c r="A124" s="109" t="s">
        <v>5978</v>
      </c>
      <c r="B124" s="110" t="s">
        <v>5979</v>
      </c>
      <c r="C124" s="110" t="s">
        <v>5980</v>
      </c>
      <c r="D124" s="111" t="s">
        <v>5981</v>
      </c>
      <c r="E124" s="111" t="s">
        <v>5982</v>
      </c>
      <c r="F124" s="109" t="s">
        <v>344</v>
      </c>
      <c r="G124" s="112">
        <v>46300</v>
      </c>
      <c r="H124" s="109" t="s">
        <v>5593</v>
      </c>
      <c r="I124" s="109" t="s">
        <v>346</v>
      </c>
      <c r="J124" s="109"/>
      <c r="K124" s="109"/>
      <c r="L124" s="109" t="s">
        <v>346</v>
      </c>
      <c r="M124" s="109"/>
      <c r="N124" s="109"/>
      <c r="O124" s="113"/>
    </row>
    <row r="125" spans="1:15" ht="70.05" customHeight="1" outlineLevel="1">
      <c r="A125" s="109" t="s">
        <v>5983</v>
      </c>
      <c r="B125" s="110" t="s">
        <v>5984</v>
      </c>
      <c r="C125" s="110" t="s">
        <v>5985</v>
      </c>
      <c r="D125" s="111" t="s">
        <v>5986</v>
      </c>
      <c r="E125" s="111" t="s">
        <v>5987</v>
      </c>
      <c r="F125" s="109" t="s">
        <v>344</v>
      </c>
      <c r="G125" s="112">
        <v>46300</v>
      </c>
      <c r="H125" s="109" t="s">
        <v>5593</v>
      </c>
      <c r="I125" s="109" t="s">
        <v>346</v>
      </c>
      <c r="J125" s="109"/>
      <c r="K125" s="109"/>
      <c r="L125" s="109" t="s">
        <v>346</v>
      </c>
      <c r="M125" s="109"/>
      <c r="N125" s="109"/>
      <c r="O125" s="113"/>
    </row>
    <row r="126" spans="1:15" ht="70.05" customHeight="1" outlineLevel="1">
      <c r="A126" s="109" t="s">
        <v>5988</v>
      </c>
      <c r="B126" s="110" t="s">
        <v>5989</v>
      </c>
      <c r="C126" s="110" t="s">
        <v>5990</v>
      </c>
      <c r="D126" s="111" t="s">
        <v>5991</v>
      </c>
      <c r="E126" s="111" t="s">
        <v>5961</v>
      </c>
      <c r="F126" s="109" t="s">
        <v>344</v>
      </c>
      <c r="G126" s="112">
        <v>46300</v>
      </c>
      <c r="H126" s="109" t="s">
        <v>5593</v>
      </c>
      <c r="I126" s="109" t="s">
        <v>346</v>
      </c>
      <c r="J126" s="109"/>
      <c r="K126" s="109"/>
      <c r="L126" s="109" t="s">
        <v>346</v>
      </c>
      <c r="M126" s="109"/>
      <c r="N126" s="109"/>
      <c r="O126" s="113"/>
    </row>
    <row r="127" spans="1:15" ht="70.05" customHeight="1" outlineLevel="1">
      <c r="A127" s="109" t="s">
        <v>5992</v>
      </c>
      <c r="B127" s="110" t="s">
        <v>5993</v>
      </c>
      <c r="C127" s="110" t="s">
        <v>5994</v>
      </c>
      <c r="D127" s="111" t="s">
        <v>5995</v>
      </c>
      <c r="E127" s="111" t="s">
        <v>5961</v>
      </c>
      <c r="F127" s="109" t="s">
        <v>344</v>
      </c>
      <c r="G127" s="112">
        <v>46300</v>
      </c>
      <c r="H127" s="109" t="s">
        <v>5593</v>
      </c>
      <c r="I127" s="109" t="s">
        <v>346</v>
      </c>
      <c r="J127" s="109"/>
      <c r="K127" s="109"/>
      <c r="L127" s="109" t="s">
        <v>346</v>
      </c>
      <c r="M127" s="109"/>
      <c r="N127" s="109"/>
      <c r="O127" s="113"/>
    </row>
    <row r="128" spans="1:15" ht="70.05" customHeight="1" outlineLevel="1">
      <c r="A128" s="109" t="s">
        <v>5996</v>
      </c>
      <c r="B128" s="110" t="s">
        <v>5997</v>
      </c>
      <c r="C128" s="110" t="s">
        <v>5998</v>
      </c>
      <c r="D128" s="111" t="s">
        <v>5999</v>
      </c>
      <c r="E128" s="111" t="s">
        <v>5961</v>
      </c>
      <c r="F128" s="109" t="s">
        <v>344</v>
      </c>
      <c r="G128" s="112">
        <v>46300</v>
      </c>
      <c r="H128" s="109" t="s">
        <v>5593</v>
      </c>
      <c r="I128" s="109" t="s">
        <v>346</v>
      </c>
      <c r="J128" s="109"/>
      <c r="K128" s="109"/>
      <c r="L128" s="109" t="s">
        <v>346</v>
      </c>
      <c r="M128" s="109"/>
      <c r="N128" s="109"/>
      <c r="O128" s="113"/>
    </row>
    <row r="129" spans="1:15" ht="70.05" customHeight="1" outlineLevel="1">
      <c r="A129" s="109" t="s">
        <v>6000</v>
      </c>
      <c r="B129" s="110" t="s">
        <v>6001</v>
      </c>
      <c r="C129" s="110" t="s">
        <v>6002</v>
      </c>
      <c r="D129" s="111" t="s">
        <v>6003</v>
      </c>
      <c r="E129" s="111" t="s">
        <v>5961</v>
      </c>
      <c r="F129" s="109" t="s">
        <v>344</v>
      </c>
      <c r="G129" s="112">
        <v>46300</v>
      </c>
      <c r="H129" s="109" t="s">
        <v>5593</v>
      </c>
      <c r="I129" s="109" t="s">
        <v>346</v>
      </c>
      <c r="J129" s="109"/>
      <c r="K129" s="109"/>
      <c r="L129" s="109" t="s">
        <v>346</v>
      </c>
      <c r="M129" s="109"/>
      <c r="N129" s="109"/>
      <c r="O129" s="113"/>
    </row>
    <row r="130" spans="1:15" ht="70.05" customHeight="1" outlineLevel="1">
      <c r="A130" s="109" t="s">
        <v>6004</v>
      </c>
      <c r="B130" s="110" t="s">
        <v>6005</v>
      </c>
      <c r="C130" s="110" t="s">
        <v>6006</v>
      </c>
      <c r="D130" s="111" t="s">
        <v>6007</v>
      </c>
      <c r="E130" s="111" t="s">
        <v>5961</v>
      </c>
      <c r="F130" s="109" t="s">
        <v>344</v>
      </c>
      <c r="G130" s="112">
        <v>46300</v>
      </c>
      <c r="H130" s="109" t="s">
        <v>5593</v>
      </c>
      <c r="I130" s="109" t="s">
        <v>346</v>
      </c>
      <c r="J130" s="109"/>
      <c r="K130" s="109"/>
      <c r="L130" s="109" t="s">
        <v>346</v>
      </c>
      <c r="M130" s="109"/>
      <c r="N130" s="109"/>
      <c r="O130" s="113"/>
    </row>
    <row r="131" spans="1:15" ht="70.05" customHeight="1" outlineLevel="1">
      <c r="A131" s="109" t="s">
        <v>6008</v>
      </c>
      <c r="B131" s="110" t="s">
        <v>6009</v>
      </c>
      <c r="C131" s="110" t="s">
        <v>6010</v>
      </c>
      <c r="D131" s="111" t="s">
        <v>6011</v>
      </c>
      <c r="E131" s="111" t="s">
        <v>5961</v>
      </c>
      <c r="F131" s="109" t="s">
        <v>344</v>
      </c>
      <c r="G131" s="112">
        <v>46300</v>
      </c>
      <c r="H131" s="109" t="s">
        <v>5593</v>
      </c>
      <c r="I131" s="109" t="s">
        <v>346</v>
      </c>
      <c r="J131" s="109"/>
      <c r="K131" s="109"/>
      <c r="L131" s="109" t="s">
        <v>346</v>
      </c>
      <c r="M131" s="109"/>
      <c r="N131" s="109"/>
      <c r="O131" s="113"/>
    </row>
    <row r="132" spans="1:15" ht="70.05" customHeight="1" outlineLevel="1">
      <c r="A132" s="109" t="s">
        <v>6012</v>
      </c>
      <c r="B132" s="110" t="s">
        <v>6013</v>
      </c>
      <c r="C132" s="110" t="s">
        <v>6014</v>
      </c>
      <c r="D132" s="111" t="s">
        <v>6015</v>
      </c>
      <c r="E132" s="111" t="s">
        <v>5961</v>
      </c>
      <c r="F132" s="109" t="s">
        <v>344</v>
      </c>
      <c r="G132" s="112">
        <v>46300</v>
      </c>
      <c r="H132" s="109" t="s">
        <v>5593</v>
      </c>
      <c r="I132" s="109" t="s">
        <v>346</v>
      </c>
      <c r="J132" s="109"/>
      <c r="K132" s="109"/>
      <c r="L132" s="109" t="s">
        <v>346</v>
      </c>
      <c r="M132" s="109"/>
      <c r="N132" s="109"/>
      <c r="O132" s="113"/>
    </row>
    <row r="133" spans="1:15" ht="70.05" customHeight="1" outlineLevel="1">
      <c r="A133" s="109" t="s">
        <v>6016</v>
      </c>
      <c r="B133" s="110" t="s">
        <v>6017</v>
      </c>
      <c r="C133" s="110" t="s">
        <v>6018</v>
      </c>
      <c r="D133" s="111" t="s">
        <v>6019</v>
      </c>
      <c r="E133" s="111" t="s">
        <v>5961</v>
      </c>
      <c r="F133" s="109" t="s">
        <v>344</v>
      </c>
      <c r="G133" s="112">
        <v>46300</v>
      </c>
      <c r="H133" s="109" t="s">
        <v>5593</v>
      </c>
      <c r="I133" s="109" t="s">
        <v>346</v>
      </c>
      <c r="J133" s="109"/>
      <c r="K133" s="109"/>
      <c r="L133" s="109" t="s">
        <v>346</v>
      </c>
      <c r="M133" s="109"/>
      <c r="N133" s="109"/>
      <c r="O133" s="113"/>
    </row>
    <row r="134" spans="1:15" ht="70.05" customHeight="1" outlineLevel="1">
      <c r="A134" s="109" t="s">
        <v>6020</v>
      </c>
      <c r="B134" s="110" t="s">
        <v>6021</v>
      </c>
      <c r="C134" s="110" t="s">
        <v>6022</v>
      </c>
      <c r="D134" s="111" t="s">
        <v>6023</v>
      </c>
      <c r="E134" s="111" t="s">
        <v>6024</v>
      </c>
      <c r="F134" s="109" t="s">
        <v>344</v>
      </c>
      <c r="G134" s="112">
        <v>46300</v>
      </c>
      <c r="H134" s="109" t="s">
        <v>5593</v>
      </c>
      <c r="I134" s="109" t="s">
        <v>346</v>
      </c>
      <c r="J134" s="109"/>
      <c r="K134" s="109"/>
      <c r="L134" s="109" t="s">
        <v>346</v>
      </c>
      <c r="M134" s="109"/>
      <c r="N134" s="109"/>
      <c r="O134" s="113"/>
    </row>
    <row r="135" spans="1:15" ht="70.05" customHeight="1" outlineLevel="1">
      <c r="A135" s="109" t="s">
        <v>6025</v>
      </c>
      <c r="B135" s="110" t="s">
        <v>6021</v>
      </c>
      <c r="C135" s="110" t="s">
        <v>6022</v>
      </c>
      <c r="D135" s="111" t="s">
        <v>5771</v>
      </c>
      <c r="E135" s="111" t="s">
        <v>6026</v>
      </c>
      <c r="F135" s="109" t="s">
        <v>344</v>
      </c>
      <c r="G135" s="112">
        <v>46300</v>
      </c>
      <c r="H135" s="109" t="s">
        <v>5593</v>
      </c>
      <c r="I135" s="109" t="s">
        <v>346</v>
      </c>
      <c r="J135" s="109"/>
      <c r="K135" s="109"/>
      <c r="L135" s="109" t="s">
        <v>346</v>
      </c>
      <c r="M135" s="109"/>
      <c r="N135" s="109"/>
      <c r="O135" s="113"/>
    </row>
    <row r="136" spans="1:15" ht="70.05" customHeight="1" outlineLevel="1">
      <c r="A136" s="109" t="s">
        <v>6027</v>
      </c>
      <c r="B136" s="110" t="s">
        <v>6028</v>
      </c>
      <c r="C136" s="110" t="s">
        <v>6029</v>
      </c>
      <c r="D136" s="111" t="s">
        <v>6030</v>
      </c>
      <c r="E136" s="111" t="s">
        <v>6031</v>
      </c>
      <c r="F136" s="109" t="s">
        <v>344</v>
      </c>
      <c r="G136" s="112">
        <v>46300</v>
      </c>
      <c r="H136" s="109" t="s">
        <v>5593</v>
      </c>
      <c r="I136" s="109" t="s">
        <v>346</v>
      </c>
      <c r="J136" s="109"/>
      <c r="K136" s="109"/>
      <c r="L136" s="109" t="s">
        <v>346</v>
      </c>
      <c r="M136" s="109"/>
      <c r="N136" s="109"/>
      <c r="O136" s="113"/>
    </row>
    <row r="137" spans="1:15" ht="70.05" customHeight="1" outlineLevel="1">
      <c r="A137" s="109" t="s">
        <v>6032</v>
      </c>
      <c r="B137" s="110" t="s">
        <v>6033</v>
      </c>
      <c r="C137" s="110" t="s">
        <v>6034</v>
      </c>
      <c r="D137" s="111" t="s">
        <v>6035</v>
      </c>
      <c r="E137" s="111" t="s">
        <v>6036</v>
      </c>
      <c r="F137" s="109" t="s">
        <v>344</v>
      </c>
      <c r="G137" s="112">
        <v>46300</v>
      </c>
      <c r="H137" s="109" t="s">
        <v>5593</v>
      </c>
      <c r="I137" s="109" t="s">
        <v>346</v>
      </c>
      <c r="J137" s="109"/>
      <c r="K137" s="109"/>
      <c r="L137" s="109" t="s">
        <v>346</v>
      </c>
      <c r="M137" s="109"/>
      <c r="N137" s="109"/>
      <c r="O137" s="113"/>
    </row>
    <row r="138" spans="1:15" ht="15.75" customHeight="1">
      <c r="A138" s="60" t="s">
        <v>249</v>
      </c>
      <c r="B138" s="60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2"/>
    </row>
    <row r="139" spans="1:15" ht="70.05" customHeight="1" outlineLevel="1">
      <c r="A139" s="109" t="s">
        <v>6037</v>
      </c>
      <c r="B139" s="110" t="s">
        <v>6038</v>
      </c>
      <c r="C139" s="110" t="s">
        <v>6039</v>
      </c>
      <c r="D139" s="111" t="s">
        <v>6040</v>
      </c>
      <c r="E139" s="111" t="s">
        <v>6041</v>
      </c>
      <c r="F139" s="109" t="s">
        <v>346</v>
      </c>
      <c r="G139" s="109"/>
      <c r="H139" s="109"/>
      <c r="I139" s="109" t="s">
        <v>346</v>
      </c>
      <c r="J139" s="109"/>
      <c r="K139" s="109"/>
      <c r="L139" s="109" t="s">
        <v>346</v>
      </c>
      <c r="M139" s="109"/>
      <c r="N139" s="109"/>
      <c r="O139" s="113" t="s">
        <v>2816</v>
      </c>
    </row>
    <row r="140" spans="1:15" ht="70.05" customHeight="1" outlineLevel="1">
      <c r="A140" s="109" t="s">
        <v>6042</v>
      </c>
      <c r="B140" s="110" t="s">
        <v>6043</v>
      </c>
      <c r="C140" s="110" t="s">
        <v>6044</v>
      </c>
      <c r="D140" s="111" t="s">
        <v>6045</v>
      </c>
      <c r="E140" s="111" t="s">
        <v>6041</v>
      </c>
      <c r="F140" s="109" t="s">
        <v>346</v>
      </c>
      <c r="G140" s="109"/>
      <c r="H140" s="109"/>
      <c r="I140" s="109" t="s">
        <v>346</v>
      </c>
      <c r="J140" s="109"/>
      <c r="K140" s="109"/>
      <c r="L140" s="109" t="s">
        <v>346</v>
      </c>
      <c r="M140" s="109"/>
      <c r="N140" s="109"/>
      <c r="O140" s="113" t="s">
        <v>2816</v>
      </c>
    </row>
    <row r="141" spans="1:15" ht="70.05" customHeight="1" outlineLevel="1">
      <c r="A141" s="109" t="s">
        <v>6046</v>
      </c>
      <c r="B141" s="110" t="s">
        <v>6047</v>
      </c>
      <c r="C141" s="110" t="s">
        <v>6048</v>
      </c>
      <c r="D141" s="111" t="s">
        <v>6049</v>
      </c>
      <c r="E141" s="111" t="s">
        <v>6050</v>
      </c>
      <c r="F141" s="109" t="s">
        <v>346</v>
      </c>
      <c r="G141" s="109"/>
      <c r="H141" s="109"/>
      <c r="I141" s="109" t="s">
        <v>346</v>
      </c>
      <c r="J141" s="109"/>
      <c r="K141" s="109"/>
      <c r="L141" s="109" t="s">
        <v>346</v>
      </c>
      <c r="M141" s="109"/>
      <c r="N141" s="109"/>
      <c r="O141" s="113" t="s">
        <v>2816</v>
      </c>
    </row>
    <row r="142" spans="1:15" ht="70.05" customHeight="1" outlineLevel="1">
      <c r="A142" s="109" t="s">
        <v>6051</v>
      </c>
      <c r="B142" s="110" t="s">
        <v>6052</v>
      </c>
      <c r="C142" s="110" t="s">
        <v>6053</v>
      </c>
      <c r="D142" s="111" t="s">
        <v>6054</v>
      </c>
      <c r="E142" s="111" t="s">
        <v>6050</v>
      </c>
      <c r="F142" s="109" t="s">
        <v>346</v>
      </c>
      <c r="G142" s="109"/>
      <c r="H142" s="109"/>
      <c r="I142" s="109" t="s">
        <v>346</v>
      </c>
      <c r="J142" s="109"/>
      <c r="K142" s="109"/>
      <c r="L142" s="109" t="s">
        <v>346</v>
      </c>
      <c r="M142" s="109"/>
      <c r="N142" s="109"/>
      <c r="O142" s="113" t="s">
        <v>2816</v>
      </c>
    </row>
    <row r="143" spans="1:15" ht="70.05" customHeight="1" outlineLevel="1">
      <c r="A143" s="109" t="s">
        <v>6055</v>
      </c>
      <c r="B143" s="110" t="s">
        <v>6038</v>
      </c>
      <c r="C143" s="110" t="s">
        <v>6039</v>
      </c>
      <c r="D143" s="111" t="s">
        <v>6056</v>
      </c>
      <c r="E143" s="111" t="s">
        <v>6057</v>
      </c>
      <c r="F143" s="109" t="s">
        <v>346</v>
      </c>
      <c r="G143" s="109"/>
      <c r="H143" s="109"/>
      <c r="I143" s="109" t="s">
        <v>346</v>
      </c>
      <c r="J143" s="109"/>
      <c r="K143" s="109"/>
      <c r="L143" s="109" t="s">
        <v>346</v>
      </c>
      <c r="M143" s="109"/>
      <c r="N143" s="109"/>
      <c r="O143" s="113" t="s">
        <v>2816</v>
      </c>
    </row>
    <row r="144" spans="1:15" ht="70.05" customHeight="1" outlineLevel="1">
      <c r="A144" s="109" t="s">
        <v>6058</v>
      </c>
      <c r="B144" s="110" t="s">
        <v>6059</v>
      </c>
      <c r="C144" s="110" t="s">
        <v>6060</v>
      </c>
      <c r="D144" s="111" t="s">
        <v>6061</v>
      </c>
      <c r="E144" s="111" t="s">
        <v>6062</v>
      </c>
      <c r="F144" s="109" t="s">
        <v>346</v>
      </c>
      <c r="G144" s="109"/>
      <c r="H144" s="109"/>
      <c r="I144" s="109" t="s">
        <v>346</v>
      </c>
      <c r="J144" s="109"/>
      <c r="K144" s="109"/>
      <c r="L144" s="109" t="s">
        <v>346</v>
      </c>
      <c r="M144" s="109"/>
      <c r="N144" s="109"/>
      <c r="O144" s="113" t="s">
        <v>2816</v>
      </c>
    </row>
    <row r="145" spans="1:15" ht="70.05" customHeight="1" outlineLevel="1">
      <c r="A145" s="109" t="s">
        <v>6063</v>
      </c>
      <c r="B145" s="110" t="s">
        <v>6064</v>
      </c>
      <c r="C145" s="110" t="s">
        <v>6065</v>
      </c>
      <c r="D145" s="111" t="s">
        <v>6066</v>
      </c>
      <c r="E145" s="111" t="s">
        <v>6041</v>
      </c>
      <c r="F145" s="109" t="s">
        <v>346</v>
      </c>
      <c r="G145" s="109"/>
      <c r="H145" s="109"/>
      <c r="I145" s="109" t="s">
        <v>346</v>
      </c>
      <c r="J145" s="109"/>
      <c r="K145" s="109"/>
      <c r="L145" s="109" t="s">
        <v>346</v>
      </c>
      <c r="M145" s="109"/>
      <c r="N145" s="109"/>
      <c r="O145" s="113" t="s">
        <v>2816</v>
      </c>
    </row>
    <row r="146" spans="1:15" ht="70.05" customHeight="1" outlineLevel="1">
      <c r="A146" s="109" t="s">
        <v>6067</v>
      </c>
      <c r="B146" s="110" t="s">
        <v>6047</v>
      </c>
      <c r="C146" s="110" t="s">
        <v>6048</v>
      </c>
      <c r="D146" s="111" t="s">
        <v>6068</v>
      </c>
      <c r="E146" s="111" t="s">
        <v>6050</v>
      </c>
      <c r="F146" s="109" t="s">
        <v>346</v>
      </c>
      <c r="G146" s="109"/>
      <c r="H146" s="109"/>
      <c r="I146" s="109" t="s">
        <v>346</v>
      </c>
      <c r="J146" s="109"/>
      <c r="K146" s="109"/>
      <c r="L146" s="109" t="s">
        <v>346</v>
      </c>
      <c r="M146" s="109"/>
      <c r="N146" s="109"/>
      <c r="O146" s="113" t="s">
        <v>2816</v>
      </c>
    </row>
    <row r="147" spans="1:15" ht="70.05" customHeight="1" outlineLevel="1">
      <c r="A147" s="109" t="s">
        <v>6069</v>
      </c>
      <c r="B147" s="110" t="s">
        <v>6070</v>
      </c>
      <c r="C147" s="110" t="s">
        <v>6044</v>
      </c>
      <c r="D147" s="111" t="s">
        <v>6071</v>
      </c>
      <c r="E147" s="111" t="s">
        <v>6041</v>
      </c>
      <c r="F147" s="109" t="s">
        <v>346</v>
      </c>
      <c r="G147" s="109"/>
      <c r="H147" s="109"/>
      <c r="I147" s="109" t="s">
        <v>346</v>
      </c>
      <c r="J147" s="109"/>
      <c r="K147" s="109"/>
      <c r="L147" s="109" t="s">
        <v>346</v>
      </c>
      <c r="M147" s="109"/>
      <c r="N147" s="109"/>
      <c r="O147" s="113" t="s">
        <v>2816</v>
      </c>
    </row>
    <row r="148" spans="1:15" ht="70.05" customHeight="1" outlineLevel="1">
      <c r="A148" s="109" t="s">
        <v>6072</v>
      </c>
      <c r="B148" s="110" t="s">
        <v>6073</v>
      </c>
      <c r="C148" s="110" t="s">
        <v>6074</v>
      </c>
      <c r="D148" s="111" t="s">
        <v>6075</v>
      </c>
      <c r="E148" s="111" t="s">
        <v>6050</v>
      </c>
      <c r="F148" s="109" t="s">
        <v>346</v>
      </c>
      <c r="G148" s="109"/>
      <c r="H148" s="109"/>
      <c r="I148" s="109" t="s">
        <v>346</v>
      </c>
      <c r="J148" s="109"/>
      <c r="K148" s="109"/>
      <c r="L148" s="109" t="s">
        <v>346</v>
      </c>
      <c r="M148" s="109"/>
      <c r="N148" s="109"/>
      <c r="O148" s="113" t="s">
        <v>2816</v>
      </c>
    </row>
    <row r="149" spans="1:15" ht="70.05" customHeight="1" outlineLevel="1">
      <c r="A149" s="109" t="s">
        <v>6076</v>
      </c>
      <c r="B149" s="110" t="s">
        <v>6077</v>
      </c>
      <c r="C149" s="110" t="s">
        <v>6078</v>
      </c>
      <c r="D149" s="111" t="s">
        <v>6079</v>
      </c>
      <c r="E149" s="111" t="s">
        <v>6041</v>
      </c>
      <c r="F149" s="109" t="s">
        <v>346</v>
      </c>
      <c r="G149" s="109"/>
      <c r="H149" s="109"/>
      <c r="I149" s="109" t="s">
        <v>346</v>
      </c>
      <c r="J149" s="109"/>
      <c r="K149" s="109"/>
      <c r="L149" s="109" t="s">
        <v>346</v>
      </c>
      <c r="M149" s="109"/>
      <c r="N149" s="109"/>
      <c r="O149" s="113" t="s">
        <v>2816</v>
      </c>
    </row>
    <row r="150" spans="1:15" ht="70.05" customHeight="1" outlineLevel="1">
      <c r="A150" s="109" t="s">
        <v>6080</v>
      </c>
      <c r="B150" s="110" t="s">
        <v>6081</v>
      </c>
      <c r="C150" s="110" t="s">
        <v>6082</v>
      </c>
      <c r="D150" s="111" t="s">
        <v>6083</v>
      </c>
      <c r="E150" s="111" t="s">
        <v>6041</v>
      </c>
      <c r="F150" s="109" t="s">
        <v>346</v>
      </c>
      <c r="G150" s="109"/>
      <c r="H150" s="109"/>
      <c r="I150" s="109" t="s">
        <v>346</v>
      </c>
      <c r="J150" s="109"/>
      <c r="K150" s="109"/>
      <c r="L150" s="109" t="s">
        <v>346</v>
      </c>
      <c r="M150" s="109"/>
      <c r="N150" s="109"/>
      <c r="O150" s="113" t="s">
        <v>2816</v>
      </c>
    </row>
    <row r="151" spans="1:15" ht="70.05" customHeight="1" outlineLevel="1">
      <c r="A151" s="109" t="s">
        <v>6084</v>
      </c>
      <c r="B151" s="110" t="s">
        <v>6085</v>
      </c>
      <c r="C151" s="110" t="s">
        <v>6086</v>
      </c>
      <c r="D151" s="111" t="s">
        <v>6083</v>
      </c>
      <c r="E151" s="111" t="s">
        <v>6050</v>
      </c>
      <c r="F151" s="109" t="s">
        <v>346</v>
      </c>
      <c r="G151" s="109"/>
      <c r="H151" s="109"/>
      <c r="I151" s="109" t="s">
        <v>346</v>
      </c>
      <c r="J151" s="109"/>
      <c r="K151" s="109"/>
      <c r="L151" s="109" t="s">
        <v>346</v>
      </c>
      <c r="M151" s="109"/>
      <c r="N151" s="109"/>
      <c r="O151" s="113" t="s">
        <v>2816</v>
      </c>
    </row>
    <row r="152" spans="1:15" ht="70.05" customHeight="1" outlineLevel="1">
      <c r="A152" s="109" t="s">
        <v>6087</v>
      </c>
      <c r="B152" s="110" t="s">
        <v>6088</v>
      </c>
      <c r="C152" s="110" t="s">
        <v>6089</v>
      </c>
      <c r="D152" s="111" t="s">
        <v>6083</v>
      </c>
      <c r="E152" s="111" t="s">
        <v>6041</v>
      </c>
      <c r="F152" s="109" t="s">
        <v>346</v>
      </c>
      <c r="G152" s="109"/>
      <c r="H152" s="109"/>
      <c r="I152" s="109" t="s">
        <v>346</v>
      </c>
      <c r="J152" s="109"/>
      <c r="K152" s="109"/>
      <c r="L152" s="109" t="s">
        <v>346</v>
      </c>
      <c r="M152" s="109"/>
      <c r="N152" s="109"/>
      <c r="O152" s="113" t="s">
        <v>2816</v>
      </c>
    </row>
    <row r="153" spans="1:15" ht="70.05" customHeight="1" outlineLevel="1">
      <c r="A153" s="109" t="s">
        <v>6090</v>
      </c>
      <c r="B153" s="110" t="s">
        <v>6091</v>
      </c>
      <c r="C153" s="110" t="s">
        <v>6092</v>
      </c>
      <c r="D153" s="111" t="s">
        <v>6093</v>
      </c>
      <c r="E153" s="111" t="s">
        <v>417</v>
      </c>
      <c r="F153" s="109" t="s">
        <v>346</v>
      </c>
      <c r="G153" s="109"/>
      <c r="H153" s="109"/>
      <c r="I153" s="109" t="s">
        <v>346</v>
      </c>
      <c r="J153" s="109"/>
      <c r="K153" s="109"/>
      <c r="L153" s="109" t="s">
        <v>346</v>
      </c>
      <c r="M153" s="109"/>
      <c r="N153" s="109"/>
      <c r="O153" s="113" t="s">
        <v>2816</v>
      </c>
    </row>
    <row r="154" spans="1:15" ht="70.05" customHeight="1" outlineLevel="1">
      <c r="A154" s="109" t="s">
        <v>6094</v>
      </c>
      <c r="B154" s="110" t="s">
        <v>6095</v>
      </c>
      <c r="C154" s="110" t="s">
        <v>6096</v>
      </c>
      <c r="D154" s="111" t="s">
        <v>4055</v>
      </c>
      <c r="E154" s="111" t="s">
        <v>6097</v>
      </c>
      <c r="F154" s="109" t="s">
        <v>346</v>
      </c>
      <c r="G154" s="109"/>
      <c r="H154" s="109"/>
      <c r="I154" s="109" t="s">
        <v>346</v>
      </c>
      <c r="J154" s="109"/>
      <c r="K154" s="109"/>
      <c r="L154" s="109" t="s">
        <v>346</v>
      </c>
      <c r="M154" s="109"/>
      <c r="N154" s="109"/>
      <c r="O154" s="113" t="s">
        <v>2816</v>
      </c>
    </row>
    <row r="155" spans="1:15" ht="70.05" customHeight="1" outlineLevel="1">
      <c r="A155" s="109" t="s">
        <v>6098</v>
      </c>
      <c r="B155" s="110" t="s">
        <v>6099</v>
      </c>
      <c r="C155" s="110" t="s">
        <v>6039</v>
      </c>
      <c r="D155" s="111" t="s">
        <v>4136</v>
      </c>
      <c r="E155" s="111" t="s">
        <v>5951</v>
      </c>
      <c r="F155" s="109" t="s">
        <v>346</v>
      </c>
      <c r="G155" s="109"/>
      <c r="H155" s="109"/>
      <c r="I155" s="109" t="s">
        <v>346</v>
      </c>
      <c r="J155" s="109"/>
      <c r="K155" s="109"/>
      <c r="L155" s="109" t="s">
        <v>346</v>
      </c>
      <c r="M155" s="109"/>
      <c r="N155" s="109"/>
      <c r="O155" s="113" t="s">
        <v>2816</v>
      </c>
    </row>
    <row r="156" spans="1:15" ht="15.75" customHeight="1">
      <c r="A156" s="60" t="s">
        <v>252</v>
      </c>
      <c r="B156" s="60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2"/>
    </row>
    <row r="157" spans="1:15" ht="70.05" customHeight="1" outlineLevel="1">
      <c r="A157" s="109" t="s">
        <v>6100</v>
      </c>
      <c r="B157" s="110" t="s">
        <v>6101</v>
      </c>
      <c r="C157" s="110" t="s">
        <v>6102</v>
      </c>
      <c r="D157" s="111" t="s">
        <v>6103</v>
      </c>
      <c r="E157" s="111" t="s">
        <v>6104</v>
      </c>
      <c r="F157" s="109" t="s">
        <v>346</v>
      </c>
      <c r="G157" s="109"/>
      <c r="H157" s="109"/>
      <c r="I157" s="109" t="s">
        <v>346</v>
      </c>
      <c r="J157" s="109"/>
      <c r="K157" s="109"/>
      <c r="L157" s="109" t="s">
        <v>346</v>
      </c>
      <c r="M157" s="109"/>
      <c r="N157" s="109"/>
      <c r="O157" s="113" t="s">
        <v>2816</v>
      </c>
    </row>
    <row r="158" spans="1:15" ht="70.05" customHeight="1" outlineLevel="1">
      <c r="A158" s="109" t="s">
        <v>6105</v>
      </c>
      <c r="B158" s="110" t="s">
        <v>6106</v>
      </c>
      <c r="C158" s="110" t="s">
        <v>6107</v>
      </c>
      <c r="D158" s="111" t="s">
        <v>6108</v>
      </c>
      <c r="E158" s="111" t="s">
        <v>6104</v>
      </c>
      <c r="F158" s="109" t="s">
        <v>346</v>
      </c>
      <c r="G158" s="109"/>
      <c r="H158" s="109"/>
      <c r="I158" s="109" t="s">
        <v>346</v>
      </c>
      <c r="J158" s="109"/>
      <c r="K158" s="109"/>
      <c r="L158" s="109" t="s">
        <v>346</v>
      </c>
      <c r="M158" s="109"/>
      <c r="N158" s="109"/>
      <c r="O158" s="113" t="s">
        <v>2816</v>
      </c>
    </row>
    <row r="159" spans="1:15" ht="70.05" customHeight="1" outlineLevel="1">
      <c r="A159" s="109" t="s">
        <v>6109</v>
      </c>
      <c r="B159" s="110" t="s">
        <v>6110</v>
      </c>
      <c r="C159" s="110" t="s">
        <v>6111</v>
      </c>
      <c r="D159" s="111" t="s">
        <v>6112</v>
      </c>
      <c r="E159" s="111" t="s">
        <v>6104</v>
      </c>
      <c r="F159" s="109" t="s">
        <v>346</v>
      </c>
      <c r="G159" s="109"/>
      <c r="H159" s="109"/>
      <c r="I159" s="109" t="s">
        <v>346</v>
      </c>
      <c r="J159" s="109"/>
      <c r="K159" s="109"/>
      <c r="L159" s="109" t="s">
        <v>346</v>
      </c>
      <c r="M159" s="109"/>
      <c r="N159" s="109"/>
      <c r="O159" s="113" t="s">
        <v>2816</v>
      </c>
    </row>
    <row r="160" spans="1:15" ht="70.05" customHeight="1" outlineLevel="1">
      <c r="A160" s="109" t="s">
        <v>6113</v>
      </c>
      <c r="B160" s="110" t="s">
        <v>6114</v>
      </c>
      <c r="C160" s="110" t="s">
        <v>6115</v>
      </c>
      <c r="D160" s="111" t="s">
        <v>6116</v>
      </c>
      <c r="E160" s="111" t="s">
        <v>6104</v>
      </c>
      <c r="F160" s="109" t="s">
        <v>346</v>
      </c>
      <c r="G160" s="109"/>
      <c r="H160" s="109"/>
      <c r="I160" s="109" t="s">
        <v>346</v>
      </c>
      <c r="J160" s="109"/>
      <c r="K160" s="109"/>
      <c r="L160" s="109" t="s">
        <v>346</v>
      </c>
      <c r="M160" s="109"/>
      <c r="N160" s="109"/>
      <c r="O160" s="113" t="s">
        <v>2816</v>
      </c>
    </row>
    <row r="161" spans="1:15" ht="70.05" customHeight="1" outlineLevel="1">
      <c r="A161" s="109" t="s">
        <v>6117</v>
      </c>
      <c r="B161" s="110" t="s">
        <v>6118</v>
      </c>
      <c r="C161" s="110" t="s">
        <v>6119</v>
      </c>
      <c r="D161" s="111" t="s">
        <v>6120</v>
      </c>
      <c r="E161" s="111" t="s">
        <v>6104</v>
      </c>
      <c r="F161" s="109" t="s">
        <v>346</v>
      </c>
      <c r="G161" s="109"/>
      <c r="H161" s="109"/>
      <c r="I161" s="109" t="s">
        <v>346</v>
      </c>
      <c r="J161" s="109"/>
      <c r="K161" s="109"/>
      <c r="L161" s="109" t="s">
        <v>346</v>
      </c>
      <c r="M161" s="109"/>
      <c r="N161" s="109"/>
      <c r="O161" s="113" t="s">
        <v>2816</v>
      </c>
    </row>
    <row r="162" spans="1:15" ht="70.05" customHeight="1" outlineLevel="1">
      <c r="A162" s="109" t="s">
        <v>6121</v>
      </c>
      <c r="B162" s="110" t="s">
        <v>6122</v>
      </c>
      <c r="C162" s="110" t="s">
        <v>6123</v>
      </c>
      <c r="D162" s="111" t="s">
        <v>6124</v>
      </c>
      <c r="E162" s="111" t="s">
        <v>6104</v>
      </c>
      <c r="F162" s="109" t="s">
        <v>346</v>
      </c>
      <c r="G162" s="109"/>
      <c r="H162" s="109"/>
      <c r="I162" s="109" t="s">
        <v>346</v>
      </c>
      <c r="J162" s="109"/>
      <c r="K162" s="109"/>
      <c r="L162" s="109" t="s">
        <v>346</v>
      </c>
      <c r="M162" s="109"/>
      <c r="N162" s="109"/>
      <c r="O162" s="113" t="s">
        <v>2816</v>
      </c>
    </row>
    <row r="163" spans="1:15" ht="70.05" customHeight="1" outlineLevel="1">
      <c r="A163" s="109" t="s">
        <v>6125</v>
      </c>
      <c r="B163" s="110" t="s">
        <v>6126</v>
      </c>
      <c r="C163" s="110" t="s">
        <v>6127</v>
      </c>
      <c r="D163" s="111" t="s">
        <v>6128</v>
      </c>
      <c r="E163" s="111" t="s">
        <v>6104</v>
      </c>
      <c r="F163" s="109" t="s">
        <v>346</v>
      </c>
      <c r="G163" s="109"/>
      <c r="H163" s="109"/>
      <c r="I163" s="109" t="s">
        <v>346</v>
      </c>
      <c r="J163" s="109"/>
      <c r="K163" s="109"/>
      <c r="L163" s="109" t="s">
        <v>346</v>
      </c>
      <c r="M163" s="109"/>
      <c r="N163" s="109"/>
      <c r="O163" s="113" t="s">
        <v>2816</v>
      </c>
    </row>
    <row r="164" spans="1:15" ht="70.05" customHeight="1" outlineLevel="1">
      <c r="A164" s="109" t="s">
        <v>6129</v>
      </c>
      <c r="B164" s="110" t="s">
        <v>6130</v>
      </c>
      <c r="C164" s="110" t="s">
        <v>6131</v>
      </c>
      <c r="D164" s="111" t="s">
        <v>6132</v>
      </c>
      <c r="E164" s="111" t="s">
        <v>6133</v>
      </c>
      <c r="F164" s="109" t="s">
        <v>346</v>
      </c>
      <c r="G164" s="109"/>
      <c r="H164" s="109"/>
      <c r="I164" s="109" t="s">
        <v>346</v>
      </c>
      <c r="J164" s="109"/>
      <c r="K164" s="109"/>
      <c r="L164" s="109" t="s">
        <v>346</v>
      </c>
      <c r="M164" s="109"/>
      <c r="N164" s="109"/>
      <c r="O164" s="113" t="s">
        <v>2816</v>
      </c>
    </row>
    <row r="165" spans="1:15" ht="70.05" customHeight="1" outlineLevel="1">
      <c r="A165" s="109" t="s">
        <v>6134</v>
      </c>
      <c r="B165" s="110" t="s">
        <v>6135</v>
      </c>
      <c r="C165" s="110" t="s">
        <v>6136</v>
      </c>
      <c r="D165" s="111" t="s">
        <v>6137</v>
      </c>
      <c r="E165" s="111" t="s">
        <v>6104</v>
      </c>
      <c r="F165" s="109" t="s">
        <v>346</v>
      </c>
      <c r="G165" s="109"/>
      <c r="H165" s="109"/>
      <c r="I165" s="109" t="s">
        <v>346</v>
      </c>
      <c r="J165" s="109"/>
      <c r="K165" s="109"/>
      <c r="L165" s="109" t="s">
        <v>346</v>
      </c>
      <c r="M165" s="109"/>
      <c r="N165" s="109"/>
      <c r="O165" s="113" t="s">
        <v>2816</v>
      </c>
    </row>
    <row r="166" spans="1:15" ht="70.05" customHeight="1" outlineLevel="1">
      <c r="A166" s="109" t="s">
        <v>6138</v>
      </c>
      <c r="B166" s="110" t="s">
        <v>6139</v>
      </c>
      <c r="C166" s="110" t="s">
        <v>6140</v>
      </c>
      <c r="D166" s="111" t="s">
        <v>6141</v>
      </c>
      <c r="E166" s="111" t="s">
        <v>6104</v>
      </c>
      <c r="F166" s="109" t="s">
        <v>346</v>
      </c>
      <c r="G166" s="109"/>
      <c r="H166" s="109"/>
      <c r="I166" s="109" t="s">
        <v>346</v>
      </c>
      <c r="J166" s="109"/>
      <c r="K166" s="109"/>
      <c r="L166" s="109" t="s">
        <v>346</v>
      </c>
      <c r="M166" s="109"/>
      <c r="N166" s="109"/>
      <c r="O166" s="113" t="s">
        <v>2816</v>
      </c>
    </row>
    <row r="167" spans="1:15" ht="70.05" customHeight="1" outlineLevel="1">
      <c r="A167" s="109" t="s">
        <v>6142</v>
      </c>
      <c r="B167" s="110" t="s">
        <v>6143</v>
      </c>
      <c r="C167" s="110" t="s">
        <v>6144</v>
      </c>
      <c r="D167" s="111" t="s">
        <v>6145</v>
      </c>
      <c r="E167" s="111" t="s">
        <v>6104</v>
      </c>
      <c r="F167" s="109" t="s">
        <v>346</v>
      </c>
      <c r="G167" s="109"/>
      <c r="H167" s="109"/>
      <c r="I167" s="109" t="s">
        <v>346</v>
      </c>
      <c r="J167" s="109"/>
      <c r="K167" s="109"/>
      <c r="L167" s="109" t="s">
        <v>346</v>
      </c>
      <c r="M167" s="109"/>
      <c r="N167" s="109"/>
      <c r="O167" s="113" t="s">
        <v>2816</v>
      </c>
    </row>
    <row r="168" spans="1:15" ht="70.05" customHeight="1" outlineLevel="1">
      <c r="A168" s="109" t="s">
        <v>6146</v>
      </c>
      <c r="B168" s="110" t="s">
        <v>6147</v>
      </c>
      <c r="C168" s="110" t="s">
        <v>6148</v>
      </c>
      <c r="D168" s="111" t="s">
        <v>6149</v>
      </c>
      <c r="E168" s="111" t="s">
        <v>6104</v>
      </c>
      <c r="F168" s="109" t="s">
        <v>346</v>
      </c>
      <c r="G168" s="109"/>
      <c r="H168" s="109"/>
      <c r="I168" s="109" t="s">
        <v>346</v>
      </c>
      <c r="J168" s="109"/>
      <c r="K168" s="109"/>
      <c r="L168" s="109" t="s">
        <v>346</v>
      </c>
      <c r="M168" s="109"/>
      <c r="N168" s="109"/>
      <c r="O168" s="113" t="s">
        <v>2816</v>
      </c>
    </row>
    <row r="169" spans="1:15" ht="70.05" customHeight="1" outlineLevel="1">
      <c r="A169" s="109" t="s">
        <v>6150</v>
      </c>
      <c r="B169" s="110" t="s">
        <v>6151</v>
      </c>
      <c r="C169" s="110" t="s">
        <v>6152</v>
      </c>
      <c r="D169" s="111" t="s">
        <v>6149</v>
      </c>
      <c r="E169" s="111" t="s">
        <v>6104</v>
      </c>
      <c r="F169" s="109" t="s">
        <v>346</v>
      </c>
      <c r="G169" s="109"/>
      <c r="H169" s="109"/>
      <c r="I169" s="109" t="s">
        <v>346</v>
      </c>
      <c r="J169" s="109"/>
      <c r="K169" s="109"/>
      <c r="L169" s="109" t="s">
        <v>346</v>
      </c>
      <c r="M169" s="109"/>
      <c r="N169" s="109"/>
      <c r="O169" s="113" t="s">
        <v>2816</v>
      </c>
    </row>
    <row r="170" spans="1:15" ht="70.05" customHeight="1" outlineLevel="1">
      <c r="A170" s="109" t="s">
        <v>6153</v>
      </c>
      <c r="B170" s="110" t="s">
        <v>6154</v>
      </c>
      <c r="C170" s="110" t="s">
        <v>6155</v>
      </c>
      <c r="D170" s="111" t="s">
        <v>6156</v>
      </c>
      <c r="E170" s="111" t="s">
        <v>6104</v>
      </c>
      <c r="F170" s="109" t="s">
        <v>346</v>
      </c>
      <c r="G170" s="109"/>
      <c r="H170" s="109"/>
      <c r="I170" s="109" t="s">
        <v>346</v>
      </c>
      <c r="J170" s="109"/>
      <c r="K170" s="109"/>
      <c r="L170" s="109" t="s">
        <v>346</v>
      </c>
      <c r="M170" s="109"/>
      <c r="N170" s="109"/>
      <c r="O170" s="113" t="s">
        <v>2816</v>
      </c>
    </row>
    <row r="171" spans="1:15" ht="70.05" customHeight="1" outlineLevel="1">
      <c r="A171" s="109" t="s">
        <v>6157</v>
      </c>
      <c r="B171" s="110" t="s">
        <v>6158</v>
      </c>
      <c r="C171" s="110" t="s">
        <v>6159</v>
      </c>
      <c r="D171" s="111" t="s">
        <v>6160</v>
      </c>
      <c r="E171" s="111" t="s">
        <v>6104</v>
      </c>
      <c r="F171" s="109" t="s">
        <v>346</v>
      </c>
      <c r="G171" s="109"/>
      <c r="H171" s="109"/>
      <c r="I171" s="109" t="s">
        <v>346</v>
      </c>
      <c r="J171" s="109"/>
      <c r="K171" s="109"/>
      <c r="L171" s="109" t="s">
        <v>346</v>
      </c>
      <c r="M171" s="109"/>
      <c r="N171" s="109"/>
      <c r="O171" s="113" t="s">
        <v>2816</v>
      </c>
    </row>
    <row r="172" spans="1:15" ht="70.05" customHeight="1" outlineLevel="1">
      <c r="A172" s="109" t="s">
        <v>6161</v>
      </c>
      <c r="B172" s="110" t="s">
        <v>6162</v>
      </c>
      <c r="C172" s="110" t="s">
        <v>6163</v>
      </c>
      <c r="D172" s="111" t="s">
        <v>6164</v>
      </c>
      <c r="E172" s="111" t="s">
        <v>6104</v>
      </c>
      <c r="F172" s="109" t="s">
        <v>346</v>
      </c>
      <c r="G172" s="109"/>
      <c r="H172" s="109"/>
      <c r="I172" s="109" t="s">
        <v>346</v>
      </c>
      <c r="J172" s="109"/>
      <c r="K172" s="109"/>
      <c r="L172" s="109" t="s">
        <v>346</v>
      </c>
      <c r="M172" s="109"/>
      <c r="N172" s="109"/>
      <c r="O172" s="113" t="s">
        <v>2816</v>
      </c>
    </row>
    <row r="173" spans="1:15" ht="70.05" customHeight="1" outlineLevel="1">
      <c r="A173" s="109" t="s">
        <v>6165</v>
      </c>
      <c r="B173" s="110" t="s">
        <v>6166</v>
      </c>
      <c r="C173" s="110" t="s">
        <v>6107</v>
      </c>
      <c r="D173" s="111" t="s">
        <v>4055</v>
      </c>
      <c r="E173" s="111" t="s">
        <v>6167</v>
      </c>
      <c r="F173" s="109" t="s">
        <v>346</v>
      </c>
      <c r="G173" s="109"/>
      <c r="H173" s="109"/>
      <c r="I173" s="109" t="s">
        <v>346</v>
      </c>
      <c r="J173" s="109"/>
      <c r="K173" s="109"/>
      <c r="L173" s="109" t="s">
        <v>346</v>
      </c>
      <c r="M173" s="109"/>
      <c r="N173" s="109"/>
      <c r="O173" s="113" t="s">
        <v>2816</v>
      </c>
    </row>
    <row r="174" spans="1:15" ht="70.05" customHeight="1" outlineLevel="1">
      <c r="A174" s="109" t="s">
        <v>6168</v>
      </c>
      <c r="B174" s="110" t="s">
        <v>6169</v>
      </c>
      <c r="C174" s="110" t="s">
        <v>6102</v>
      </c>
      <c r="D174" s="111" t="s">
        <v>4055</v>
      </c>
      <c r="E174" s="111" t="s">
        <v>6167</v>
      </c>
      <c r="F174" s="109" t="s">
        <v>346</v>
      </c>
      <c r="G174" s="109"/>
      <c r="H174" s="109"/>
      <c r="I174" s="109" t="s">
        <v>346</v>
      </c>
      <c r="J174" s="109"/>
      <c r="K174" s="109"/>
      <c r="L174" s="109" t="s">
        <v>346</v>
      </c>
      <c r="M174" s="109"/>
      <c r="N174" s="109"/>
      <c r="O174" s="113" t="s">
        <v>2816</v>
      </c>
    </row>
    <row r="175" spans="1:15" ht="15.75" customHeight="1">
      <c r="A175" s="60" t="s">
        <v>255</v>
      </c>
      <c r="B175" s="60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2"/>
    </row>
    <row r="176" spans="1:15" ht="70.05" customHeight="1" outlineLevel="1">
      <c r="A176" s="109" t="s">
        <v>6170</v>
      </c>
      <c r="B176" s="110" t="s">
        <v>6171</v>
      </c>
      <c r="C176" s="110" t="s">
        <v>6172</v>
      </c>
      <c r="D176" s="111" t="s">
        <v>6173</v>
      </c>
      <c r="E176" s="111" t="s">
        <v>5592</v>
      </c>
      <c r="F176" s="109" t="s">
        <v>344</v>
      </c>
      <c r="G176" s="112">
        <v>46300</v>
      </c>
      <c r="H176" s="109" t="s">
        <v>5722</v>
      </c>
      <c r="I176" s="109" t="s">
        <v>346</v>
      </c>
      <c r="J176" s="109"/>
      <c r="K176" s="109"/>
      <c r="L176" s="109" t="s">
        <v>346</v>
      </c>
      <c r="M176" s="109"/>
      <c r="N176" s="109"/>
      <c r="O176" s="113"/>
    </row>
    <row r="177" spans="1:15" ht="70.05" customHeight="1" outlineLevel="1">
      <c r="A177" s="109" t="s">
        <v>6174</v>
      </c>
      <c r="B177" s="110" t="s">
        <v>6175</v>
      </c>
      <c r="C177" s="110" t="s">
        <v>6176</v>
      </c>
      <c r="D177" s="111" t="s">
        <v>6177</v>
      </c>
      <c r="E177" s="111" t="s">
        <v>5592</v>
      </c>
      <c r="F177" s="109" t="s">
        <v>344</v>
      </c>
      <c r="G177" s="112">
        <v>46300</v>
      </c>
      <c r="H177" s="109" t="s">
        <v>5722</v>
      </c>
      <c r="I177" s="109" t="s">
        <v>346</v>
      </c>
      <c r="J177" s="109"/>
      <c r="K177" s="109"/>
      <c r="L177" s="109" t="s">
        <v>346</v>
      </c>
      <c r="M177" s="109"/>
      <c r="N177" s="109"/>
      <c r="O177" s="113"/>
    </row>
    <row r="178" spans="1:15" ht="70.05" customHeight="1" outlineLevel="1">
      <c r="A178" s="109" t="s">
        <v>6178</v>
      </c>
      <c r="B178" s="110" t="s">
        <v>6171</v>
      </c>
      <c r="C178" s="110" t="s">
        <v>6179</v>
      </c>
      <c r="D178" s="111" t="s">
        <v>6180</v>
      </c>
      <c r="E178" s="111" t="s">
        <v>5592</v>
      </c>
      <c r="F178" s="109" t="s">
        <v>344</v>
      </c>
      <c r="G178" s="112">
        <v>46300</v>
      </c>
      <c r="H178" s="109" t="s">
        <v>5722</v>
      </c>
      <c r="I178" s="109" t="s">
        <v>346</v>
      </c>
      <c r="J178" s="109"/>
      <c r="K178" s="109"/>
      <c r="L178" s="109" t="s">
        <v>346</v>
      </c>
      <c r="M178" s="109"/>
      <c r="N178" s="109"/>
      <c r="O178" s="113"/>
    </row>
    <row r="179" spans="1:15" ht="70.05" customHeight="1" outlineLevel="1">
      <c r="A179" s="109" t="s">
        <v>6181</v>
      </c>
      <c r="B179" s="110" t="s">
        <v>6171</v>
      </c>
      <c r="C179" s="110" t="s">
        <v>6182</v>
      </c>
      <c r="D179" s="111" t="s">
        <v>6183</v>
      </c>
      <c r="E179" s="111" t="s">
        <v>5592</v>
      </c>
      <c r="F179" s="109" t="s">
        <v>344</v>
      </c>
      <c r="G179" s="112">
        <v>46300</v>
      </c>
      <c r="H179" s="109" t="s">
        <v>5722</v>
      </c>
      <c r="I179" s="109" t="s">
        <v>346</v>
      </c>
      <c r="J179" s="109"/>
      <c r="K179" s="109"/>
      <c r="L179" s="109" t="s">
        <v>346</v>
      </c>
      <c r="M179" s="109"/>
      <c r="N179" s="109"/>
      <c r="O179" s="113"/>
    </row>
    <row r="180" spans="1:15" ht="70.05" customHeight="1" outlineLevel="1">
      <c r="A180" s="109" t="s">
        <v>6184</v>
      </c>
      <c r="B180" s="110" t="s">
        <v>6171</v>
      </c>
      <c r="C180" s="110" t="s">
        <v>6185</v>
      </c>
      <c r="D180" s="111" t="s">
        <v>6186</v>
      </c>
      <c r="E180" s="111" t="s">
        <v>5592</v>
      </c>
      <c r="F180" s="109" t="s">
        <v>344</v>
      </c>
      <c r="G180" s="112">
        <v>46300</v>
      </c>
      <c r="H180" s="109" t="s">
        <v>5722</v>
      </c>
      <c r="I180" s="109" t="s">
        <v>346</v>
      </c>
      <c r="J180" s="109"/>
      <c r="K180" s="109"/>
      <c r="L180" s="109" t="s">
        <v>346</v>
      </c>
      <c r="M180" s="109"/>
      <c r="N180" s="109"/>
      <c r="O180" s="113"/>
    </row>
    <row r="181" spans="1:15" ht="70.05" customHeight="1" outlineLevel="1">
      <c r="A181" s="109" t="s">
        <v>6187</v>
      </c>
      <c r="B181" s="110" t="s">
        <v>6171</v>
      </c>
      <c r="C181" s="110" t="s">
        <v>6188</v>
      </c>
      <c r="D181" s="111" t="s">
        <v>6189</v>
      </c>
      <c r="E181" s="111" t="s">
        <v>5592</v>
      </c>
      <c r="F181" s="109" t="s">
        <v>344</v>
      </c>
      <c r="G181" s="112">
        <v>46300</v>
      </c>
      <c r="H181" s="109" t="s">
        <v>5722</v>
      </c>
      <c r="I181" s="109" t="s">
        <v>346</v>
      </c>
      <c r="J181" s="109"/>
      <c r="K181" s="109"/>
      <c r="L181" s="109" t="s">
        <v>346</v>
      </c>
      <c r="M181" s="109"/>
      <c r="N181" s="109"/>
      <c r="O181" s="113"/>
    </row>
    <row r="182" spans="1:15" ht="70.05" customHeight="1" outlineLevel="1">
      <c r="A182" s="109" t="s">
        <v>6190</v>
      </c>
      <c r="B182" s="110" t="s">
        <v>6191</v>
      </c>
      <c r="C182" s="110" t="s">
        <v>6192</v>
      </c>
      <c r="D182" s="111" t="s">
        <v>6193</v>
      </c>
      <c r="E182" s="111" t="s">
        <v>5592</v>
      </c>
      <c r="F182" s="109" t="s">
        <v>344</v>
      </c>
      <c r="G182" s="112">
        <v>46300</v>
      </c>
      <c r="H182" s="109" t="s">
        <v>5722</v>
      </c>
      <c r="I182" s="109" t="s">
        <v>346</v>
      </c>
      <c r="J182" s="109"/>
      <c r="K182" s="109"/>
      <c r="L182" s="109" t="s">
        <v>346</v>
      </c>
      <c r="M182" s="109"/>
      <c r="N182" s="109"/>
      <c r="O182" s="113"/>
    </row>
    <row r="183" spans="1:15" ht="70.05" customHeight="1" outlineLevel="1">
      <c r="A183" s="109" t="s">
        <v>6194</v>
      </c>
      <c r="B183" s="110" t="s">
        <v>6171</v>
      </c>
      <c r="C183" s="110" t="s">
        <v>6172</v>
      </c>
      <c r="D183" s="111" t="s">
        <v>6195</v>
      </c>
      <c r="E183" s="111" t="s">
        <v>6196</v>
      </c>
      <c r="F183" s="109" t="s">
        <v>344</v>
      </c>
      <c r="G183" s="112">
        <v>46300</v>
      </c>
      <c r="H183" s="109" t="s">
        <v>5722</v>
      </c>
      <c r="I183" s="109" t="s">
        <v>346</v>
      </c>
      <c r="J183" s="109"/>
      <c r="K183" s="109"/>
      <c r="L183" s="109" t="s">
        <v>346</v>
      </c>
      <c r="M183" s="109"/>
      <c r="N183" s="109"/>
      <c r="O183" s="113"/>
    </row>
    <row r="184" spans="1:15" ht="70.05" customHeight="1" outlineLevel="1">
      <c r="A184" s="109" t="s">
        <v>6197</v>
      </c>
      <c r="B184" s="110" t="s">
        <v>6198</v>
      </c>
      <c r="C184" s="110" t="s">
        <v>6199</v>
      </c>
      <c r="D184" s="111" t="s">
        <v>6200</v>
      </c>
      <c r="E184" s="111" t="s">
        <v>5592</v>
      </c>
      <c r="F184" s="109" t="s">
        <v>344</v>
      </c>
      <c r="G184" s="112">
        <v>46300</v>
      </c>
      <c r="H184" s="109" t="s">
        <v>5722</v>
      </c>
      <c r="I184" s="109" t="s">
        <v>346</v>
      </c>
      <c r="J184" s="109"/>
      <c r="K184" s="109"/>
      <c r="L184" s="109" t="s">
        <v>346</v>
      </c>
      <c r="M184" s="109"/>
      <c r="N184" s="109"/>
      <c r="O184" s="113"/>
    </row>
    <row r="185" spans="1:15" ht="70.05" customHeight="1" outlineLevel="1">
      <c r="A185" s="109" t="s">
        <v>6201</v>
      </c>
      <c r="B185" s="110" t="s">
        <v>6198</v>
      </c>
      <c r="C185" s="110" t="s">
        <v>6202</v>
      </c>
      <c r="D185" s="111" t="s">
        <v>6203</v>
      </c>
      <c r="E185" s="111" t="s">
        <v>5592</v>
      </c>
      <c r="F185" s="109" t="s">
        <v>344</v>
      </c>
      <c r="G185" s="112">
        <v>46300</v>
      </c>
      <c r="H185" s="109" t="s">
        <v>5722</v>
      </c>
      <c r="I185" s="109" t="s">
        <v>346</v>
      </c>
      <c r="J185" s="109"/>
      <c r="K185" s="109"/>
      <c r="L185" s="109" t="s">
        <v>346</v>
      </c>
      <c r="M185" s="109"/>
      <c r="N185" s="109"/>
      <c r="O185" s="113"/>
    </row>
    <row r="186" spans="1:15" ht="70.05" customHeight="1" outlineLevel="1">
      <c r="A186" s="109" t="s">
        <v>6204</v>
      </c>
      <c r="B186" s="110" t="s">
        <v>6198</v>
      </c>
      <c r="C186" s="110" t="s">
        <v>6205</v>
      </c>
      <c r="D186" s="111" t="s">
        <v>6206</v>
      </c>
      <c r="E186" s="111" t="s">
        <v>5592</v>
      </c>
      <c r="F186" s="109" t="s">
        <v>344</v>
      </c>
      <c r="G186" s="112">
        <v>46300</v>
      </c>
      <c r="H186" s="109" t="s">
        <v>5722</v>
      </c>
      <c r="I186" s="109" t="s">
        <v>346</v>
      </c>
      <c r="J186" s="109"/>
      <c r="K186" s="109"/>
      <c r="L186" s="109" t="s">
        <v>346</v>
      </c>
      <c r="M186" s="109"/>
      <c r="N186" s="109"/>
      <c r="O186" s="113"/>
    </row>
    <row r="187" spans="1:15" ht="70.05" customHeight="1" outlineLevel="1">
      <c r="A187" s="109" t="s">
        <v>6207</v>
      </c>
      <c r="B187" s="110" t="s">
        <v>6198</v>
      </c>
      <c r="C187" s="110" t="s">
        <v>6208</v>
      </c>
      <c r="D187" s="111" t="s">
        <v>6203</v>
      </c>
      <c r="E187" s="111" t="s">
        <v>5592</v>
      </c>
      <c r="F187" s="109" t="s">
        <v>344</v>
      </c>
      <c r="G187" s="112">
        <v>46300</v>
      </c>
      <c r="H187" s="109" t="s">
        <v>5722</v>
      </c>
      <c r="I187" s="109" t="s">
        <v>346</v>
      </c>
      <c r="J187" s="109"/>
      <c r="K187" s="109"/>
      <c r="L187" s="109" t="s">
        <v>346</v>
      </c>
      <c r="M187" s="109"/>
      <c r="N187" s="109"/>
      <c r="O187" s="113"/>
    </row>
    <row r="188" spans="1:15" ht="70.05" customHeight="1" outlineLevel="1">
      <c r="A188" s="109" t="s">
        <v>6209</v>
      </c>
      <c r="B188" s="110" t="s">
        <v>6210</v>
      </c>
      <c r="C188" s="110" t="s">
        <v>6172</v>
      </c>
      <c r="D188" s="111" t="s">
        <v>6211</v>
      </c>
      <c r="E188" s="111" t="s">
        <v>6212</v>
      </c>
      <c r="F188" s="109" t="s">
        <v>344</v>
      </c>
      <c r="G188" s="112">
        <v>46300</v>
      </c>
      <c r="H188" s="109" t="s">
        <v>5722</v>
      </c>
      <c r="I188" s="109" t="s">
        <v>346</v>
      </c>
      <c r="J188" s="109"/>
      <c r="K188" s="109"/>
      <c r="L188" s="109" t="s">
        <v>346</v>
      </c>
      <c r="M188" s="109"/>
      <c r="N188" s="109"/>
      <c r="O188" s="113"/>
    </row>
    <row r="189" spans="1:15" ht="70.05" customHeight="1" outlineLevel="1">
      <c r="A189" s="109" t="s">
        <v>6213</v>
      </c>
      <c r="B189" s="110" t="s">
        <v>6210</v>
      </c>
      <c r="C189" s="110" t="s">
        <v>6172</v>
      </c>
      <c r="D189" s="111" t="s">
        <v>6214</v>
      </c>
      <c r="E189" s="111" t="s">
        <v>5649</v>
      </c>
      <c r="F189" s="109" t="s">
        <v>344</v>
      </c>
      <c r="G189" s="112">
        <v>46300</v>
      </c>
      <c r="H189" s="109" t="s">
        <v>5722</v>
      </c>
      <c r="I189" s="109" t="s">
        <v>346</v>
      </c>
      <c r="J189" s="109"/>
      <c r="K189" s="109"/>
      <c r="L189" s="109" t="s">
        <v>346</v>
      </c>
      <c r="M189" s="109"/>
      <c r="N189" s="109"/>
      <c r="O189" s="113"/>
    </row>
    <row r="190" spans="1:15" ht="70.05" customHeight="1" outlineLevel="1">
      <c r="A190" s="109" t="s">
        <v>6215</v>
      </c>
      <c r="B190" s="110" t="s">
        <v>6216</v>
      </c>
      <c r="C190" s="110" t="s">
        <v>6217</v>
      </c>
      <c r="D190" s="111" t="s">
        <v>6218</v>
      </c>
      <c r="E190" s="111" t="s">
        <v>5592</v>
      </c>
      <c r="F190" s="109" t="s">
        <v>344</v>
      </c>
      <c r="G190" s="112">
        <v>46300</v>
      </c>
      <c r="H190" s="109" t="s">
        <v>5722</v>
      </c>
      <c r="I190" s="109" t="s">
        <v>346</v>
      </c>
      <c r="J190" s="109"/>
      <c r="K190" s="109"/>
      <c r="L190" s="109" t="s">
        <v>346</v>
      </c>
      <c r="M190" s="109"/>
      <c r="N190" s="109"/>
      <c r="O190" s="113"/>
    </row>
    <row r="191" spans="1:15" ht="70.05" customHeight="1" outlineLevel="1">
      <c r="A191" s="109" t="s">
        <v>6219</v>
      </c>
      <c r="B191" s="110" t="s">
        <v>6220</v>
      </c>
      <c r="C191" s="110" t="s">
        <v>6221</v>
      </c>
      <c r="D191" s="111" t="s">
        <v>5699</v>
      </c>
      <c r="E191" s="111" t="s">
        <v>5592</v>
      </c>
      <c r="F191" s="109" t="s">
        <v>344</v>
      </c>
      <c r="G191" s="112">
        <v>46300</v>
      </c>
      <c r="H191" s="109" t="s">
        <v>5722</v>
      </c>
      <c r="I191" s="109" t="s">
        <v>346</v>
      </c>
      <c r="J191" s="109"/>
      <c r="K191" s="109"/>
      <c r="L191" s="109" t="s">
        <v>346</v>
      </c>
      <c r="M191" s="109"/>
      <c r="N191" s="109"/>
      <c r="O191" s="113"/>
    </row>
    <row r="192" spans="1:15" ht="70.05" customHeight="1" outlineLevel="1">
      <c r="A192" s="109" t="s">
        <v>6222</v>
      </c>
      <c r="B192" s="110" t="s">
        <v>6223</v>
      </c>
      <c r="C192" s="110" t="s">
        <v>6224</v>
      </c>
      <c r="D192" s="111" t="s">
        <v>6225</v>
      </c>
      <c r="E192" s="111" t="s">
        <v>5592</v>
      </c>
      <c r="F192" s="109" t="s">
        <v>344</v>
      </c>
      <c r="G192" s="112">
        <v>46300</v>
      </c>
      <c r="H192" s="109" t="s">
        <v>5722</v>
      </c>
      <c r="I192" s="109" t="s">
        <v>346</v>
      </c>
      <c r="J192" s="109"/>
      <c r="K192" s="109"/>
      <c r="L192" s="109" t="s">
        <v>346</v>
      </c>
      <c r="M192" s="109"/>
      <c r="N192" s="109"/>
      <c r="O192" s="113"/>
    </row>
    <row r="193" spans="1:15" ht="15.75" customHeight="1">
      <c r="A193" s="60" t="s">
        <v>257</v>
      </c>
      <c r="B193" s="60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2"/>
    </row>
    <row r="194" spans="1:15" ht="70.05" customHeight="1" outlineLevel="1">
      <c r="A194" s="109" t="s">
        <v>6226</v>
      </c>
      <c r="B194" s="110" t="s">
        <v>6227</v>
      </c>
      <c r="C194" s="110" t="s">
        <v>6228</v>
      </c>
      <c r="D194" s="111" t="s">
        <v>6229</v>
      </c>
      <c r="E194" s="111" t="s">
        <v>5654</v>
      </c>
      <c r="F194" s="109" t="s">
        <v>346</v>
      </c>
      <c r="G194" s="109"/>
      <c r="H194" s="109"/>
      <c r="I194" s="109" t="s">
        <v>346</v>
      </c>
      <c r="J194" s="109"/>
      <c r="K194" s="109"/>
      <c r="L194" s="109" t="s">
        <v>346</v>
      </c>
      <c r="M194" s="109"/>
      <c r="N194" s="109"/>
      <c r="O194" s="113" t="s">
        <v>2816</v>
      </c>
    </row>
    <row r="195" spans="1:15" ht="70.05" customHeight="1" outlineLevel="1">
      <c r="A195" s="109" t="s">
        <v>6230</v>
      </c>
      <c r="B195" s="110" t="s">
        <v>6231</v>
      </c>
      <c r="C195" s="110" t="s">
        <v>6232</v>
      </c>
      <c r="D195" s="111" t="s">
        <v>6233</v>
      </c>
      <c r="E195" s="111" t="s">
        <v>5654</v>
      </c>
      <c r="F195" s="109" t="s">
        <v>346</v>
      </c>
      <c r="G195" s="109"/>
      <c r="H195" s="109"/>
      <c r="I195" s="109" t="s">
        <v>346</v>
      </c>
      <c r="J195" s="109"/>
      <c r="K195" s="109"/>
      <c r="L195" s="109" t="s">
        <v>346</v>
      </c>
      <c r="M195" s="109"/>
      <c r="N195" s="109"/>
      <c r="O195" s="113" t="s">
        <v>2816</v>
      </c>
    </row>
    <row r="196" spans="1:15" ht="70.05" customHeight="1" outlineLevel="1">
      <c r="A196" s="109" t="s">
        <v>6234</v>
      </c>
      <c r="B196" s="110" t="s">
        <v>6235</v>
      </c>
      <c r="C196" s="110" t="s">
        <v>6236</v>
      </c>
      <c r="D196" s="111" t="s">
        <v>6237</v>
      </c>
      <c r="E196" s="111" t="s">
        <v>5654</v>
      </c>
      <c r="F196" s="109" t="s">
        <v>346</v>
      </c>
      <c r="G196" s="109"/>
      <c r="H196" s="109"/>
      <c r="I196" s="109" t="s">
        <v>346</v>
      </c>
      <c r="J196" s="109"/>
      <c r="K196" s="109"/>
      <c r="L196" s="109" t="s">
        <v>346</v>
      </c>
      <c r="M196" s="109"/>
      <c r="N196" s="109"/>
      <c r="O196" s="113" t="s">
        <v>2816</v>
      </c>
    </row>
    <row r="197" spans="1:15" ht="70.05" customHeight="1" outlineLevel="1">
      <c r="A197" s="109" t="s">
        <v>6238</v>
      </c>
      <c r="B197" s="110" t="s">
        <v>6239</v>
      </c>
      <c r="C197" s="110" t="s">
        <v>6240</v>
      </c>
      <c r="D197" s="111" t="s">
        <v>6241</v>
      </c>
      <c r="E197" s="111" t="s">
        <v>5654</v>
      </c>
      <c r="F197" s="109" t="s">
        <v>346</v>
      </c>
      <c r="G197" s="109"/>
      <c r="H197" s="109"/>
      <c r="I197" s="109" t="s">
        <v>346</v>
      </c>
      <c r="J197" s="109"/>
      <c r="K197" s="109"/>
      <c r="L197" s="109" t="s">
        <v>346</v>
      </c>
      <c r="M197" s="109"/>
      <c r="N197" s="109"/>
      <c r="O197" s="113" t="s">
        <v>2816</v>
      </c>
    </row>
    <row r="198" spans="1:15" ht="70.05" customHeight="1" outlineLevel="1">
      <c r="A198" s="109" t="s">
        <v>6242</v>
      </c>
      <c r="B198" s="110" t="s">
        <v>6243</v>
      </c>
      <c r="C198" s="110" t="s">
        <v>6244</v>
      </c>
      <c r="D198" s="111" t="s">
        <v>6245</v>
      </c>
      <c r="E198" s="111" t="s">
        <v>5654</v>
      </c>
      <c r="F198" s="109" t="s">
        <v>346</v>
      </c>
      <c r="G198" s="109"/>
      <c r="H198" s="109"/>
      <c r="I198" s="109" t="s">
        <v>346</v>
      </c>
      <c r="J198" s="109"/>
      <c r="K198" s="109"/>
      <c r="L198" s="109" t="s">
        <v>346</v>
      </c>
      <c r="M198" s="109"/>
      <c r="N198" s="109"/>
      <c r="O198" s="113" t="s">
        <v>2816</v>
      </c>
    </row>
    <row r="199" spans="1:15" ht="70.05" customHeight="1" outlineLevel="1">
      <c r="A199" s="109" t="s">
        <v>6246</v>
      </c>
      <c r="B199" s="110" t="s">
        <v>6239</v>
      </c>
      <c r="C199" s="110" t="s">
        <v>6240</v>
      </c>
      <c r="D199" s="111" t="s">
        <v>6247</v>
      </c>
      <c r="E199" s="111" t="s">
        <v>5654</v>
      </c>
      <c r="F199" s="109" t="s">
        <v>346</v>
      </c>
      <c r="G199" s="109"/>
      <c r="H199" s="109"/>
      <c r="I199" s="109" t="s">
        <v>346</v>
      </c>
      <c r="J199" s="109"/>
      <c r="K199" s="109"/>
      <c r="L199" s="109" t="s">
        <v>346</v>
      </c>
      <c r="M199" s="109"/>
      <c r="N199" s="109"/>
      <c r="O199" s="113" t="s">
        <v>2816</v>
      </c>
    </row>
    <row r="200" spans="1:15" ht="70.05" customHeight="1" outlineLevel="1">
      <c r="A200" s="109" t="s">
        <v>6248</v>
      </c>
      <c r="B200" s="110" t="s">
        <v>6239</v>
      </c>
      <c r="C200" s="110" t="s">
        <v>6240</v>
      </c>
      <c r="D200" s="111" t="s">
        <v>6249</v>
      </c>
      <c r="E200" s="111" t="s">
        <v>6250</v>
      </c>
      <c r="F200" s="109" t="s">
        <v>346</v>
      </c>
      <c r="G200" s="109"/>
      <c r="H200" s="109"/>
      <c r="I200" s="109" t="s">
        <v>346</v>
      </c>
      <c r="J200" s="109"/>
      <c r="K200" s="109"/>
      <c r="L200" s="109" t="s">
        <v>346</v>
      </c>
      <c r="M200" s="109"/>
      <c r="N200" s="109"/>
      <c r="O200" s="113" t="s">
        <v>2816</v>
      </c>
    </row>
    <row r="201" spans="1:15" ht="70.05" customHeight="1" outlineLevel="1">
      <c r="A201" s="109" t="s">
        <v>6251</v>
      </c>
      <c r="B201" s="110" t="s">
        <v>6252</v>
      </c>
      <c r="C201" s="110" t="s">
        <v>6253</v>
      </c>
      <c r="D201" s="111" t="s">
        <v>6254</v>
      </c>
      <c r="E201" s="111" t="s">
        <v>5654</v>
      </c>
      <c r="F201" s="109" t="s">
        <v>346</v>
      </c>
      <c r="G201" s="109"/>
      <c r="H201" s="109"/>
      <c r="I201" s="109" t="s">
        <v>346</v>
      </c>
      <c r="J201" s="109"/>
      <c r="K201" s="109"/>
      <c r="L201" s="109" t="s">
        <v>346</v>
      </c>
      <c r="M201" s="109"/>
      <c r="N201" s="109"/>
      <c r="O201" s="113" t="s">
        <v>2816</v>
      </c>
    </row>
    <row r="202" spans="1:15" ht="70.05" customHeight="1" outlineLevel="1">
      <c r="A202" s="109" t="s">
        <v>6255</v>
      </c>
      <c r="B202" s="110" t="s">
        <v>6256</v>
      </c>
      <c r="C202" s="110" t="s">
        <v>6257</v>
      </c>
      <c r="D202" s="111" t="s">
        <v>6258</v>
      </c>
      <c r="E202" s="111" t="s">
        <v>5654</v>
      </c>
      <c r="F202" s="109" t="s">
        <v>346</v>
      </c>
      <c r="G202" s="109"/>
      <c r="H202" s="109"/>
      <c r="I202" s="109" t="s">
        <v>346</v>
      </c>
      <c r="J202" s="109"/>
      <c r="K202" s="109"/>
      <c r="L202" s="109" t="s">
        <v>346</v>
      </c>
      <c r="M202" s="109"/>
      <c r="N202" s="109"/>
      <c r="O202" s="113" t="s">
        <v>2816</v>
      </c>
    </row>
    <row r="203" spans="1:15" ht="70.05" customHeight="1" outlineLevel="1">
      <c r="A203" s="109" t="s">
        <v>6259</v>
      </c>
      <c r="B203" s="110" t="s">
        <v>6260</v>
      </c>
      <c r="C203" s="110" t="s">
        <v>6240</v>
      </c>
      <c r="D203" s="111" t="s">
        <v>6261</v>
      </c>
      <c r="E203" s="111" t="s">
        <v>6262</v>
      </c>
      <c r="F203" s="109" t="s">
        <v>346</v>
      </c>
      <c r="G203" s="109"/>
      <c r="H203" s="109"/>
      <c r="I203" s="109" t="s">
        <v>346</v>
      </c>
      <c r="J203" s="109"/>
      <c r="K203" s="109"/>
      <c r="L203" s="109" t="s">
        <v>346</v>
      </c>
      <c r="M203" s="109"/>
      <c r="N203" s="109"/>
      <c r="O203" s="113" t="s">
        <v>2816</v>
      </c>
    </row>
    <row r="204" spans="1:15" ht="70.05" customHeight="1" outlineLevel="1">
      <c r="A204" s="109" t="s">
        <v>6263</v>
      </c>
      <c r="B204" s="110" t="s">
        <v>6264</v>
      </c>
      <c r="C204" s="110" t="s">
        <v>6265</v>
      </c>
      <c r="D204" s="111" t="s">
        <v>6266</v>
      </c>
      <c r="E204" s="111" t="s">
        <v>5654</v>
      </c>
      <c r="F204" s="109" t="s">
        <v>346</v>
      </c>
      <c r="G204" s="109"/>
      <c r="H204" s="109"/>
      <c r="I204" s="109" t="s">
        <v>346</v>
      </c>
      <c r="J204" s="109"/>
      <c r="K204" s="109"/>
      <c r="L204" s="109" t="s">
        <v>346</v>
      </c>
      <c r="M204" s="109"/>
      <c r="N204" s="109"/>
      <c r="O204" s="113" t="s">
        <v>2816</v>
      </c>
    </row>
    <row r="205" spans="1:15" ht="70.05" customHeight="1" outlineLevel="1">
      <c r="A205" s="109" t="s">
        <v>6267</v>
      </c>
      <c r="B205" s="110" t="s">
        <v>6268</v>
      </c>
      <c r="C205" s="110" t="s">
        <v>6269</v>
      </c>
      <c r="D205" s="111" t="s">
        <v>6266</v>
      </c>
      <c r="E205" s="111" t="s">
        <v>5654</v>
      </c>
      <c r="F205" s="109" t="s">
        <v>346</v>
      </c>
      <c r="G205" s="109"/>
      <c r="H205" s="109"/>
      <c r="I205" s="109" t="s">
        <v>346</v>
      </c>
      <c r="J205" s="109"/>
      <c r="K205" s="109"/>
      <c r="L205" s="109" t="s">
        <v>346</v>
      </c>
      <c r="M205" s="109"/>
      <c r="N205" s="109"/>
      <c r="O205" s="113" t="s">
        <v>2816</v>
      </c>
    </row>
    <row r="206" spans="1:15" ht="70.05" customHeight="1" outlineLevel="1">
      <c r="A206" s="109" t="s">
        <v>6270</v>
      </c>
      <c r="B206" s="110" t="s">
        <v>6271</v>
      </c>
      <c r="C206" s="110" t="s">
        <v>6272</v>
      </c>
      <c r="D206" s="111" t="s">
        <v>6273</v>
      </c>
      <c r="E206" s="111" t="s">
        <v>5654</v>
      </c>
      <c r="F206" s="109" t="s">
        <v>346</v>
      </c>
      <c r="G206" s="109"/>
      <c r="H206" s="109"/>
      <c r="I206" s="109" t="s">
        <v>346</v>
      </c>
      <c r="J206" s="109"/>
      <c r="K206" s="109"/>
      <c r="L206" s="109" t="s">
        <v>346</v>
      </c>
      <c r="M206" s="109"/>
      <c r="N206" s="109"/>
      <c r="O206" s="113" t="s">
        <v>2816</v>
      </c>
    </row>
    <row r="207" spans="1:15" ht="70.05" customHeight="1" outlineLevel="1">
      <c r="A207" s="109" t="s">
        <v>6274</v>
      </c>
      <c r="B207" s="110" t="s">
        <v>6275</v>
      </c>
      <c r="C207" s="110" t="s">
        <v>6240</v>
      </c>
      <c r="D207" s="111" t="s">
        <v>5771</v>
      </c>
      <c r="E207" s="111" t="s">
        <v>5772</v>
      </c>
      <c r="F207" s="109" t="s">
        <v>346</v>
      </c>
      <c r="G207" s="109"/>
      <c r="H207" s="109"/>
      <c r="I207" s="109" t="s">
        <v>346</v>
      </c>
      <c r="J207" s="109"/>
      <c r="K207" s="109"/>
      <c r="L207" s="109" t="s">
        <v>346</v>
      </c>
      <c r="M207" s="109"/>
      <c r="N207" s="109"/>
      <c r="O207" s="113" t="s">
        <v>2816</v>
      </c>
    </row>
    <row r="208" spans="1:15" ht="70.05" customHeight="1" outlineLevel="1">
      <c r="A208" s="109" t="s">
        <v>6276</v>
      </c>
      <c r="B208" s="110" t="s">
        <v>6275</v>
      </c>
      <c r="C208" s="110" t="s">
        <v>6240</v>
      </c>
      <c r="D208" s="111" t="s">
        <v>6277</v>
      </c>
      <c r="E208" s="111" t="s">
        <v>6278</v>
      </c>
      <c r="F208" s="109" t="s">
        <v>346</v>
      </c>
      <c r="G208" s="109"/>
      <c r="H208" s="109"/>
      <c r="I208" s="109" t="s">
        <v>346</v>
      </c>
      <c r="J208" s="109"/>
      <c r="K208" s="109"/>
      <c r="L208" s="109" t="s">
        <v>346</v>
      </c>
      <c r="M208" s="109"/>
      <c r="N208" s="109"/>
      <c r="O208" s="113" t="s">
        <v>2816</v>
      </c>
    </row>
    <row r="209" spans="1:15" ht="70.05" customHeight="1" outlineLevel="1">
      <c r="A209" s="109" t="s">
        <v>6279</v>
      </c>
      <c r="B209" s="110" t="s">
        <v>6275</v>
      </c>
      <c r="C209" s="110" t="s">
        <v>6240</v>
      </c>
      <c r="D209" s="111" t="s">
        <v>4055</v>
      </c>
      <c r="E209" s="111" t="s">
        <v>6280</v>
      </c>
      <c r="F209" s="109" t="s">
        <v>346</v>
      </c>
      <c r="G209" s="109"/>
      <c r="H209" s="109"/>
      <c r="I209" s="109" t="s">
        <v>346</v>
      </c>
      <c r="J209" s="109"/>
      <c r="K209" s="109"/>
      <c r="L209" s="109" t="s">
        <v>346</v>
      </c>
      <c r="M209" s="109"/>
      <c r="N209" s="109"/>
      <c r="O209" s="113" t="s">
        <v>2816</v>
      </c>
    </row>
    <row r="210" spans="1:15" ht="15.75" customHeight="1">
      <c r="A210" s="60" t="s">
        <v>259</v>
      </c>
      <c r="B210" s="60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2"/>
    </row>
    <row r="211" spans="1:15" ht="70.05" customHeight="1" outlineLevel="1">
      <c r="A211" s="109" t="s">
        <v>6281</v>
      </c>
      <c r="B211" s="110" t="s">
        <v>6282</v>
      </c>
      <c r="C211" s="110" t="s">
        <v>6283</v>
      </c>
      <c r="D211" s="111" t="s">
        <v>6284</v>
      </c>
      <c r="E211" s="111" t="s">
        <v>6285</v>
      </c>
      <c r="F211" s="109" t="s">
        <v>346</v>
      </c>
      <c r="G211" s="109"/>
      <c r="H211" s="109"/>
      <c r="I211" s="109" t="s">
        <v>346</v>
      </c>
      <c r="J211" s="109"/>
      <c r="K211" s="109"/>
      <c r="L211" s="109" t="s">
        <v>346</v>
      </c>
      <c r="M211" s="109"/>
      <c r="N211" s="109"/>
      <c r="O211" s="113" t="s">
        <v>2816</v>
      </c>
    </row>
    <row r="212" spans="1:15" ht="70.05" customHeight="1" outlineLevel="1">
      <c r="A212" s="109" t="s">
        <v>6286</v>
      </c>
      <c r="B212" s="110" t="s">
        <v>6287</v>
      </c>
      <c r="C212" s="110" t="s">
        <v>6288</v>
      </c>
      <c r="D212" s="111" t="s">
        <v>6289</v>
      </c>
      <c r="E212" s="111" t="s">
        <v>6285</v>
      </c>
      <c r="F212" s="109" t="s">
        <v>346</v>
      </c>
      <c r="G212" s="109"/>
      <c r="H212" s="109"/>
      <c r="I212" s="109" t="s">
        <v>346</v>
      </c>
      <c r="J212" s="109"/>
      <c r="K212" s="109"/>
      <c r="L212" s="109" t="s">
        <v>346</v>
      </c>
      <c r="M212" s="109"/>
      <c r="N212" s="109"/>
      <c r="O212" s="113" t="s">
        <v>2816</v>
      </c>
    </row>
    <row r="213" spans="1:15" ht="70.05" customHeight="1" outlineLevel="1">
      <c r="A213" s="109" t="s">
        <v>6290</v>
      </c>
      <c r="B213" s="110" t="s">
        <v>6291</v>
      </c>
      <c r="C213" s="110" t="s">
        <v>6292</v>
      </c>
      <c r="D213" s="111" t="s">
        <v>6293</v>
      </c>
      <c r="E213" s="111" t="s">
        <v>6285</v>
      </c>
      <c r="F213" s="109" t="s">
        <v>346</v>
      </c>
      <c r="G213" s="109"/>
      <c r="H213" s="109"/>
      <c r="I213" s="109" t="s">
        <v>346</v>
      </c>
      <c r="J213" s="109"/>
      <c r="K213" s="109"/>
      <c r="L213" s="109" t="s">
        <v>346</v>
      </c>
      <c r="M213" s="109"/>
      <c r="N213" s="109"/>
      <c r="O213" s="113" t="s">
        <v>2816</v>
      </c>
    </row>
    <row r="214" spans="1:15" ht="70.05" customHeight="1" outlineLevel="1">
      <c r="A214" s="109" t="s">
        <v>6294</v>
      </c>
      <c r="B214" s="110" t="s">
        <v>6295</v>
      </c>
      <c r="C214" s="110" t="s">
        <v>6296</v>
      </c>
      <c r="D214" s="111" t="s">
        <v>6297</v>
      </c>
      <c r="E214" s="111" t="s">
        <v>6285</v>
      </c>
      <c r="F214" s="109" t="s">
        <v>346</v>
      </c>
      <c r="G214" s="109"/>
      <c r="H214" s="109"/>
      <c r="I214" s="109" t="s">
        <v>346</v>
      </c>
      <c r="J214" s="109"/>
      <c r="K214" s="109"/>
      <c r="L214" s="109" t="s">
        <v>346</v>
      </c>
      <c r="M214" s="109"/>
      <c r="N214" s="109"/>
      <c r="O214" s="113" t="s">
        <v>2816</v>
      </c>
    </row>
    <row r="215" spans="1:15" ht="70.05" customHeight="1" outlineLevel="1">
      <c r="A215" s="109" t="s">
        <v>6298</v>
      </c>
      <c r="B215" s="110" t="s">
        <v>6299</v>
      </c>
      <c r="C215" s="110" t="s">
        <v>6300</v>
      </c>
      <c r="D215" s="111" t="s">
        <v>6301</v>
      </c>
      <c r="E215" s="111" t="s">
        <v>6302</v>
      </c>
      <c r="F215" s="109" t="s">
        <v>346</v>
      </c>
      <c r="G215" s="109"/>
      <c r="H215" s="109"/>
      <c r="I215" s="109" t="s">
        <v>346</v>
      </c>
      <c r="J215" s="109"/>
      <c r="K215" s="109"/>
      <c r="L215" s="109" t="s">
        <v>346</v>
      </c>
      <c r="M215" s="109"/>
      <c r="N215" s="109"/>
      <c r="O215" s="113" t="s">
        <v>2816</v>
      </c>
    </row>
    <row r="216" spans="1:15" ht="70.05" customHeight="1" outlineLevel="1">
      <c r="A216" s="109" t="s">
        <v>6303</v>
      </c>
      <c r="B216" s="110" t="s">
        <v>6304</v>
      </c>
      <c r="C216" s="110" t="s">
        <v>6305</v>
      </c>
      <c r="D216" s="111" t="s">
        <v>6306</v>
      </c>
      <c r="E216" s="111" t="s">
        <v>6285</v>
      </c>
      <c r="F216" s="109" t="s">
        <v>346</v>
      </c>
      <c r="G216" s="109"/>
      <c r="H216" s="109"/>
      <c r="I216" s="109" t="s">
        <v>346</v>
      </c>
      <c r="J216" s="109"/>
      <c r="K216" s="109"/>
      <c r="L216" s="109" t="s">
        <v>346</v>
      </c>
      <c r="M216" s="109"/>
      <c r="N216" s="109"/>
      <c r="O216" s="113" t="s">
        <v>2816</v>
      </c>
    </row>
    <row r="217" spans="1:15" ht="70.05" customHeight="1" outlineLevel="1">
      <c r="A217" s="109" t="s">
        <v>6307</v>
      </c>
      <c r="B217" s="110" t="s">
        <v>6282</v>
      </c>
      <c r="C217" s="110" t="s">
        <v>6283</v>
      </c>
      <c r="D217" s="111" t="s">
        <v>6308</v>
      </c>
      <c r="E217" s="111" t="s">
        <v>6285</v>
      </c>
      <c r="F217" s="109" t="s">
        <v>346</v>
      </c>
      <c r="G217" s="109"/>
      <c r="H217" s="109"/>
      <c r="I217" s="109" t="s">
        <v>346</v>
      </c>
      <c r="J217" s="109"/>
      <c r="K217" s="109"/>
      <c r="L217" s="109" t="s">
        <v>346</v>
      </c>
      <c r="M217" s="109"/>
      <c r="N217" s="109"/>
      <c r="O217" s="113" t="s">
        <v>2816</v>
      </c>
    </row>
    <row r="218" spans="1:15" ht="70.05" customHeight="1" outlineLevel="1">
      <c r="A218" s="109" t="s">
        <v>6309</v>
      </c>
      <c r="B218" s="110" t="s">
        <v>6310</v>
      </c>
      <c r="C218" s="110" t="s">
        <v>6311</v>
      </c>
      <c r="D218" s="111" t="s">
        <v>6312</v>
      </c>
      <c r="E218" s="111" t="s">
        <v>6285</v>
      </c>
      <c r="F218" s="109" t="s">
        <v>346</v>
      </c>
      <c r="G218" s="109"/>
      <c r="H218" s="109"/>
      <c r="I218" s="109" t="s">
        <v>346</v>
      </c>
      <c r="J218" s="109"/>
      <c r="K218" s="109"/>
      <c r="L218" s="109" t="s">
        <v>346</v>
      </c>
      <c r="M218" s="109"/>
      <c r="N218" s="109"/>
      <c r="O218" s="113" t="s">
        <v>2816</v>
      </c>
    </row>
    <row r="219" spans="1:15" ht="70.05" customHeight="1" outlineLevel="1">
      <c r="A219" s="109" t="s">
        <v>6313</v>
      </c>
      <c r="B219" s="110" t="s">
        <v>6314</v>
      </c>
      <c r="C219" s="110" t="s">
        <v>6315</v>
      </c>
      <c r="D219" s="111" t="s">
        <v>6316</v>
      </c>
      <c r="E219" s="111" t="s">
        <v>6285</v>
      </c>
      <c r="F219" s="109" t="s">
        <v>346</v>
      </c>
      <c r="G219" s="109"/>
      <c r="H219" s="109"/>
      <c r="I219" s="109" t="s">
        <v>346</v>
      </c>
      <c r="J219" s="109"/>
      <c r="K219" s="109"/>
      <c r="L219" s="109" t="s">
        <v>346</v>
      </c>
      <c r="M219" s="109"/>
      <c r="N219" s="109"/>
      <c r="O219" s="113" t="s">
        <v>2816</v>
      </c>
    </row>
    <row r="220" spans="1:15" ht="70.05" customHeight="1" outlineLevel="1">
      <c r="A220" s="109" t="s">
        <v>6317</v>
      </c>
      <c r="B220" s="110" t="s">
        <v>6318</v>
      </c>
      <c r="C220" s="110" t="s">
        <v>6319</v>
      </c>
      <c r="D220" s="111" t="s">
        <v>6320</v>
      </c>
      <c r="E220" s="111" t="s">
        <v>6285</v>
      </c>
      <c r="F220" s="109" t="s">
        <v>346</v>
      </c>
      <c r="G220" s="109"/>
      <c r="H220" s="109"/>
      <c r="I220" s="109" t="s">
        <v>346</v>
      </c>
      <c r="J220" s="109"/>
      <c r="K220" s="109"/>
      <c r="L220" s="109" t="s">
        <v>346</v>
      </c>
      <c r="M220" s="109"/>
      <c r="N220" s="109"/>
      <c r="O220" s="113" t="s">
        <v>2816</v>
      </c>
    </row>
    <row r="221" spans="1:15" ht="70.05" customHeight="1" outlineLevel="1">
      <c r="A221" s="109" t="s">
        <v>6321</v>
      </c>
      <c r="B221" s="110" t="s">
        <v>6322</v>
      </c>
      <c r="C221" s="110" t="s">
        <v>6323</v>
      </c>
      <c r="D221" s="111" t="s">
        <v>6324</v>
      </c>
      <c r="E221" s="111" t="s">
        <v>6325</v>
      </c>
      <c r="F221" s="109" t="s">
        <v>346</v>
      </c>
      <c r="G221" s="109"/>
      <c r="H221" s="109"/>
      <c r="I221" s="109" t="s">
        <v>346</v>
      </c>
      <c r="J221" s="109"/>
      <c r="K221" s="109"/>
      <c r="L221" s="109" t="s">
        <v>346</v>
      </c>
      <c r="M221" s="109"/>
      <c r="N221" s="109"/>
      <c r="O221" s="113" t="s">
        <v>2816</v>
      </c>
    </row>
    <row r="222" spans="1:15" ht="70.05" customHeight="1" outlineLevel="1">
      <c r="A222" s="109" t="s">
        <v>6326</v>
      </c>
      <c r="B222" s="110" t="s">
        <v>6327</v>
      </c>
      <c r="C222" s="110" t="s">
        <v>6328</v>
      </c>
      <c r="D222" s="111" t="s">
        <v>6329</v>
      </c>
      <c r="E222" s="111" t="s">
        <v>6285</v>
      </c>
      <c r="F222" s="109" t="s">
        <v>346</v>
      </c>
      <c r="G222" s="109"/>
      <c r="H222" s="109"/>
      <c r="I222" s="109" t="s">
        <v>346</v>
      </c>
      <c r="J222" s="109"/>
      <c r="K222" s="109"/>
      <c r="L222" s="109" t="s">
        <v>346</v>
      </c>
      <c r="M222" s="109"/>
      <c r="N222" s="109"/>
      <c r="O222" s="113" t="s">
        <v>2816</v>
      </c>
    </row>
    <row r="223" spans="1:15" ht="70.05" customHeight="1" outlineLevel="1">
      <c r="A223" s="109" t="s">
        <v>6330</v>
      </c>
      <c r="B223" s="110" t="s">
        <v>6331</v>
      </c>
      <c r="C223" s="110" t="s">
        <v>6332</v>
      </c>
      <c r="D223" s="111" t="s">
        <v>6329</v>
      </c>
      <c r="E223" s="111" t="s">
        <v>6285</v>
      </c>
      <c r="F223" s="109" t="s">
        <v>346</v>
      </c>
      <c r="G223" s="109"/>
      <c r="H223" s="109"/>
      <c r="I223" s="109" t="s">
        <v>346</v>
      </c>
      <c r="J223" s="109"/>
      <c r="K223" s="109"/>
      <c r="L223" s="109" t="s">
        <v>346</v>
      </c>
      <c r="M223" s="109"/>
      <c r="N223" s="109"/>
      <c r="O223" s="113" t="s">
        <v>2816</v>
      </c>
    </row>
    <row r="224" spans="1:15" ht="70.05" customHeight="1" outlineLevel="1">
      <c r="A224" s="109" t="s">
        <v>6333</v>
      </c>
      <c r="B224" s="110" t="s">
        <v>6334</v>
      </c>
      <c r="C224" s="110" t="s">
        <v>6335</v>
      </c>
      <c r="D224" s="111" t="s">
        <v>6336</v>
      </c>
      <c r="E224" s="111" t="s">
        <v>6285</v>
      </c>
      <c r="F224" s="109" t="s">
        <v>346</v>
      </c>
      <c r="G224" s="109"/>
      <c r="H224" s="109"/>
      <c r="I224" s="109" t="s">
        <v>346</v>
      </c>
      <c r="J224" s="109"/>
      <c r="K224" s="109"/>
      <c r="L224" s="109" t="s">
        <v>346</v>
      </c>
      <c r="M224" s="109"/>
      <c r="N224" s="109"/>
      <c r="O224" s="113" t="s">
        <v>2816</v>
      </c>
    </row>
    <row r="225" spans="1:15" ht="70.05" customHeight="1" outlineLevel="1">
      <c r="A225" s="109" t="s">
        <v>6337</v>
      </c>
      <c r="B225" s="110" t="s">
        <v>6338</v>
      </c>
      <c r="C225" s="110" t="s">
        <v>6339</v>
      </c>
      <c r="D225" s="111" t="s">
        <v>6340</v>
      </c>
      <c r="E225" s="111" t="s">
        <v>6285</v>
      </c>
      <c r="F225" s="109" t="s">
        <v>346</v>
      </c>
      <c r="G225" s="109"/>
      <c r="H225" s="109"/>
      <c r="I225" s="109" t="s">
        <v>346</v>
      </c>
      <c r="J225" s="109"/>
      <c r="K225" s="109"/>
      <c r="L225" s="109" t="s">
        <v>346</v>
      </c>
      <c r="M225" s="109"/>
      <c r="N225" s="109"/>
      <c r="O225" s="113" t="s">
        <v>2816</v>
      </c>
    </row>
    <row r="226" spans="1:15" ht="70.05" customHeight="1" outlineLevel="1">
      <c r="A226" s="109" t="s">
        <v>6341</v>
      </c>
      <c r="B226" s="110" t="s">
        <v>6342</v>
      </c>
      <c r="C226" s="110" t="s">
        <v>6343</v>
      </c>
      <c r="D226" s="111" t="s">
        <v>6344</v>
      </c>
      <c r="E226" s="111" t="s">
        <v>6285</v>
      </c>
      <c r="F226" s="109" t="s">
        <v>346</v>
      </c>
      <c r="G226" s="109"/>
      <c r="H226" s="109"/>
      <c r="I226" s="109" t="s">
        <v>346</v>
      </c>
      <c r="J226" s="109"/>
      <c r="K226" s="109"/>
      <c r="L226" s="109" t="s">
        <v>346</v>
      </c>
      <c r="M226" s="109"/>
      <c r="N226" s="109"/>
      <c r="O226" s="113" t="s">
        <v>2816</v>
      </c>
    </row>
    <row r="227" spans="1:15" ht="70.05" customHeight="1" outlineLevel="1">
      <c r="A227" s="109" t="s">
        <v>6345</v>
      </c>
      <c r="B227" s="110" t="s">
        <v>6346</v>
      </c>
      <c r="C227" s="110" t="s">
        <v>6283</v>
      </c>
      <c r="D227" s="111" t="s">
        <v>4055</v>
      </c>
      <c r="E227" s="111" t="s">
        <v>6347</v>
      </c>
      <c r="F227" s="109" t="s">
        <v>346</v>
      </c>
      <c r="G227" s="109"/>
      <c r="H227" s="109"/>
      <c r="I227" s="109" t="s">
        <v>346</v>
      </c>
      <c r="J227" s="109"/>
      <c r="K227" s="109"/>
      <c r="L227" s="109" t="s">
        <v>346</v>
      </c>
      <c r="M227" s="109"/>
      <c r="N227" s="109"/>
      <c r="O227" s="113" t="s">
        <v>2816</v>
      </c>
    </row>
    <row r="228" spans="1:15" ht="70.05" customHeight="1" outlineLevel="1">
      <c r="A228" s="109" t="s">
        <v>6348</v>
      </c>
      <c r="B228" s="110" t="s">
        <v>6346</v>
      </c>
      <c r="C228" s="110" t="s">
        <v>6283</v>
      </c>
      <c r="D228" s="111" t="s">
        <v>6277</v>
      </c>
      <c r="E228" s="111" t="s">
        <v>6349</v>
      </c>
      <c r="F228" s="109" t="s">
        <v>346</v>
      </c>
      <c r="G228" s="109"/>
      <c r="H228" s="109"/>
      <c r="I228" s="109" t="s">
        <v>346</v>
      </c>
      <c r="J228" s="109"/>
      <c r="K228" s="109"/>
      <c r="L228" s="109" t="s">
        <v>346</v>
      </c>
      <c r="M228" s="109"/>
      <c r="N228" s="109"/>
      <c r="O228" s="113" t="s">
        <v>2816</v>
      </c>
    </row>
  </sheetData>
  <mergeCells count="3">
    <mergeCell ref="B3:E3"/>
    <mergeCell ref="B2:E2"/>
    <mergeCell ref="B4:E4"/>
  </mergeCells>
  <dataValidations count="1">
    <dataValidation type="list" allowBlank="1" sqref="F12:F228 I12:I228 L12:L228" xr:uid="{00000000-0002-0000-0800-000000000000}">
      <formula1>$R$2:$R$5</formula1>
    </dataValidation>
  </dataValidations>
  <pageMargins left="0.74791666666666667" right="0.25" top="0.75" bottom="0.98402777777777772" header="0.5" footer="0.5"/>
  <pageSetup paperSize="9" firstPageNumber="0" orientation="landscape" horizontalDpi="300" verticalDpi="30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R322"/>
  <sheetViews>
    <sheetView workbookViewId="0"/>
  </sheetViews>
  <sheetFormatPr defaultColWidth="9" defaultRowHeight="13.2" outlineLevelRow="1" outlineLevelCol="1"/>
  <cols>
    <col min="1" max="1" width="17" style="1" customWidth="1"/>
    <col min="2" max="2" width="34.44140625" style="1" customWidth="1"/>
    <col min="3" max="3" width="34.109375" style="1" customWidth="1"/>
    <col min="4" max="4" width="34.6640625" style="1" customWidth="1"/>
    <col min="5" max="5" width="28.33203125" style="1" customWidth="1"/>
    <col min="6" max="6" width="9.33203125" style="1" customWidth="1"/>
    <col min="7" max="7" width="10.6640625" style="1" customWidth="1" outlineLevel="1"/>
    <col min="8" max="8" width="7" style="1" bestFit="1" customWidth="1" outlineLevel="1"/>
    <col min="9" max="9" width="9.33203125" style="1" customWidth="1"/>
    <col min="10" max="10" width="10.6640625" style="1" customWidth="1" outlineLevel="1"/>
    <col min="11" max="11" width="7" style="1" bestFit="1" customWidth="1" outlineLevel="1"/>
    <col min="12" max="12" width="9.33203125" style="1" customWidth="1"/>
    <col min="13" max="13" width="10.6640625" style="1" customWidth="1" outlineLevel="1"/>
    <col min="14" max="14" width="7" style="1" bestFit="1" customWidth="1" outlineLevel="1"/>
    <col min="15" max="15" width="28.6640625" style="1" customWidth="1"/>
    <col min="16" max="16" width="10.109375" style="1" customWidth="1"/>
    <col min="17" max="17" width="8.109375" style="23" customWidth="1"/>
    <col min="18" max="18" width="7.6640625" style="1" hidden="1" customWidth="1"/>
    <col min="19" max="20" width="9" style="1" customWidth="1"/>
    <col min="21" max="16384" width="9" style="1"/>
  </cols>
  <sheetData>
    <row r="1" spans="1:18" ht="13.95" customHeight="1" thickBot="1"/>
    <row r="2" spans="1:18" s="25" customFormat="1" ht="15" customHeight="1">
      <c r="A2" s="73" t="s">
        <v>353</v>
      </c>
      <c r="B2" s="130" t="s">
        <v>263</v>
      </c>
      <c r="C2" s="131"/>
      <c r="D2" s="131"/>
      <c r="E2" s="132"/>
      <c r="F2" s="63"/>
      <c r="G2" s="57"/>
      <c r="H2" s="9"/>
      <c r="I2" s="63"/>
      <c r="J2" s="57"/>
      <c r="K2" s="9"/>
      <c r="L2" s="63"/>
      <c r="M2" s="57"/>
      <c r="N2" s="9"/>
      <c r="O2" s="9"/>
      <c r="P2" s="9"/>
      <c r="Q2" s="24"/>
      <c r="R2" s="25" t="s">
        <v>344</v>
      </c>
    </row>
    <row r="3" spans="1:18" s="25" customFormat="1" ht="13.95" customHeight="1">
      <c r="A3" s="74" t="s">
        <v>354</v>
      </c>
      <c r="B3" s="127" t="s">
        <v>6350</v>
      </c>
      <c r="C3" s="128"/>
      <c r="D3" s="128"/>
      <c r="E3" s="129"/>
      <c r="F3" s="63"/>
      <c r="G3" s="57"/>
      <c r="H3" s="9"/>
      <c r="I3" s="63"/>
      <c r="J3" s="57"/>
      <c r="K3" s="9"/>
      <c r="L3" s="63"/>
      <c r="M3" s="57"/>
      <c r="N3" s="9"/>
      <c r="O3" s="9"/>
      <c r="P3" s="9"/>
      <c r="Q3" s="24"/>
      <c r="R3" s="25" t="s">
        <v>345</v>
      </c>
    </row>
    <row r="4" spans="1:18" s="25" customFormat="1" ht="18" customHeight="1">
      <c r="A4" s="74" t="s">
        <v>356</v>
      </c>
      <c r="B4" s="127">
        <f>COUNTA(F12:F1000)</f>
        <v>296</v>
      </c>
      <c r="C4" s="128"/>
      <c r="D4" s="128"/>
      <c r="E4" s="129"/>
      <c r="F4" s="63"/>
      <c r="G4" s="57"/>
      <c r="H4" s="9"/>
      <c r="I4" s="63"/>
      <c r="J4" s="57"/>
      <c r="K4" s="9"/>
      <c r="L4" s="63"/>
      <c r="M4" s="57"/>
      <c r="N4" s="9"/>
      <c r="O4" s="9"/>
      <c r="P4" s="9"/>
      <c r="Q4" s="24"/>
      <c r="R4" s="25" t="s">
        <v>346</v>
      </c>
    </row>
    <row r="5" spans="1:18" s="25" customFormat="1" ht="19.5" customHeight="1">
      <c r="A5" s="67" t="s">
        <v>357</v>
      </c>
      <c r="B5" s="65" t="s">
        <v>344</v>
      </c>
      <c r="C5" s="65" t="s">
        <v>345</v>
      </c>
      <c r="D5" s="65" t="s">
        <v>346</v>
      </c>
      <c r="E5" s="68" t="s">
        <v>347</v>
      </c>
      <c r="F5" s="58"/>
      <c r="G5" s="58"/>
      <c r="H5" s="26"/>
      <c r="I5" s="58"/>
      <c r="J5" s="58"/>
      <c r="K5" s="26"/>
      <c r="L5" s="58"/>
      <c r="M5" s="58"/>
      <c r="N5" s="26"/>
      <c r="O5" s="26"/>
      <c r="P5" s="26"/>
      <c r="Q5" s="27"/>
      <c r="R5" s="25" t="s">
        <v>347</v>
      </c>
    </row>
    <row r="6" spans="1:18" s="25" customFormat="1" ht="15" customHeight="1">
      <c r="A6" s="67" t="s">
        <v>358</v>
      </c>
      <c r="B6" s="66">
        <f>COUNTIF($F$10:$F$998,B$5)</f>
        <v>81</v>
      </c>
      <c r="C6" s="66">
        <f>COUNTIF($F$10:$F$998,C$5)</f>
        <v>0</v>
      </c>
      <c r="D6" s="66">
        <f>COUNTIF($F$10:$F$998,D$5)</f>
        <v>215</v>
      </c>
      <c r="E6" s="72">
        <f>COUNTIF($F$10:$F$998,E$5)</f>
        <v>0</v>
      </c>
      <c r="F6" s="59"/>
      <c r="G6" s="59"/>
      <c r="H6" s="26"/>
      <c r="I6" s="59"/>
      <c r="J6" s="59"/>
      <c r="K6" s="26"/>
      <c r="L6" s="59"/>
      <c r="M6" s="59"/>
      <c r="N6" s="26"/>
      <c r="O6" s="26"/>
      <c r="P6" s="26"/>
      <c r="Q6" s="27"/>
    </row>
    <row r="7" spans="1:18" s="25" customFormat="1" ht="15" customHeight="1">
      <c r="A7" s="67" t="s">
        <v>359</v>
      </c>
      <c r="B7" s="66">
        <f>COUNTIF($I$10:$I$998,B$5)</f>
        <v>0</v>
      </c>
      <c r="C7" s="66">
        <f>COUNTIF($I$10:$I$998,C$5)</f>
        <v>0</v>
      </c>
      <c r="D7" s="66">
        <f>COUNTIF($I$10:$I$998,D$5)</f>
        <v>296</v>
      </c>
      <c r="E7" s="72">
        <f>COUNTIF($I$10:$I$998,E$5)</f>
        <v>0</v>
      </c>
      <c r="F7" s="59"/>
      <c r="G7" s="59"/>
      <c r="H7" s="26"/>
      <c r="I7" s="59"/>
      <c r="J7" s="59"/>
      <c r="K7" s="26"/>
      <c r="L7" s="59"/>
      <c r="M7" s="59"/>
      <c r="N7" s="26"/>
      <c r="O7" s="26"/>
      <c r="P7" s="26"/>
      <c r="Q7" s="27"/>
    </row>
    <row r="8" spans="1:18" s="25" customFormat="1" ht="15" customHeight="1" thickBot="1">
      <c r="A8" s="69" t="s">
        <v>360</v>
      </c>
      <c r="B8" s="70">
        <f>COUNTIF($L$10:$L$998,B$5)</f>
        <v>0</v>
      </c>
      <c r="C8" s="70">
        <f>COUNTIF($L$10:$L$998,C$5)</f>
        <v>0</v>
      </c>
      <c r="D8" s="70">
        <f>COUNTIF($L$10:$L$998,D$5)</f>
        <v>296</v>
      </c>
      <c r="E8" s="71">
        <f>COUNTIF($L$10:$L$998,E$5)</f>
        <v>0</v>
      </c>
      <c r="F8" s="59"/>
      <c r="G8" s="59"/>
      <c r="H8" s="26"/>
      <c r="I8" s="59"/>
      <c r="J8" s="59"/>
      <c r="K8" s="26"/>
      <c r="L8" s="59"/>
      <c r="M8" s="59"/>
      <c r="N8" s="26"/>
      <c r="O8" s="26"/>
      <c r="P8" s="26"/>
      <c r="Q8" s="27"/>
    </row>
    <row r="9" spans="1:18" s="25" customFormat="1" ht="15" customHeight="1">
      <c r="A9" s="26"/>
      <c r="B9" s="26"/>
      <c r="C9" s="26"/>
      <c r="D9" s="26"/>
      <c r="E9" s="26"/>
      <c r="F9" s="28"/>
      <c r="G9" s="26"/>
      <c r="H9" s="26"/>
      <c r="I9" s="28"/>
      <c r="J9" s="26"/>
      <c r="K9" s="26"/>
      <c r="L9" s="28"/>
      <c r="M9" s="26"/>
      <c r="N9" s="26"/>
      <c r="O9" s="26"/>
      <c r="P9" s="26"/>
      <c r="Q9" s="27"/>
    </row>
    <row r="10" spans="1:18" s="25" customFormat="1" ht="25.5" customHeight="1">
      <c r="A10" s="64" t="s">
        <v>361</v>
      </c>
      <c r="B10" s="64" t="s">
        <v>362</v>
      </c>
      <c r="C10" s="64" t="s">
        <v>363</v>
      </c>
      <c r="D10" s="64" t="s">
        <v>364</v>
      </c>
      <c r="E10" s="64" t="s">
        <v>365</v>
      </c>
      <c r="F10" s="64" t="s">
        <v>358</v>
      </c>
      <c r="G10" s="64" t="s">
        <v>366</v>
      </c>
      <c r="H10" s="64" t="s">
        <v>367</v>
      </c>
      <c r="I10" s="64" t="s">
        <v>359</v>
      </c>
      <c r="J10" s="64" t="s">
        <v>366</v>
      </c>
      <c r="K10" s="64" t="s">
        <v>367</v>
      </c>
      <c r="L10" s="64" t="s">
        <v>360</v>
      </c>
      <c r="M10" s="64" t="s">
        <v>366</v>
      </c>
      <c r="N10" s="64" t="s">
        <v>367</v>
      </c>
      <c r="O10" s="64" t="s">
        <v>368</v>
      </c>
      <c r="Q10" s="29"/>
    </row>
    <row r="11" spans="1:18" s="25" customFormat="1" ht="15.75" customHeight="1">
      <c r="A11" s="60" t="s">
        <v>262</v>
      </c>
      <c r="B11" s="60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2"/>
      <c r="Q11" s="30"/>
    </row>
    <row r="12" spans="1:18" s="32" customFormat="1" ht="70.05" customHeight="1" outlineLevel="1">
      <c r="A12" s="109" t="s">
        <v>6351</v>
      </c>
      <c r="B12" s="110" t="s">
        <v>6352</v>
      </c>
      <c r="C12" s="110" t="s">
        <v>6353</v>
      </c>
      <c r="D12" s="111" t="s">
        <v>6354</v>
      </c>
      <c r="E12" s="111" t="s">
        <v>1810</v>
      </c>
      <c r="F12" s="109" t="s">
        <v>346</v>
      </c>
      <c r="G12" s="109"/>
      <c r="H12" s="109"/>
      <c r="I12" s="109" t="s">
        <v>346</v>
      </c>
      <c r="J12" s="109"/>
      <c r="K12" s="109"/>
      <c r="L12" s="109" t="s">
        <v>346</v>
      </c>
      <c r="M12" s="109"/>
      <c r="N12" s="109"/>
      <c r="O12" s="113" t="s">
        <v>2816</v>
      </c>
      <c r="Q12" s="31"/>
    </row>
    <row r="13" spans="1:18" ht="70.05" customHeight="1" outlineLevel="1">
      <c r="A13" s="109" t="s">
        <v>6355</v>
      </c>
      <c r="B13" s="110" t="s">
        <v>6356</v>
      </c>
      <c r="C13" s="110" t="s">
        <v>6357</v>
      </c>
      <c r="D13" s="111" t="s">
        <v>6358</v>
      </c>
      <c r="E13" s="111" t="s">
        <v>1810</v>
      </c>
      <c r="F13" s="109" t="s">
        <v>346</v>
      </c>
      <c r="G13" s="109"/>
      <c r="H13" s="109"/>
      <c r="I13" s="109" t="s">
        <v>346</v>
      </c>
      <c r="J13" s="109"/>
      <c r="K13" s="109"/>
      <c r="L13" s="109" t="s">
        <v>346</v>
      </c>
      <c r="M13" s="109"/>
      <c r="N13" s="109"/>
      <c r="O13" s="113" t="s">
        <v>2816</v>
      </c>
      <c r="Q13" s="31"/>
    </row>
    <row r="14" spans="1:18" ht="70.05" customHeight="1" outlineLevel="1">
      <c r="A14" s="109" t="s">
        <v>6359</v>
      </c>
      <c r="B14" s="110" t="s">
        <v>6360</v>
      </c>
      <c r="C14" s="110" t="s">
        <v>6361</v>
      </c>
      <c r="D14" s="111" t="s">
        <v>6362</v>
      </c>
      <c r="E14" s="111" t="s">
        <v>1810</v>
      </c>
      <c r="F14" s="109" t="s">
        <v>346</v>
      </c>
      <c r="G14" s="109"/>
      <c r="H14" s="109"/>
      <c r="I14" s="109" t="s">
        <v>346</v>
      </c>
      <c r="J14" s="109"/>
      <c r="K14" s="109"/>
      <c r="L14" s="109" t="s">
        <v>346</v>
      </c>
      <c r="M14" s="109"/>
      <c r="N14" s="109"/>
      <c r="O14" s="113" t="s">
        <v>2816</v>
      </c>
      <c r="Q14" s="31"/>
    </row>
    <row r="15" spans="1:18" s="25" customFormat="1" ht="70.05" customHeight="1" outlineLevel="1">
      <c r="A15" s="109" t="s">
        <v>6363</v>
      </c>
      <c r="B15" s="110" t="s">
        <v>6364</v>
      </c>
      <c r="C15" s="110" t="s">
        <v>6365</v>
      </c>
      <c r="D15" s="111" t="s">
        <v>6366</v>
      </c>
      <c r="E15" s="111" t="s">
        <v>1810</v>
      </c>
      <c r="F15" s="109" t="s">
        <v>346</v>
      </c>
      <c r="G15" s="109"/>
      <c r="H15" s="109"/>
      <c r="I15" s="109" t="s">
        <v>346</v>
      </c>
      <c r="J15" s="109"/>
      <c r="K15" s="109"/>
      <c r="L15" s="109" t="s">
        <v>346</v>
      </c>
      <c r="M15" s="109"/>
      <c r="N15" s="109"/>
      <c r="O15" s="113" t="s">
        <v>2816</v>
      </c>
      <c r="Q15" s="30"/>
    </row>
    <row r="16" spans="1:18" ht="70.05" customHeight="1" outlineLevel="1">
      <c r="A16" s="109" t="s">
        <v>6367</v>
      </c>
      <c r="B16" s="110" t="s">
        <v>6352</v>
      </c>
      <c r="C16" s="110" t="s">
        <v>6353</v>
      </c>
      <c r="D16" s="111" t="s">
        <v>6368</v>
      </c>
      <c r="E16" s="111" t="s">
        <v>6369</v>
      </c>
      <c r="F16" s="109" t="s">
        <v>346</v>
      </c>
      <c r="G16" s="109"/>
      <c r="H16" s="109"/>
      <c r="I16" s="109" t="s">
        <v>346</v>
      </c>
      <c r="J16" s="109"/>
      <c r="K16" s="109"/>
      <c r="L16" s="109" t="s">
        <v>346</v>
      </c>
      <c r="M16" s="109"/>
      <c r="N16" s="109"/>
      <c r="O16" s="113" t="s">
        <v>2816</v>
      </c>
      <c r="Q16" s="31"/>
    </row>
    <row r="17" spans="1:17" ht="70.05" customHeight="1" outlineLevel="1">
      <c r="A17" s="109" t="s">
        <v>6370</v>
      </c>
      <c r="B17" s="110" t="s">
        <v>6352</v>
      </c>
      <c r="C17" s="110" t="s">
        <v>6353</v>
      </c>
      <c r="D17" s="111" t="s">
        <v>6371</v>
      </c>
      <c r="E17" s="111" t="s">
        <v>1810</v>
      </c>
      <c r="F17" s="109" t="s">
        <v>346</v>
      </c>
      <c r="G17" s="109"/>
      <c r="H17" s="109"/>
      <c r="I17" s="109" t="s">
        <v>346</v>
      </c>
      <c r="J17" s="109"/>
      <c r="K17" s="109"/>
      <c r="L17" s="109" t="s">
        <v>346</v>
      </c>
      <c r="M17" s="109"/>
      <c r="N17" s="109"/>
      <c r="O17" s="113" t="s">
        <v>2816</v>
      </c>
    </row>
    <row r="18" spans="1:17" s="25" customFormat="1" ht="70.05" customHeight="1" outlineLevel="1">
      <c r="A18" s="109" t="s">
        <v>6372</v>
      </c>
      <c r="B18" s="110" t="s">
        <v>6373</v>
      </c>
      <c r="C18" s="110" t="s">
        <v>6374</v>
      </c>
      <c r="D18" s="111" t="s">
        <v>6375</v>
      </c>
      <c r="E18" s="111" t="s">
        <v>1810</v>
      </c>
      <c r="F18" s="109" t="s">
        <v>346</v>
      </c>
      <c r="G18" s="109"/>
      <c r="H18" s="109"/>
      <c r="I18" s="109" t="s">
        <v>346</v>
      </c>
      <c r="J18" s="109"/>
      <c r="K18" s="109"/>
      <c r="L18" s="109" t="s">
        <v>346</v>
      </c>
      <c r="M18" s="109"/>
      <c r="N18" s="109"/>
      <c r="O18" s="113" t="s">
        <v>2816</v>
      </c>
      <c r="Q18" s="30"/>
    </row>
    <row r="19" spans="1:17" ht="70.05" customHeight="1" outlineLevel="1">
      <c r="A19" s="109" t="s">
        <v>6376</v>
      </c>
      <c r="B19" s="110" t="s">
        <v>6377</v>
      </c>
      <c r="C19" s="110" t="s">
        <v>6378</v>
      </c>
      <c r="D19" s="111" t="s">
        <v>6379</v>
      </c>
      <c r="E19" s="111" t="s">
        <v>1810</v>
      </c>
      <c r="F19" s="109" t="s">
        <v>346</v>
      </c>
      <c r="G19" s="109"/>
      <c r="H19" s="109"/>
      <c r="I19" s="109" t="s">
        <v>346</v>
      </c>
      <c r="J19" s="109"/>
      <c r="K19" s="109"/>
      <c r="L19" s="109" t="s">
        <v>346</v>
      </c>
      <c r="M19" s="109"/>
      <c r="N19" s="109"/>
      <c r="O19" s="113" t="s">
        <v>2816</v>
      </c>
      <c r="Q19" s="31"/>
    </row>
    <row r="20" spans="1:17" ht="70.05" customHeight="1" outlineLevel="1">
      <c r="A20" s="109" t="s">
        <v>6380</v>
      </c>
      <c r="B20" s="110" t="s">
        <v>6381</v>
      </c>
      <c r="C20" s="110" t="s">
        <v>6382</v>
      </c>
      <c r="D20" s="111" t="s">
        <v>6383</v>
      </c>
      <c r="E20" s="111" t="s">
        <v>1810</v>
      </c>
      <c r="F20" s="109" t="s">
        <v>346</v>
      </c>
      <c r="G20" s="109"/>
      <c r="H20" s="109"/>
      <c r="I20" s="109" t="s">
        <v>346</v>
      </c>
      <c r="J20" s="109"/>
      <c r="K20" s="109"/>
      <c r="L20" s="109" t="s">
        <v>346</v>
      </c>
      <c r="M20" s="109"/>
      <c r="N20" s="109"/>
      <c r="O20" s="113" t="s">
        <v>2816</v>
      </c>
    </row>
    <row r="21" spans="1:17" ht="70.05" customHeight="1" outlineLevel="1">
      <c r="A21" s="109" t="s">
        <v>6384</v>
      </c>
      <c r="B21" s="110" t="s">
        <v>6385</v>
      </c>
      <c r="C21" s="110" t="s">
        <v>6353</v>
      </c>
      <c r="D21" s="111" t="s">
        <v>6386</v>
      </c>
      <c r="E21" s="111" t="s">
        <v>6387</v>
      </c>
      <c r="F21" s="109" t="s">
        <v>346</v>
      </c>
      <c r="G21" s="109"/>
      <c r="H21" s="109"/>
      <c r="I21" s="109" t="s">
        <v>346</v>
      </c>
      <c r="J21" s="109"/>
      <c r="K21" s="109"/>
      <c r="L21" s="109" t="s">
        <v>346</v>
      </c>
      <c r="M21" s="109"/>
      <c r="N21" s="109"/>
      <c r="O21" s="113" t="s">
        <v>2816</v>
      </c>
    </row>
    <row r="22" spans="1:17" ht="70.05" customHeight="1" outlineLevel="1">
      <c r="A22" s="109" t="s">
        <v>6388</v>
      </c>
      <c r="B22" s="110" t="s">
        <v>6389</v>
      </c>
      <c r="C22" s="110" t="s">
        <v>6390</v>
      </c>
      <c r="D22" s="111" t="s">
        <v>6391</v>
      </c>
      <c r="E22" s="111" t="s">
        <v>1810</v>
      </c>
      <c r="F22" s="109" t="s">
        <v>346</v>
      </c>
      <c r="G22" s="109"/>
      <c r="H22" s="109"/>
      <c r="I22" s="109" t="s">
        <v>346</v>
      </c>
      <c r="J22" s="109"/>
      <c r="K22" s="109"/>
      <c r="L22" s="109" t="s">
        <v>346</v>
      </c>
      <c r="M22" s="109"/>
      <c r="N22" s="109"/>
      <c r="O22" s="113" t="s">
        <v>2816</v>
      </c>
    </row>
    <row r="23" spans="1:17" ht="70.05" customHeight="1" outlineLevel="1">
      <c r="A23" s="109" t="s">
        <v>6392</v>
      </c>
      <c r="B23" s="110" t="s">
        <v>6393</v>
      </c>
      <c r="C23" s="110" t="s">
        <v>6394</v>
      </c>
      <c r="D23" s="111" t="s">
        <v>6391</v>
      </c>
      <c r="E23" s="111" t="s">
        <v>1810</v>
      </c>
      <c r="F23" s="109" t="s">
        <v>346</v>
      </c>
      <c r="G23" s="109"/>
      <c r="H23" s="109"/>
      <c r="I23" s="109" t="s">
        <v>346</v>
      </c>
      <c r="J23" s="109"/>
      <c r="K23" s="109"/>
      <c r="L23" s="109" t="s">
        <v>346</v>
      </c>
      <c r="M23" s="109"/>
      <c r="N23" s="109"/>
      <c r="O23" s="113" t="s">
        <v>2816</v>
      </c>
    </row>
    <row r="24" spans="1:17" ht="70.05" customHeight="1" outlineLevel="1">
      <c r="A24" s="109" t="s">
        <v>6395</v>
      </c>
      <c r="B24" s="110" t="s">
        <v>6396</v>
      </c>
      <c r="C24" s="110" t="s">
        <v>6397</v>
      </c>
      <c r="D24" s="111" t="s">
        <v>6398</v>
      </c>
      <c r="E24" s="111" t="s">
        <v>1810</v>
      </c>
      <c r="F24" s="109" t="s">
        <v>346</v>
      </c>
      <c r="G24" s="109"/>
      <c r="H24" s="109"/>
      <c r="I24" s="109" t="s">
        <v>346</v>
      </c>
      <c r="J24" s="109"/>
      <c r="K24" s="109"/>
      <c r="L24" s="109" t="s">
        <v>346</v>
      </c>
      <c r="M24" s="109"/>
      <c r="N24" s="109"/>
      <c r="O24" s="113" t="s">
        <v>2816</v>
      </c>
    </row>
    <row r="25" spans="1:17" ht="70.05" customHeight="1" outlineLevel="1">
      <c r="A25" s="109" t="s">
        <v>6399</v>
      </c>
      <c r="B25" s="110" t="s">
        <v>6400</v>
      </c>
      <c r="C25" s="110" t="s">
        <v>6401</v>
      </c>
      <c r="D25" s="111" t="s">
        <v>6398</v>
      </c>
      <c r="E25" s="111" t="s">
        <v>1810</v>
      </c>
      <c r="F25" s="109" t="s">
        <v>346</v>
      </c>
      <c r="G25" s="109"/>
      <c r="H25" s="109"/>
      <c r="I25" s="109" t="s">
        <v>346</v>
      </c>
      <c r="J25" s="109"/>
      <c r="K25" s="109"/>
      <c r="L25" s="109" t="s">
        <v>346</v>
      </c>
      <c r="M25" s="109"/>
      <c r="N25" s="109"/>
      <c r="O25" s="113" t="s">
        <v>2816</v>
      </c>
    </row>
    <row r="26" spans="1:17" ht="70.05" customHeight="1" outlineLevel="1">
      <c r="A26" s="109" t="s">
        <v>6402</v>
      </c>
      <c r="B26" s="110" t="s">
        <v>6403</v>
      </c>
      <c r="C26" s="110" t="s">
        <v>6404</v>
      </c>
      <c r="D26" s="111" t="s">
        <v>6405</v>
      </c>
      <c r="E26" s="111" t="s">
        <v>1810</v>
      </c>
      <c r="F26" s="109" t="s">
        <v>346</v>
      </c>
      <c r="G26" s="109"/>
      <c r="H26" s="109"/>
      <c r="I26" s="109" t="s">
        <v>346</v>
      </c>
      <c r="J26" s="109"/>
      <c r="K26" s="109"/>
      <c r="L26" s="109" t="s">
        <v>346</v>
      </c>
      <c r="M26" s="109"/>
      <c r="N26" s="109"/>
      <c r="O26" s="113" t="s">
        <v>2816</v>
      </c>
    </row>
    <row r="27" spans="1:17" ht="70.05" customHeight="1" outlineLevel="1">
      <c r="A27" s="109" t="s">
        <v>6406</v>
      </c>
      <c r="B27" s="110" t="s">
        <v>6407</v>
      </c>
      <c r="C27" s="110" t="s">
        <v>6408</v>
      </c>
      <c r="D27" s="111" t="s">
        <v>6405</v>
      </c>
      <c r="E27" s="111" t="s">
        <v>1810</v>
      </c>
      <c r="F27" s="109" t="s">
        <v>346</v>
      </c>
      <c r="G27" s="109"/>
      <c r="H27" s="109"/>
      <c r="I27" s="109" t="s">
        <v>346</v>
      </c>
      <c r="J27" s="109"/>
      <c r="K27" s="109"/>
      <c r="L27" s="109" t="s">
        <v>346</v>
      </c>
      <c r="M27" s="109"/>
      <c r="N27" s="109"/>
      <c r="O27" s="113" t="s">
        <v>2816</v>
      </c>
    </row>
    <row r="28" spans="1:17" ht="70.05" customHeight="1" outlineLevel="1">
      <c r="A28" s="109" t="s">
        <v>6409</v>
      </c>
      <c r="B28" s="110" t="s">
        <v>6410</v>
      </c>
      <c r="C28" s="110" t="s">
        <v>6353</v>
      </c>
      <c r="D28" s="111" t="s">
        <v>6411</v>
      </c>
      <c r="E28" s="111" t="s">
        <v>6412</v>
      </c>
      <c r="F28" s="109" t="s">
        <v>346</v>
      </c>
      <c r="G28" s="109"/>
      <c r="H28" s="109"/>
      <c r="I28" s="109" t="s">
        <v>346</v>
      </c>
      <c r="J28" s="109"/>
      <c r="K28" s="109"/>
      <c r="L28" s="109" t="s">
        <v>346</v>
      </c>
      <c r="M28" s="109"/>
      <c r="N28" s="109"/>
      <c r="O28" s="113" t="s">
        <v>2816</v>
      </c>
    </row>
    <row r="29" spans="1:17" ht="70.05" customHeight="1" outlineLevel="1">
      <c r="A29" s="109" t="s">
        <v>6413</v>
      </c>
      <c r="B29" s="110" t="s">
        <v>6414</v>
      </c>
      <c r="C29" s="110" t="s">
        <v>6415</v>
      </c>
      <c r="D29" s="111" t="s">
        <v>6398</v>
      </c>
      <c r="E29" s="111" t="s">
        <v>1810</v>
      </c>
      <c r="F29" s="109" t="s">
        <v>346</v>
      </c>
      <c r="G29" s="109"/>
      <c r="H29" s="109"/>
      <c r="I29" s="109" t="s">
        <v>346</v>
      </c>
      <c r="J29" s="109"/>
      <c r="K29" s="109"/>
      <c r="L29" s="109" t="s">
        <v>346</v>
      </c>
      <c r="M29" s="109"/>
      <c r="N29" s="109"/>
      <c r="O29" s="113" t="s">
        <v>2816</v>
      </c>
    </row>
    <row r="30" spans="1:17" ht="70.05" customHeight="1" outlineLevel="1">
      <c r="A30" s="109" t="s">
        <v>6416</v>
      </c>
      <c r="B30" s="110" t="s">
        <v>6410</v>
      </c>
      <c r="C30" s="110" t="s">
        <v>6353</v>
      </c>
      <c r="D30" s="111" t="s">
        <v>6417</v>
      </c>
      <c r="E30" s="111" t="s">
        <v>6418</v>
      </c>
      <c r="F30" s="109" t="s">
        <v>346</v>
      </c>
      <c r="G30" s="109"/>
      <c r="H30" s="109"/>
      <c r="I30" s="109" t="s">
        <v>346</v>
      </c>
      <c r="J30" s="109"/>
      <c r="K30" s="109"/>
      <c r="L30" s="109" t="s">
        <v>346</v>
      </c>
      <c r="M30" s="109"/>
      <c r="N30" s="109"/>
      <c r="O30" s="113" t="s">
        <v>2816</v>
      </c>
    </row>
    <row r="31" spans="1:17" ht="15.75" customHeight="1">
      <c r="A31" s="60" t="s">
        <v>266</v>
      </c>
      <c r="B31" s="60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2"/>
    </row>
    <row r="32" spans="1:17" ht="70.05" customHeight="1" outlineLevel="1">
      <c r="A32" s="109" t="s">
        <v>6419</v>
      </c>
      <c r="B32" s="110" t="s">
        <v>6420</v>
      </c>
      <c r="C32" s="110" t="s">
        <v>6421</v>
      </c>
      <c r="D32" s="111" t="s">
        <v>6422</v>
      </c>
      <c r="E32" s="111" t="s">
        <v>6423</v>
      </c>
      <c r="F32" s="109" t="s">
        <v>346</v>
      </c>
      <c r="G32" s="109"/>
      <c r="H32" s="109"/>
      <c r="I32" s="109" t="s">
        <v>346</v>
      </c>
      <c r="J32" s="109"/>
      <c r="K32" s="109"/>
      <c r="L32" s="109" t="s">
        <v>346</v>
      </c>
      <c r="M32" s="109"/>
      <c r="N32" s="109"/>
      <c r="O32" s="113" t="s">
        <v>2816</v>
      </c>
    </row>
    <row r="33" spans="1:15" ht="70.05" customHeight="1" outlineLevel="1">
      <c r="A33" s="109" t="s">
        <v>6424</v>
      </c>
      <c r="B33" s="110" t="s">
        <v>6420</v>
      </c>
      <c r="C33" s="110" t="s">
        <v>6421</v>
      </c>
      <c r="D33" s="111" t="s">
        <v>6425</v>
      </c>
      <c r="E33" s="111" t="s">
        <v>6426</v>
      </c>
      <c r="F33" s="109" t="s">
        <v>346</v>
      </c>
      <c r="G33" s="109"/>
      <c r="H33" s="109"/>
      <c r="I33" s="109" t="s">
        <v>346</v>
      </c>
      <c r="J33" s="109"/>
      <c r="K33" s="109"/>
      <c r="L33" s="109" t="s">
        <v>346</v>
      </c>
      <c r="M33" s="109"/>
      <c r="N33" s="109"/>
      <c r="O33" s="113" t="s">
        <v>2816</v>
      </c>
    </row>
    <row r="34" spans="1:15" ht="70.05" customHeight="1" outlineLevel="1">
      <c r="A34" s="109" t="s">
        <v>6427</v>
      </c>
      <c r="B34" s="110" t="s">
        <v>6420</v>
      </c>
      <c r="C34" s="110" t="s">
        <v>6421</v>
      </c>
      <c r="D34" s="111" t="s">
        <v>6428</v>
      </c>
      <c r="E34" s="111" t="s">
        <v>6429</v>
      </c>
      <c r="F34" s="109" t="s">
        <v>346</v>
      </c>
      <c r="G34" s="109"/>
      <c r="H34" s="109"/>
      <c r="I34" s="109" t="s">
        <v>346</v>
      </c>
      <c r="J34" s="109"/>
      <c r="K34" s="109"/>
      <c r="L34" s="109" t="s">
        <v>346</v>
      </c>
      <c r="M34" s="109"/>
      <c r="N34" s="109"/>
      <c r="O34" s="113" t="s">
        <v>2816</v>
      </c>
    </row>
    <row r="35" spans="1:15" ht="70.05" customHeight="1" outlineLevel="1">
      <c r="A35" s="109" t="s">
        <v>6430</v>
      </c>
      <c r="B35" s="110" t="s">
        <v>6420</v>
      </c>
      <c r="C35" s="110" t="s">
        <v>6421</v>
      </c>
      <c r="D35" s="111" t="s">
        <v>6431</v>
      </c>
      <c r="E35" s="111" t="s">
        <v>6432</v>
      </c>
      <c r="F35" s="109" t="s">
        <v>346</v>
      </c>
      <c r="G35" s="109"/>
      <c r="H35" s="109"/>
      <c r="I35" s="109" t="s">
        <v>346</v>
      </c>
      <c r="J35" s="109"/>
      <c r="K35" s="109"/>
      <c r="L35" s="109" t="s">
        <v>346</v>
      </c>
      <c r="M35" s="109"/>
      <c r="N35" s="109"/>
      <c r="O35" s="113" t="s">
        <v>2816</v>
      </c>
    </row>
    <row r="36" spans="1:15" ht="70.05" customHeight="1" outlineLevel="1">
      <c r="A36" s="109" t="s">
        <v>6433</v>
      </c>
      <c r="B36" s="110" t="s">
        <v>6420</v>
      </c>
      <c r="C36" s="110" t="s">
        <v>6421</v>
      </c>
      <c r="D36" s="111" t="s">
        <v>6434</v>
      </c>
      <c r="E36" s="111" t="s">
        <v>6435</v>
      </c>
      <c r="F36" s="109" t="s">
        <v>346</v>
      </c>
      <c r="G36" s="109"/>
      <c r="H36" s="109"/>
      <c r="I36" s="109" t="s">
        <v>346</v>
      </c>
      <c r="J36" s="109"/>
      <c r="K36" s="109"/>
      <c r="L36" s="109" t="s">
        <v>346</v>
      </c>
      <c r="M36" s="109"/>
      <c r="N36" s="109"/>
      <c r="O36" s="113" t="s">
        <v>2816</v>
      </c>
    </row>
    <row r="37" spans="1:15" ht="70.05" customHeight="1" outlineLevel="1">
      <c r="A37" s="109" t="s">
        <v>6436</v>
      </c>
      <c r="B37" s="110" t="s">
        <v>6420</v>
      </c>
      <c r="C37" s="110" t="s">
        <v>6421</v>
      </c>
      <c r="D37" s="111" t="s">
        <v>6437</v>
      </c>
      <c r="E37" s="111" t="s">
        <v>6438</v>
      </c>
      <c r="F37" s="109" t="s">
        <v>346</v>
      </c>
      <c r="G37" s="109"/>
      <c r="H37" s="109"/>
      <c r="I37" s="109" t="s">
        <v>346</v>
      </c>
      <c r="J37" s="109"/>
      <c r="K37" s="109"/>
      <c r="L37" s="109" t="s">
        <v>346</v>
      </c>
      <c r="M37" s="109"/>
      <c r="N37" s="109"/>
      <c r="O37" s="113" t="s">
        <v>2816</v>
      </c>
    </row>
    <row r="38" spans="1:15" ht="70.05" customHeight="1" outlineLevel="1">
      <c r="A38" s="109" t="s">
        <v>6439</v>
      </c>
      <c r="B38" s="110" t="s">
        <v>6420</v>
      </c>
      <c r="C38" s="110" t="s">
        <v>6421</v>
      </c>
      <c r="D38" s="111" t="s">
        <v>6440</v>
      </c>
      <c r="E38" s="111" t="s">
        <v>6423</v>
      </c>
      <c r="F38" s="109" t="s">
        <v>346</v>
      </c>
      <c r="G38" s="109"/>
      <c r="H38" s="109"/>
      <c r="I38" s="109" t="s">
        <v>346</v>
      </c>
      <c r="J38" s="109"/>
      <c r="K38" s="109"/>
      <c r="L38" s="109" t="s">
        <v>346</v>
      </c>
      <c r="M38" s="109"/>
      <c r="N38" s="109"/>
      <c r="O38" s="113" t="s">
        <v>2816</v>
      </c>
    </row>
    <row r="39" spans="1:15" ht="70.05" customHeight="1" outlineLevel="1">
      <c r="A39" s="109" t="s">
        <v>6441</v>
      </c>
      <c r="B39" s="110" t="s">
        <v>6420</v>
      </c>
      <c r="C39" s="110" t="s">
        <v>6421</v>
      </c>
      <c r="D39" s="111" t="s">
        <v>6442</v>
      </c>
      <c r="E39" s="111" t="s">
        <v>6443</v>
      </c>
      <c r="F39" s="109" t="s">
        <v>346</v>
      </c>
      <c r="G39" s="109"/>
      <c r="H39" s="109"/>
      <c r="I39" s="109" t="s">
        <v>346</v>
      </c>
      <c r="J39" s="109"/>
      <c r="K39" s="109"/>
      <c r="L39" s="109" t="s">
        <v>346</v>
      </c>
      <c r="M39" s="109"/>
      <c r="N39" s="109"/>
      <c r="O39" s="113" t="s">
        <v>2816</v>
      </c>
    </row>
    <row r="40" spans="1:15" ht="70.05" customHeight="1" outlineLevel="1">
      <c r="A40" s="109" t="s">
        <v>6444</v>
      </c>
      <c r="B40" s="110" t="s">
        <v>6445</v>
      </c>
      <c r="C40" s="110" t="s">
        <v>6421</v>
      </c>
      <c r="D40" s="111" t="s">
        <v>6446</v>
      </c>
      <c r="E40" s="111" t="s">
        <v>6447</v>
      </c>
      <c r="F40" s="109" t="s">
        <v>346</v>
      </c>
      <c r="G40" s="109"/>
      <c r="H40" s="109"/>
      <c r="I40" s="109" t="s">
        <v>346</v>
      </c>
      <c r="J40" s="109"/>
      <c r="K40" s="109"/>
      <c r="L40" s="109" t="s">
        <v>346</v>
      </c>
      <c r="M40" s="109"/>
      <c r="N40" s="109"/>
      <c r="O40" s="113" t="s">
        <v>2816</v>
      </c>
    </row>
    <row r="41" spans="1:15" ht="70.05" customHeight="1" outlineLevel="1">
      <c r="A41" s="109" t="s">
        <v>6448</v>
      </c>
      <c r="B41" s="110" t="s">
        <v>6445</v>
      </c>
      <c r="C41" s="110" t="s">
        <v>6421</v>
      </c>
      <c r="D41" s="111" t="s">
        <v>6449</v>
      </c>
      <c r="E41" s="111" t="s">
        <v>6450</v>
      </c>
      <c r="F41" s="109" t="s">
        <v>346</v>
      </c>
      <c r="G41" s="109"/>
      <c r="H41" s="109"/>
      <c r="I41" s="109" t="s">
        <v>346</v>
      </c>
      <c r="J41" s="109"/>
      <c r="K41" s="109"/>
      <c r="L41" s="109" t="s">
        <v>346</v>
      </c>
      <c r="M41" s="109"/>
      <c r="N41" s="109"/>
      <c r="O41" s="113" t="s">
        <v>2816</v>
      </c>
    </row>
    <row r="42" spans="1:15" ht="70.05" customHeight="1" outlineLevel="1">
      <c r="A42" s="109" t="s">
        <v>6451</v>
      </c>
      <c r="B42" s="110" t="s">
        <v>6445</v>
      </c>
      <c r="C42" s="110" t="s">
        <v>6421</v>
      </c>
      <c r="D42" s="111" t="s">
        <v>6452</v>
      </c>
      <c r="E42" s="111" t="s">
        <v>6453</v>
      </c>
      <c r="F42" s="109" t="s">
        <v>346</v>
      </c>
      <c r="G42" s="109"/>
      <c r="H42" s="109"/>
      <c r="I42" s="109" t="s">
        <v>346</v>
      </c>
      <c r="J42" s="109"/>
      <c r="K42" s="109"/>
      <c r="L42" s="109" t="s">
        <v>346</v>
      </c>
      <c r="M42" s="109"/>
      <c r="N42" s="109"/>
      <c r="O42" s="113" t="s">
        <v>2816</v>
      </c>
    </row>
    <row r="43" spans="1:15" ht="70.05" customHeight="1" outlineLevel="1">
      <c r="A43" s="109" t="s">
        <v>6454</v>
      </c>
      <c r="B43" s="110" t="s">
        <v>6455</v>
      </c>
      <c r="C43" s="110" t="s">
        <v>6456</v>
      </c>
      <c r="D43" s="111" t="s">
        <v>6457</v>
      </c>
      <c r="E43" s="111" t="s">
        <v>6423</v>
      </c>
      <c r="F43" s="109" t="s">
        <v>346</v>
      </c>
      <c r="G43" s="109"/>
      <c r="H43" s="109"/>
      <c r="I43" s="109" t="s">
        <v>346</v>
      </c>
      <c r="J43" s="109"/>
      <c r="K43" s="109"/>
      <c r="L43" s="109" t="s">
        <v>346</v>
      </c>
      <c r="M43" s="109"/>
      <c r="N43" s="109"/>
      <c r="O43" s="113" t="s">
        <v>2816</v>
      </c>
    </row>
    <row r="44" spans="1:15" ht="70.05" customHeight="1" outlineLevel="1">
      <c r="A44" s="109" t="s">
        <v>6458</v>
      </c>
      <c r="B44" s="110" t="s">
        <v>6459</v>
      </c>
      <c r="C44" s="110" t="s">
        <v>6460</v>
      </c>
      <c r="D44" s="111" t="s">
        <v>6457</v>
      </c>
      <c r="E44" s="111" t="s">
        <v>6423</v>
      </c>
      <c r="F44" s="109" t="s">
        <v>346</v>
      </c>
      <c r="G44" s="109"/>
      <c r="H44" s="109"/>
      <c r="I44" s="109" t="s">
        <v>346</v>
      </c>
      <c r="J44" s="109"/>
      <c r="K44" s="109"/>
      <c r="L44" s="109" t="s">
        <v>346</v>
      </c>
      <c r="M44" s="109"/>
      <c r="N44" s="109"/>
      <c r="O44" s="113" t="s">
        <v>2816</v>
      </c>
    </row>
    <row r="45" spans="1:15" ht="70.05" customHeight="1" outlineLevel="1">
      <c r="A45" s="109" t="s">
        <v>6461</v>
      </c>
      <c r="B45" s="110" t="s">
        <v>6462</v>
      </c>
      <c r="C45" s="110" t="s">
        <v>6463</v>
      </c>
      <c r="D45" s="111" t="s">
        <v>6457</v>
      </c>
      <c r="E45" s="111" t="s">
        <v>6423</v>
      </c>
      <c r="F45" s="109" t="s">
        <v>346</v>
      </c>
      <c r="G45" s="109"/>
      <c r="H45" s="109"/>
      <c r="I45" s="109" t="s">
        <v>346</v>
      </c>
      <c r="J45" s="109"/>
      <c r="K45" s="109"/>
      <c r="L45" s="109" t="s">
        <v>346</v>
      </c>
      <c r="M45" s="109"/>
      <c r="N45" s="109"/>
      <c r="O45" s="113" t="s">
        <v>2816</v>
      </c>
    </row>
    <row r="46" spans="1:15" ht="70.05" customHeight="1" outlineLevel="1">
      <c r="A46" s="109" t="s">
        <v>6464</v>
      </c>
      <c r="B46" s="110" t="s">
        <v>6465</v>
      </c>
      <c r="C46" s="110" t="s">
        <v>6466</v>
      </c>
      <c r="D46" s="111" t="s">
        <v>6417</v>
      </c>
      <c r="E46" s="111" t="s">
        <v>6467</v>
      </c>
      <c r="F46" s="109" t="s">
        <v>346</v>
      </c>
      <c r="G46" s="109"/>
      <c r="H46" s="109"/>
      <c r="I46" s="109" t="s">
        <v>346</v>
      </c>
      <c r="J46" s="109"/>
      <c r="K46" s="109"/>
      <c r="L46" s="109" t="s">
        <v>346</v>
      </c>
      <c r="M46" s="109"/>
      <c r="N46" s="109"/>
      <c r="O46" s="113" t="s">
        <v>2816</v>
      </c>
    </row>
    <row r="47" spans="1:15" ht="70.05" customHeight="1" outlineLevel="1">
      <c r="A47" s="109" t="s">
        <v>6468</v>
      </c>
      <c r="B47" s="110" t="s">
        <v>6469</v>
      </c>
      <c r="C47" s="110" t="s">
        <v>6421</v>
      </c>
      <c r="D47" s="111" t="s">
        <v>6417</v>
      </c>
      <c r="E47" s="111" t="s">
        <v>6470</v>
      </c>
      <c r="F47" s="109" t="s">
        <v>346</v>
      </c>
      <c r="G47" s="109"/>
      <c r="H47" s="109"/>
      <c r="I47" s="109" t="s">
        <v>346</v>
      </c>
      <c r="J47" s="109"/>
      <c r="K47" s="109"/>
      <c r="L47" s="109" t="s">
        <v>346</v>
      </c>
      <c r="M47" s="109"/>
      <c r="N47" s="109"/>
      <c r="O47" s="113" t="s">
        <v>2816</v>
      </c>
    </row>
    <row r="48" spans="1:15" ht="70.05" customHeight="1" outlineLevel="1">
      <c r="A48" s="109" t="s">
        <v>6471</v>
      </c>
      <c r="B48" s="110" t="s">
        <v>6472</v>
      </c>
      <c r="C48" s="110" t="s">
        <v>6473</v>
      </c>
      <c r="D48" s="111" t="s">
        <v>6457</v>
      </c>
      <c r="E48" s="111" t="s">
        <v>6474</v>
      </c>
      <c r="F48" s="109" t="s">
        <v>346</v>
      </c>
      <c r="G48" s="109"/>
      <c r="H48" s="109"/>
      <c r="I48" s="109" t="s">
        <v>346</v>
      </c>
      <c r="J48" s="109"/>
      <c r="K48" s="109"/>
      <c r="L48" s="109" t="s">
        <v>346</v>
      </c>
      <c r="M48" s="109"/>
      <c r="N48" s="109"/>
      <c r="O48" s="113" t="s">
        <v>2816</v>
      </c>
    </row>
    <row r="49" spans="1:15" ht="70.05" customHeight="1" outlineLevel="1">
      <c r="A49" s="109" t="s">
        <v>6475</v>
      </c>
      <c r="B49" s="110" t="s">
        <v>6469</v>
      </c>
      <c r="C49" s="110" t="s">
        <v>6421</v>
      </c>
      <c r="D49" s="111" t="s">
        <v>6476</v>
      </c>
      <c r="E49" s="111" t="s">
        <v>6477</v>
      </c>
      <c r="F49" s="109" t="s">
        <v>346</v>
      </c>
      <c r="G49" s="109"/>
      <c r="H49" s="109"/>
      <c r="I49" s="109" t="s">
        <v>346</v>
      </c>
      <c r="J49" s="109"/>
      <c r="K49" s="109"/>
      <c r="L49" s="109" t="s">
        <v>346</v>
      </c>
      <c r="M49" s="109"/>
      <c r="N49" s="109"/>
      <c r="O49" s="113" t="s">
        <v>2816</v>
      </c>
    </row>
    <row r="50" spans="1:15" ht="15.75" customHeight="1">
      <c r="A50" s="60" t="s">
        <v>269</v>
      </c>
      <c r="B50" s="60"/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2"/>
    </row>
    <row r="51" spans="1:15" ht="70.05" customHeight="1" outlineLevel="1">
      <c r="A51" s="109" t="s">
        <v>6478</v>
      </c>
      <c r="B51" s="110" t="s">
        <v>6479</v>
      </c>
      <c r="C51" s="110" t="s">
        <v>6480</v>
      </c>
      <c r="D51" s="111" t="s">
        <v>6481</v>
      </c>
      <c r="E51" s="111" t="s">
        <v>6482</v>
      </c>
      <c r="F51" s="109" t="s">
        <v>346</v>
      </c>
      <c r="G51" s="109"/>
      <c r="H51" s="109"/>
      <c r="I51" s="109" t="s">
        <v>346</v>
      </c>
      <c r="J51" s="109"/>
      <c r="K51" s="109"/>
      <c r="L51" s="109" t="s">
        <v>346</v>
      </c>
      <c r="M51" s="109"/>
      <c r="N51" s="109"/>
      <c r="O51" s="113" t="s">
        <v>2816</v>
      </c>
    </row>
    <row r="52" spans="1:15" ht="70.05" customHeight="1" outlineLevel="1">
      <c r="A52" s="109" t="s">
        <v>6483</v>
      </c>
      <c r="B52" s="110" t="s">
        <v>6479</v>
      </c>
      <c r="C52" s="110" t="s">
        <v>6480</v>
      </c>
      <c r="D52" s="111" t="s">
        <v>6484</v>
      </c>
      <c r="E52" s="111" t="s">
        <v>6485</v>
      </c>
      <c r="F52" s="109" t="s">
        <v>346</v>
      </c>
      <c r="G52" s="109"/>
      <c r="H52" s="109"/>
      <c r="I52" s="109" t="s">
        <v>346</v>
      </c>
      <c r="J52" s="109"/>
      <c r="K52" s="109"/>
      <c r="L52" s="109" t="s">
        <v>346</v>
      </c>
      <c r="M52" s="109"/>
      <c r="N52" s="109"/>
      <c r="O52" s="113" t="s">
        <v>2816</v>
      </c>
    </row>
    <row r="53" spans="1:15" ht="70.05" customHeight="1" outlineLevel="1">
      <c r="A53" s="109" t="s">
        <v>6486</v>
      </c>
      <c r="B53" s="110" t="s">
        <v>6479</v>
      </c>
      <c r="C53" s="110" t="s">
        <v>6480</v>
      </c>
      <c r="D53" s="111" t="s">
        <v>6487</v>
      </c>
      <c r="E53" s="111" t="s">
        <v>6488</v>
      </c>
      <c r="F53" s="109" t="s">
        <v>346</v>
      </c>
      <c r="G53" s="109"/>
      <c r="H53" s="109"/>
      <c r="I53" s="109" t="s">
        <v>346</v>
      </c>
      <c r="J53" s="109"/>
      <c r="K53" s="109"/>
      <c r="L53" s="109" t="s">
        <v>346</v>
      </c>
      <c r="M53" s="109"/>
      <c r="N53" s="109"/>
      <c r="O53" s="113" t="s">
        <v>2816</v>
      </c>
    </row>
    <row r="54" spans="1:15" ht="70.05" customHeight="1" outlineLevel="1">
      <c r="A54" s="109" t="s">
        <v>6489</v>
      </c>
      <c r="B54" s="110" t="s">
        <v>6479</v>
      </c>
      <c r="C54" s="110" t="s">
        <v>6480</v>
      </c>
      <c r="D54" s="111" t="s">
        <v>6490</v>
      </c>
      <c r="E54" s="111" t="s">
        <v>6491</v>
      </c>
      <c r="F54" s="109" t="s">
        <v>346</v>
      </c>
      <c r="G54" s="109"/>
      <c r="H54" s="109"/>
      <c r="I54" s="109" t="s">
        <v>346</v>
      </c>
      <c r="J54" s="109"/>
      <c r="K54" s="109"/>
      <c r="L54" s="109" t="s">
        <v>346</v>
      </c>
      <c r="M54" s="109"/>
      <c r="N54" s="109"/>
      <c r="O54" s="113" t="s">
        <v>2816</v>
      </c>
    </row>
    <row r="55" spans="1:15" ht="70.05" customHeight="1" outlineLevel="1">
      <c r="A55" s="109" t="s">
        <v>6492</v>
      </c>
      <c r="B55" s="110" t="s">
        <v>6479</v>
      </c>
      <c r="C55" s="110" t="s">
        <v>6480</v>
      </c>
      <c r="D55" s="111" t="s">
        <v>6493</v>
      </c>
      <c r="E55" s="111" t="s">
        <v>6494</v>
      </c>
      <c r="F55" s="109" t="s">
        <v>346</v>
      </c>
      <c r="G55" s="109"/>
      <c r="H55" s="109"/>
      <c r="I55" s="109" t="s">
        <v>346</v>
      </c>
      <c r="J55" s="109"/>
      <c r="K55" s="109"/>
      <c r="L55" s="109" t="s">
        <v>346</v>
      </c>
      <c r="M55" s="109"/>
      <c r="N55" s="109"/>
      <c r="O55" s="113" t="s">
        <v>2816</v>
      </c>
    </row>
    <row r="56" spans="1:15" ht="70.05" customHeight="1" outlineLevel="1">
      <c r="A56" s="109" t="s">
        <v>6495</v>
      </c>
      <c r="B56" s="110" t="s">
        <v>6479</v>
      </c>
      <c r="C56" s="110" t="s">
        <v>6480</v>
      </c>
      <c r="D56" s="111" t="s">
        <v>6496</v>
      </c>
      <c r="E56" s="111" t="s">
        <v>6497</v>
      </c>
      <c r="F56" s="109" t="s">
        <v>346</v>
      </c>
      <c r="G56" s="109"/>
      <c r="H56" s="109"/>
      <c r="I56" s="109" t="s">
        <v>346</v>
      </c>
      <c r="J56" s="109"/>
      <c r="K56" s="109"/>
      <c r="L56" s="109" t="s">
        <v>346</v>
      </c>
      <c r="M56" s="109"/>
      <c r="N56" s="109"/>
      <c r="O56" s="113" t="s">
        <v>2816</v>
      </c>
    </row>
    <row r="57" spans="1:15" ht="70.05" customHeight="1" outlineLevel="1">
      <c r="A57" s="109" t="s">
        <v>6498</v>
      </c>
      <c r="B57" s="110" t="s">
        <v>6479</v>
      </c>
      <c r="C57" s="110" t="s">
        <v>6480</v>
      </c>
      <c r="D57" s="111" t="s">
        <v>6499</v>
      </c>
      <c r="E57" s="111" t="s">
        <v>6500</v>
      </c>
      <c r="F57" s="109" t="s">
        <v>346</v>
      </c>
      <c r="G57" s="109"/>
      <c r="H57" s="109"/>
      <c r="I57" s="109" t="s">
        <v>346</v>
      </c>
      <c r="J57" s="109"/>
      <c r="K57" s="109"/>
      <c r="L57" s="109" t="s">
        <v>346</v>
      </c>
      <c r="M57" s="109"/>
      <c r="N57" s="109"/>
      <c r="O57" s="113" t="s">
        <v>2816</v>
      </c>
    </row>
    <row r="58" spans="1:15" ht="70.05" customHeight="1" outlineLevel="1">
      <c r="A58" s="109" t="s">
        <v>6501</v>
      </c>
      <c r="B58" s="110" t="s">
        <v>6479</v>
      </c>
      <c r="C58" s="110" t="s">
        <v>6480</v>
      </c>
      <c r="D58" s="111" t="s">
        <v>6502</v>
      </c>
      <c r="E58" s="111" t="s">
        <v>6503</v>
      </c>
      <c r="F58" s="109" t="s">
        <v>346</v>
      </c>
      <c r="G58" s="109"/>
      <c r="H58" s="109"/>
      <c r="I58" s="109" t="s">
        <v>346</v>
      </c>
      <c r="J58" s="109"/>
      <c r="K58" s="109"/>
      <c r="L58" s="109" t="s">
        <v>346</v>
      </c>
      <c r="M58" s="109"/>
      <c r="N58" s="109"/>
      <c r="O58" s="113" t="s">
        <v>2816</v>
      </c>
    </row>
    <row r="59" spans="1:15" ht="70.05" customHeight="1" outlineLevel="1">
      <c r="A59" s="109" t="s">
        <v>6504</v>
      </c>
      <c r="B59" s="110" t="s">
        <v>6505</v>
      </c>
      <c r="C59" s="110" t="s">
        <v>6480</v>
      </c>
      <c r="D59" s="111" t="s">
        <v>6506</v>
      </c>
      <c r="E59" s="111" t="s">
        <v>6507</v>
      </c>
      <c r="F59" s="109" t="s">
        <v>346</v>
      </c>
      <c r="G59" s="109"/>
      <c r="H59" s="109"/>
      <c r="I59" s="109" t="s">
        <v>346</v>
      </c>
      <c r="J59" s="109"/>
      <c r="K59" s="109"/>
      <c r="L59" s="109" t="s">
        <v>346</v>
      </c>
      <c r="M59" s="109"/>
      <c r="N59" s="109"/>
      <c r="O59" s="113" t="s">
        <v>2816</v>
      </c>
    </row>
    <row r="60" spans="1:15" ht="70.05" customHeight="1" outlineLevel="1">
      <c r="A60" s="109" t="s">
        <v>6508</v>
      </c>
      <c r="B60" s="110" t="s">
        <v>6505</v>
      </c>
      <c r="C60" s="110" t="s">
        <v>6480</v>
      </c>
      <c r="D60" s="111" t="s">
        <v>6509</v>
      </c>
      <c r="E60" s="111" t="s">
        <v>6510</v>
      </c>
      <c r="F60" s="109" t="s">
        <v>346</v>
      </c>
      <c r="G60" s="109"/>
      <c r="H60" s="109"/>
      <c r="I60" s="109" t="s">
        <v>346</v>
      </c>
      <c r="J60" s="109"/>
      <c r="K60" s="109"/>
      <c r="L60" s="109" t="s">
        <v>346</v>
      </c>
      <c r="M60" s="109"/>
      <c r="N60" s="109"/>
      <c r="O60" s="113" t="s">
        <v>2816</v>
      </c>
    </row>
    <row r="61" spans="1:15" ht="70.05" customHeight="1" outlineLevel="1">
      <c r="A61" s="109" t="s">
        <v>6511</v>
      </c>
      <c r="B61" s="110" t="s">
        <v>6505</v>
      </c>
      <c r="C61" s="110" t="s">
        <v>6480</v>
      </c>
      <c r="D61" s="111" t="s">
        <v>6512</v>
      </c>
      <c r="E61" s="111" t="s">
        <v>6513</v>
      </c>
      <c r="F61" s="109" t="s">
        <v>346</v>
      </c>
      <c r="G61" s="109"/>
      <c r="H61" s="109"/>
      <c r="I61" s="109" t="s">
        <v>346</v>
      </c>
      <c r="J61" s="109"/>
      <c r="K61" s="109"/>
      <c r="L61" s="109" t="s">
        <v>346</v>
      </c>
      <c r="M61" s="109"/>
      <c r="N61" s="109"/>
      <c r="O61" s="113" t="s">
        <v>2816</v>
      </c>
    </row>
    <row r="62" spans="1:15" ht="70.05" customHeight="1" outlineLevel="1">
      <c r="A62" s="109" t="s">
        <v>6514</v>
      </c>
      <c r="B62" s="110" t="s">
        <v>6505</v>
      </c>
      <c r="C62" s="110" t="s">
        <v>6480</v>
      </c>
      <c r="D62" s="111" t="s">
        <v>6515</v>
      </c>
      <c r="E62" s="111" t="s">
        <v>6516</v>
      </c>
      <c r="F62" s="109" t="s">
        <v>346</v>
      </c>
      <c r="G62" s="109"/>
      <c r="H62" s="109"/>
      <c r="I62" s="109" t="s">
        <v>346</v>
      </c>
      <c r="J62" s="109"/>
      <c r="K62" s="109"/>
      <c r="L62" s="109" t="s">
        <v>346</v>
      </c>
      <c r="M62" s="109"/>
      <c r="N62" s="109"/>
      <c r="O62" s="113" t="s">
        <v>2816</v>
      </c>
    </row>
    <row r="63" spans="1:15" ht="70.05" customHeight="1" outlineLevel="1">
      <c r="A63" s="109" t="s">
        <v>6517</v>
      </c>
      <c r="B63" s="110" t="s">
        <v>6518</v>
      </c>
      <c r="C63" s="110" t="s">
        <v>6519</v>
      </c>
      <c r="D63" s="111" t="s">
        <v>1611</v>
      </c>
      <c r="E63" s="111" t="s">
        <v>6503</v>
      </c>
      <c r="F63" s="109" t="s">
        <v>346</v>
      </c>
      <c r="G63" s="109"/>
      <c r="H63" s="109"/>
      <c r="I63" s="109" t="s">
        <v>346</v>
      </c>
      <c r="J63" s="109"/>
      <c r="K63" s="109"/>
      <c r="L63" s="109" t="s">
        <v>346</v>
      </c>
      <c r="M63" s="109"/>
      <c r="N63" s="109"/>
      <c r="O63" s="113" t="s">
        <v>2816</v>
      </c>
    </row>
    <row r="64" spans="1:15" ht="70.05" customHeight="1" outlineLevel="1">
      <c r="A64" s="109" t="s">
        <v>6520</v>
      </c>
      <c r="B64" s="110" t="s">
        <v>6521</v>
      </c>
      <c r="C64" s="110" t="s">
        <v>6522</v>
      </c>
      <c r="D64" s="111" t="s">
        <v>1611</v>
      </c>
      <c r="E64" s="111" t="s">
        <v>6503</v>
      </c>
      <c r="F64" s="109" t="s">
        <v>346</v>
      </c>
      <c r="G64" s="109"/>
      <c r="H64" s="109"/>
      <c r="I64" s="109" t="s">
        <v>346</v>
      </c>
      <c r="J64" s="109"/>
      <c r="K64" s="109"/>
      <c r="L64" s="109" t="s">
        <v>346</v>
      </c>
      <c r="M64" s="109"/>
      <c r="N64" s="109"/>
      <c r="O64" s="113" t="s">
        <v>2816</v>
      </c>
    </row>
    <row r="65" spans="1:15" ht="70.05" customHeight="1" outlineLevel="1">
      <c r="A65" s="109" t="s">
        <v>6523</v>
      </c>
      <c r="B65" s="110" t="s">
        <v>6524</v>
      </c>
      <c r="C65" s="110" t="s">
        <v>6480</v>
      </c>
      <c r="D65" s="111" t="s">
        <v>6417</v>
      </c>
      <c r="E65" s="111" t="s">
        <v>6525</v>
      </c>
      <c r="F65" s="109" t="s">
        <v>346</v>
      </c>
      <c r="G65" s="109"/>
      <c r="H65" s="109"/>
      <c r="I65" s="109" t="s">
        <v>346</v>
      </c>
      <c r="J65" s="109"/>
      <c r="K65" s="109"/>
      <c r="L65" s="109" t="s">
        <v>346</v>
      </c>
      <c r="M65" s="109"/>
      <c r="N65" s="109"/>
      <c r="O65" s="113" t="s">
        <v>2816</v>
      </c>
    </row>
    <row r="66" spans="1:15" ht="70.05" customHeight="1" outlineLevel="1">
      <c r="A66" s="109" t="s">
        <v>6526</v>
      </c>
      <c r="B66" s="110" t="s">
        <v>6524</v>
      </c>
      <c r="C66" s="110" t="s">
        <v>6480</v>
      </c>
      <c r="D66" s="111" t="s">
        <v>6527</v>
      </c>
      <c r="E66" s="111" t="s">
        <v>6528</v>
      </c>
      <c r="F66" s="109" t="s">
        <v>346</v>
      </c>
      <c r="G66" s="109"/>
      <c r="H66" s="109"/>
      <c r="I66" s="109" t="s">
        <v>346</v>
      </c>
      <c r="J66" s="109"/>
      <c r="K66" s="109"/>
      <c r="L66" s="109" t="s">
        <v>346</v>
      </c>
      <c r="M66" s="109"/>
      <c r="N66" s="109"/>
      <c r="O66" s="113" t="s">
        <v>2816</v>
      </c>
    </row>
    <row r="67" spans="1:15" ht="70.05" customHeight="1" outlineLevel="1">
      <c r="A67" s="109" t="s">
        <v>6529</v>
      </c>
      <c r="B67" s="110" t="s">
        <v>6530</v>
      </c>
      <c r="C67" s="110" t="s">
        <v>6531</v>
      </c>
      <c r="D67" s="111" t="s">
        <v>1611</v>
      </c>
      <c r="E67" s="111" t="s">
        <v>6532</v>
      </c>
      <c r="F67" s="109" t="s">
        <v>346</v>
      </c>
      <c r="G67" s="109"/>
      <c r="H67" s="109"/>
      <c r="I67" s="109" t="s">
        <v>346</v>
      </c>
      <c r="J67" s="109"/>
      <c r="K67" s="109"/>
      <c r="L67" s="109" t="s">
        <v>346</v>
      </c>
      <c r="M67" s="109"/>
      <c r="N67" s="109"/>
      <c r="O67" s="113" t="s">
        <v>2816</v>
      </c>
    </row>
    <row r="68" spans="1:15" ht="15.75" customHeight="1">
      <c r="A68" s="60" t="s">
        <v>272</v>
      </c>
      <c r="B68" s="60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2"/>
    </row>
    <row r="69" spans="1:15" ht="70.05" customHeight="1" outlineLevel="1">
      <c r="A69" s="109" t="s">
        <v>6533</v>
      </c>
      <c r="B69" s="110" t="s">
        <v>6534</v>
      </c>
      <c r="C69" s="110" t="s">
        <v>6535</v>
      </c>
      <c r="D69" s="111" t="s">
        <v>6536</v>
      </c>
      <c r="E69" s="111" t="s">
        <v>6537</v>
      </c>
      <c r="F69" s="109" t="s">
        <v>346</v>
      </c>
      <c r="G69" s="109"/>
      <c r="H69" s="109"/>
      <c r="I69" s="109" t="s">
        <v>346</v>
      </c>
      <c r="J69" s="109"/>
      <c r="K69" s="109"/>
      <c r="L69" s="109" t="s">
        <v>346</v>
      </c>
      <c r="M69" s="109"/>
      <c r="N69" s="109"/>
      <c r="O69" s="113" t="s">
        <v>2816</v>
      </c>
    </row>
    <row r="70" spans="1:15" ht="70.05" customHeight="1" outlineLevel="1">
      <c r="A70" s="109" t="s">
        <v>6538</v>
      </c>
      <c r="B70" s="110" t="s">
        <v>6534</v>
      </c>
      <c r="C70" s="110" t="s">
        <v>6535</v>
      </c>
      <c r="D70" s="111" t="s">
        <v>6539</v>
      </c>
      <c r="E70" s="111" t="s">
        <v>6540</v>
      </c>
      <c r="F70" s="109" t="s">
        <v>346</v>
      </c>
      <c r="G70" s="109"/>
      <c r="H70" s="109"/>
      <c r="I70" s="109" t="s">
        <v>346</v>
      </c>
      <c r="J70" s="109"/>
      <c r="K70" s="109"/>
      <c r="L70" s="109" t="s">
        <v>346</v>
      </c>
      <c r="M70" s="109"/>
      <c r="N70" s="109"/>
      <c r="O70" s="113" t="s">
        <v>2816</v>
      </c>
    </row>
    <row r="71" spans="1:15" ht="70.05" customHeight="1" outlineLevel="1">
      <c r="A71" s="109" t="s">
        <v>6541</v>
      </c>
      <c r="B71" s="110" t="s">
        <v>6534</v>
      </c>
      <c r="C71" s="110" t="s">
        <v>6535</v>
      </c>
      <c r="D71" s="111" t="s">
        <v>6542</v>
      </c>
      <c r="E71" s="111" t="s">
        <v>6543</v>
      </c>
      <c r="F71" s="109" t="s">
        <v>346</v>
      </c>
      <c r="G71" s="109"/>
      <c r="H71" s="109"/>
      <c r="I71" s="109" t="s">
        <v>346</v>
      </c>
      <c r="J71" s="109"/>
      <c r="K71" s="109"/>
      <c r="L71" s="109" t="s">
        <v>346</v>
      </c>
      <c r="M71" s="109"/>
      <c r="N71" s="109"/>
      <c r="O71" s="113" t="s">
        <v>2816</v>
      </c>
    </row>
    <row r="72" spans="1:15" ht="70.05" customHeight="1" outlineLevel="1">
      <c r="A72" s="109" t="s">
        <v>6544</v>
      </c>
      <c r="B72" s="110" t="s">
        <v>6534</v>
      </c>
      <c r="C72" s="110" t="s">
        <v>6535</v>
      </c>
      <c r="D72" s="111" t="s">
        <v>6545</v>
      </c>
      <c r="E72" s="111" t="s">
        <v>6546</v>
      </c>
      <c r="F72" s="109" t="s">
        <v>346</v>
      </c>
      <c r="G72" s="109"/>
      <c r="H72" s="109"/>
      <c r="I72" s="109" t="s">
        <v>346</v>
      </c>
      <c r="J72" s="109"/>
      <c r="K72" s="109"/>
      <c r="L72" s="109" t="s">
        <v>346</v>
      </c>
      <c r="M72" s="109"/>
      <c r="N72" s="109"/>
      <c r="O72" s="113" t="s">
        <v>2816</v>
      </c>
    </row>
    <row r="73" spans="1:15" ht="70.05" customHeight="1" outlineLevel="1">
      <c r="A73" s="109" t="s">
        <v>6547</v>
      </c>
      <c r="B73" s="110" t="s">
        <v>6534</v>
      </c>
      <c r="C73" s="110" t="s">
        <v>6535</v>
      </c>
      <c r="D73" s="111" t="s">
        <v>6548</v>
      </c>
      <c r="E73" s="111" t="s">
        <v>6549</v>
      </c>
      <c r="F73" s="109" t="s">
        <v>346</v>
      </c>
      <c r="G73" s="109"/>
      <c r="H73" s="109"/>
      <c r="I73" s="109" t="s">
        <v>346</v>
      </c>
      <c r="J73" s="109"/>
      <c r="K73" s="109"/>
      <c r="L73" s="109" t="s">
        <v>346</v>
      </c>
      <c r="M73" s="109"/>
      <c r="N73" s="109"/>
      <c r="O73" s="113" t="s">
        <v>2816</v>
      </c>
    </row>
    <row r="74" spans="1:15" ht="70.05" customHeight="1" outlineLevel="1">
      <c r="A74" s="109" t="s">
        <v>6550</v>
      </c>
      <c r="B74" s="110" t="s">
        <v>6534</v>
      </c>
      <c r="C74" s="110" t="s">
        <v>6535</v>
      </c>
      <c r="D74" s="111" t="s">
        <v>6551</v>
      </c>
      <c r="E74" s="111" t="s">
        <v>6552</v>
      </c>
      <c r="F74" s="109" t="s">
        <v>346</v>
      </c>
      <c r="G74" s="109"/>
      <c r="H74" s="109"/>
      <c r="I74" s="109" t="s">
        <v>346</v>
      </c>
      <c r="J74" s="109"/>
      <c r="K74" s="109"/>
      <c r="L74" s="109" t="s">
        <v>346</v>
      </c>
      <c r="M74" s="109"/>
      <c r="N74" s="109"/>
      <c r="O74" s="113" t="s">
        <v>2816</v>
      </c>
    </row>
    <row r="75" spans="1:15" ht="70.05" customHeight="1" outlineLevel="1">
      <c r="A75" s="109" t="s">
        <v>6553</v>
      </c>
      <c r="B75" s="110" t="s">
        <v>6534</v>
      </c>
      <c r="C75" s="110" t="s">
        <v>6535</v>
      </c>
      <c r="D75" s="111" t="s">
        <v>6554</v>
      </c>
      <c r="E75" s="111" t="s">
        <v>6555</v>
      </c>
      <c r="F75" s="109" t="s">
        <v>346</v>
      </c>
      <c r="G75" s="109"/>
      <c r="H75" s="109"/>
      <c r="I75" s="109" t="s">
        <v>346</v>
      </c>
      <c r="J75" s="109"/>
      <c r="K75" s="109"/>
      <c r="L75" s="109" t="s">
        <v>346</v>
      </c>
      <c r="M75" s="109"/>
      <c r="N75" s="109"/>
      <c r="O75" s="113" t="s">
        <v>2816</v>
      </c>
    </row>
    <row r="76" spans="1:15" ht="70.05" customHeight="1" outlineLevel="1">
      <c r="A76" s="109" t="s">
        <v>6556</v>
      </c>
      <c r="B76" s="110" t="s">
        <v>6534</v>
      </c>
      <c r="C76" s="110" t="s">
        <v>6535</v>
      </c>
      <c r="D76" s="111" t="s">
        <v>6557</v>
      </c>
      <c r="E76" s="111" t="s">
        <v>6558</v>
      </c>
      <c r="F76" s="109" t="s">
        <v>346</v>
      </c>
      <c r="G76" s="109"/>
      <c r="H76" s="109"/>
      <c r="I76" s="109" t="s">
        <v>346</v>
      </c>
      <c r="J76" s="109"/>
      <c r="K76" s="109"/>
      <c r="L76" s="109" t="s">
        <v>346</v>
      </c>
      <c r="M76" s="109"/>
      <c r="N76" s="109"/>
      <c r="O76" s="113" t="s">
        <v>2816</v>
      </c>
    </row>
    <row r="77" spans="1:15" ht="70.05" customHeight="1" outlineLevel="1">
      <c r="A77" s="109" t="s">
        <v>6559</v>
      </c>
      <c r="B77" s="110" t="s">
        <v>6560</v>
      </c>
      <c r="C77" s="110" t="s">
        <v>6535</v>
      </c>
      <c r="D77" s="111" t="s">
        <v>6561</v>
      </c>
      <c r="E77" s="111" t="s">
        <v>6562</v>
      </c>
      <c r="F77" s="109" t="s">
        <v>346</v>
      </c>
      <c r="G77" s="109"/>
      <c r="H77" s="109"/>
      <c r="I77" s="109" t="s">
        <v>346</v>
      </c>
      <c r="J77" s="109"/>
      <c r="K77" s="109"/>
      <c r="L77" s="109" t="s">
        <v>346</v>
      </c>
      <c r="M77" s="109"/>
      <c r="N77" s="109"/>
      <c r="O77" s="113" t="s">
        <v>2816</v>
      </c>
    </row>
    <row r="78" spans="1:15" ht="70.05" customHeight="1" outlineLevel="1">
      <c r="A78" s="109" t="s">
        <v>6563</v>
      </c>
      <c r="B78" s="110" t="s">
        <v>6560</v>
      </c>
      <c r="C78" s="110" t="s">
        <v>6535</v>
      </c>
      <c r="D78" s="111" t="s">
        <v>6564</v>
      </c>
      <c r="E78" s="111" t="s">
        <v>6565</v>
      </c>
      <c r="F78" s="109" t="s">
        <v>346</v>
      </c>
      <c r="G78" s="109"/>
      <c r="H78" s="109"/>
      <c r="I78" s="109" t="s">
        <v>346</v>
      </c>
      <c r="J78" s="109"/>
      <c r="K78" s="109"/>
      <c r="L78" s="109" t="s">
        <v>346</v>
      </c>
      <c r="M78" s="109"/>
      <c r="N78" s="109"/>
      <c r="O78" s="113" t="s">
        <v>2816</v>
      </c>
    </row>
    <row r="79" spans="1:15" ht="70.05" customHeight="1" outlineLevel="1">
      <c r="A79" s="109" t="s">
        <v>6566</v>
      </c>
      <c r="B79" s="110" t="s">
        <v>6560</v>
      </c>
      <c r="C79" s="110" t="s">
        <v>6535</v>
      </c>
      <c r="D79" s="111" t="s">
        <v>6567</v>
      </c>
      <c r="E79" s="111" t="s">
        <v>6568</v>
      </c>
      <c r="F79" s="109" t="s">
        <v>346</v>
      </c>
      <c r="G79" s="109"/>
      <c r="H79" s="109"/>
      <c r="I79" s="109" t="s">
        <v>346</v>
      </c>
      <c r="J79" s="109"/>
      <c r="K79" s="109"/>
      <c r="L79" s="109" t="s">
        <v>346</v>
      </c>
      <c r="M79" s="109"/>
      <c r="N79" s="109"/>
      <c r="O79" s="113" t="s">
        <v>2816</v>
      </c>
    </row>
    <row r="80" spans="1:15" ht="70.05" customHeight="1" outlineLevel="1">
      <c r="A80" s="109" t="s">
        <v>6569</v>
      </c>
      <c r="B80" s="110" t="s">
        <v>6570</v>
      </c>
      <c r="C80" s="110" t="s">
        <v>6571</v>
      </c>
      <c r="D80" s="111" t="s">
        <v>6572</v>
      </c>
      <c r="E80" s="111" t="s">
        <v>6503</v>
      </c>
      <c r="F80" s="109" t="s">
        <v>346</v>
      </c>
      <c r="G80" s="109"/>
      <c r="H80" s="109"/>
      <c r="I80" s="109" t="s">
        <v>346</v>
      </c>
      <c r="J80" s="109"/>
      <c r="K80" s="109"/>
      <c r="L80" s="109" t="s">
        <v>346</v>
      </c>
      <c r="M80" s="109"/>
      <c r="N80" s="109"/>
      <c r="O80" s="113" t="s">
        <v>2816</v>
      </c>
    </row>
    <row r="81" spans="1:15" ht="70.05" customHeight="1" outlineLevel="1">
      <c r="A81" s="109" t="s">
        <v>6573</v>
      </c>
      <c r="B81" s="110" t="s">
        <v>6574</v>
      </c>
      <c r="C81" s="110" t="s">
        <v>6575</v>
      </c>
      <c r="D81" s="111" t="s">
        <v>6572</v>
      </c>
      <c r="E81" s="111" t="s">
        <v>6503</v>
      </c>
      <c r="F81" s="109" t="s">
        <v>346</v>
      </c>
      <c r="G81" s="109"/>
      <c r="H81" s="109"/>
      <c r="I81" s="109" t="s">
        <v>346</v>
      </c>
      <c r="J81" s="109"/>
      <c r="K81" s="109"/>
      <c r="L81" s="109" t="s">
        <v>346</v>
      </c>
      <c r="M81" s="109"/>
      <c r="N81" s="109"/>
      <c r="O81" s="113" t="s">
        <v>2816</v>
      </c>
    </row>
    <row r="82" spans="1:15" ht="70.05" customHeight="1" outlineLevel="1">
      <c r="A82" s="109" t="s">
        <v>6576</v>
      </c>
      <c r="B82" s="110" t="s">
        <v>6577</v>
      </c>
      <c r="C82" s="110" t="s">
        <v>6578</v>
      </c>
      <c r="D82" s="111" t="s">
        <v>6572</v>
      </c>
      <c r="E82" s="111" t="s">
        <v>6579</v>
      </c>
      <c r="F82" s="109" t="s">
        <v>346</v>
      </c>
      <c r="G82" s="109"/>
      <c r="H82" s="109"/>
      <c r="I82" s="109" t="s">
        <v>346</v>
      </c>
      <c r="J82" s="109"/>
      <c r="K82" s="109"/>
      <c r="L82" s="109" t="s">
        <v>346</v>
      </c>
      <c r="M82" s="109"/>
      <c r="N82" s="109"/>
      <c r="O82" s="113" t="s">
        <v>2816</v>
      </c>
    </row>
    <row r="83" spans="1:15" ht="70.05" customHeight="1" outlineLevel="1">
      <c r="A83" s="109" t="s">
        <v>6580</v>
      </c>
      <c r="B83" s="110" t="s">
        <v>6581</v>
      </c>
      <c r="C83" s="110" t="s">
        <v>6582</v>
      </c>
      <c r="D83" s="111" t="s">
        <v>6572</v>
      </c>
      <c r="E83" s="111" t="s">
        <v>6583</v>
      </c>
      <c r="F83" s="109" t="s">
        <v>346</v>
      </c>
      <c r="G83" s="109"/>
      <c r="H83" s="109"/>
      <c r="I83" s="109" t="s">
        <v>346</v>
      </c>
      <c r="J83" s="109"/>
      <c r="K83" s="109"/>
      <c r="L83" s="109" t="s">
        <v>346</v>
      </c>
      <c r="M83" s="109"/>
      <c r="N83" s="109"/>
      <c r="O83" s="113" t="s">
        <v>2816</v>
      </c>
    </row>
    <row r="84" spans="1:15" ht="70.05" customHeight="1" outlineLevel="1">
      <c r="A84" s="109" t="s">
        <v>6584</v>
      </c>
      <c r="B84" s="110" t="s">
        <v>6585</v>
      </c>
      <c r="C84" s="110" t="s">
        <v>6586</v>
      </c>
      <c r="D84" s="111" t="s">
        <v>6572</v>
      </c>
      <c r="E84" s="111" t="s">
        <v>6587</v>
      </c>
      <c r="F84" s="109" t="s">
        <v>346</v>
      </c>
      <c r="G84" s="109"/>
      <c r="H84" s="109"/>
      <c r="I84" s="109" t="s">
        <v>346</v>
      </c>
      <c r="J84" s="109"/>
      <c r="K84" s="109"/>
      <c r="L84" s="109" t="s">
        <v>346</v>
      </c>
      <c r="M84" s="109"/>
      <c r="N84" s="109"/>
      <c r="O84" s="113" t="s">
        <v>2816</v>
      </c>
    </row>
    <row r="85" spans="1:15" ht="70.05" customHeight="1" outlineLevel="1">
      <c r="A85" s="109" t="s">
        <v>6588</v>
      </c>
      <c r="B85" s="110" t="s">
        <v>6589</v>
      </c>
      <c r="C85" s="110" t="s">
        <v>6535</v>
      </c>
      <c r="D85" s="111" t="s">
        <v>6417</v>
      </c>
      <c r="E85" s="111" t="s">
        <v>6525</v>
      </c>
      <c r="F85" s="109" t="s">
        <v>346</v>
      </c>
      <c r="G85" s="109"/>
      <c r="H85" s="109"/>
      <c r="I85" s="109" t="s">
        <v>346</v>
      </c>
      <c r="J85" s="109"/>
      <c r="K85" s="109"/>
      <c r="L85" s="109" t="s">
        <v>346</v>
      </c>
      <c r="M85" s="109"/>
      <c r="N85" s="109"/>
      <c r="O85" s="113" t="s">
        <v>2816</v>
      </c>
    </row>
    <row r="86" spans="1:15" ht="15.75" customHeight="1">
      <c r="A86" s="60" t="s">
        <v>274</v>
      </c>
      <c r="B86" s="60"/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2"/>
    </row>
    <row r="87" spans="1:15" ht="70.05" customHeight="1" outlineLevel="1">
      <c r="A87" s="109" t="s">
        <v>6590</v>
      </c>
      <c r="B87" s="110" t="s">
        <v>6591</v>
      </c>
      <c r="C87" s="110" t="s">
        <v>6592</v>
      </c>
      <c r="D87" s="111" t="s">
        <v>6593</v>
      </c>
      <c r="E87" s="111" t="s">
        <v>6594</v>
      </c>
      <c r="F87" s="109" t="s">
        <v>346</v>
      </c>
      <c r="G87" s="109"/>
      <c r="H87" s="109"/>
      <c r="I87" s="109" t="s">
        <v>346</v>
      </c>
      <c r="J87" s="109"/>
      <c r="K87" s="109"/>
      <c r="L87" s="109" t="s">
        <v>346</v>
      </c>
      <c r="M87" s="109"/>
      <c r="N87" s="109"/>
      <c r="O87" s="113" t="s">
        <v>2816</v>
      </c>
    </row>
    <row r="88" spans="1:15" ht="70.05" customHeight="1" outlineLevel="1">
      <c r="A88" s="109" t="s">
        <v>6595</v>
      </c>
      <c r="B88" s="110" t="s">
        <v>6591</v>
      </c>
      <c r="C88" s="110" t="s">
        <v>6592</v>
      </c>
      <c r="D88" s="111" t="s">
        <v>6596</v>
      </c>
      <c r="E88" s="111" t="s">
        <v>6597</v>
      </c>
      <c r="F88" s="109" t="s">
        <v>346</v>
      </c>
      <c r="G88" s="109"/>
      <c r="H88" s="109"/>
      <c r="I88" s="109" t="s">
        <v>346</v>
      </c>
      <c r="J88" s="109"/>
      <c r="K88" s="109"/>
      <c r="L88" s="109" t="s">
        <v>346</v>
      </c>
      <c r="M88" s="109"/>
      <c r="N88" s="109"/>
      <c r="O88" s="113" t="s">
        <v>2816</v>
      </c>
    </row>
    <row r="89" spans="1:15" ht="70.05" customHeight="1" outlineLevel="1">
      <c r="A89" s="109" t="s">
        <v>6598</v>
      </c>
      <c r="B89" s="110" t="s">
        <v>6591</v>
      </c>
      <c r="C89" s="110" t="s">
        <v>6592</v>
      </c>
      <c r="D89" s="111" t="s">
        <v>6599</v>
      </c>
      <c r="E89" s="111" t="s">
        <v>6600</v>
      </c>
      <c r="F89" s="109" t="s">
        <v>346</v>
      </c>
      <c r="G89" s="109"/>
      <c r="H89" s="109"/>
      <c r="I89" s="109" t="s">
        <v>346</v>
      </c>
      <c r="J89" s="109"/>
      <c r="K89" s="109"/>
      <c r="L89" s="109" t="s">
        <v>346</v>
      </c>
      <c r="M89" s="109"/>
      <c r="N89" s="109"/>
      <c r="O89" s="113" t="s">
        <v>2816</v>
      </c>
    </row>
    <row r="90" spans="1:15" ht="70.05" customHeight="1" outlineLevel="1">
      <c r="A90" s="109" t="s">
        <v>6601</v>
      </c>
      <c r="B90" s="110" t="s">
        <v>6591</v>
      </c>
      <c r="C90" s="110" t="s">
        <v>6592</v>
      </c>
      <c r="D90" s="111" t="s">
        <v>6602</v>
      </c>
      <c r="E90" s="111" t="s">
        <v>6603</v>
      </c>
      <c r="F90" s="109" t="s">
        <v>346</v>
      </c>
      <c r="G90" s="109"/>
      <c r="H90" s="109"/>
      <c r="I90" s="109" t="s">
        <v>346</v>
      </c>
      <c r="J90" s="109"/>
      <c r="K90" s="109"/>
      <c r="L90" s="109" t="s">
        <v>346</v>
      </c>
      <c r="M90" s="109"/>
      <c r="N90" s="109"/>
      <c r="O90" s="113" t="s">
        <v>2816</v>
      </c>
    </row>
    <row r="91" spans="1:15" ht="70.05" customHeight="1" outlineLevel="1">
      <c r="A91" s="109" t="s">
        <v>6604</v>
      </c>
      <c r="B91" s="110" t="s">
        <v>6591</v>
      </c>
      <c r="C91" s="110" t="s">
        <v>6592</v>
      </c>
      <c r="D91" s="111" t="s">
        <v>6605</v>
      </c>
      <c r="E91" s="111" t="s">
        <v>6606</v>
      </c>
      <c r="F91" s="109" t="s">
        <v>346</v>
      </c>
      <c r="G91" s="109"/>
      <c r="H91" s="109"/>
      <c r="I91" s="109" t="s">
        <v>346</v>
      </c>
      <c r="J91" s="109"/>
      <c r="K91" s="109"/>
      <c r="L91" s="109" t="s">
        <v>346</v>
      </c>
      <c r="M91" s="109"/>
      <c r="N91" s="109"/>
      <c r="O91" s="113" t="s">
        <v>2816</v>
      </c>
    </row>
    <row r="92" spans="1:15" ht="70.05" customHeight="1" outlineLevel="1">
      <c r="A92" s="109" t="s">
        <v>6607</v>
      </c>
      <c r="B92" s="110" t="s">
        <v>6591</v>
      </c>
      <c r="C92" s="110" t="s">
        <v>6592</v>
      </c>
      <c r="D92" s="111" t="s">
        <v>6608</v>
      </c>
      <c r="E92" s="111" t="s">
        <v>6609</v>
      </c>
      <c r="F92" s="109" t="s">
        <v>346</v>
      </c>
      <c r="G92" s="109"/>
      <c r="H92" s="109"/>
      <c r="I92" s="109" t="s">
        <v>346</v>
      </c>
      <c r="J92" s="109"/>
      <c r="K92" s="109"/>
      <c r="L92" s="109" t="s">
        <v>346</v>
      </c>
      <c r="M92" s="109"/>
      <c r="N92" s="109"/>
      <c r="O92" s="113" t="s">
        <v>2816</v>
      </c>
    </row>
    <row r="93" spans="1:15" ht="70.05" customHeight="1" outlineLevel="1">
      <c r="A93" s="109" t="s">
        <v>6610</v>
      </c>
      <c r="B93" s="110" t="s">
        <v>6591</v>
      </c>
      <c r="C93" s="110" t="s">
        <v>6592</v>
      </c>
      <c r="D93" s="111" t="s">
        <v>6611</v>
      </c>
      <c r="E93" s="111" t="s">
        <v>6612</v>
      </c>
      <c r="F93" s="109" t="s">
        <v>346</v>
      </c>
      <c r="G93" s="109"/>
      <c r="H93" s="109"/>
      <c r="I93" s="109" t="s">
        <v>346</v>
      </c>
      <c r="J93" s="109"/>
      <c r="K93" s="109"/>
      <c r="L93" s="109" t="s">
        <v>346</v>
      </c>
      <c r="M93" s="109"/>
      <c r="N93" s="109"/>
      <c r="O93" s="113" t="s">
        <v>2816</v>
      </c>
    </row>
    <row r="94" spans="1:15" ht="70.05" customHeight="1" outlineLevel="1">
      <c r="A94" s="109" t="s">
        <v>6613</v>
      </c>
      <c r="B94" s="110" t="s">
        <v>6591</v>
      </c>
      <c r="C94" s="110" t="s">
        <v>6592</v>
      </c>
      <c r="D94" s="111" t="s">
        <v>6614</v>
      </c>
      <c r="E94" s="111" t="s">
        <v>6615</v>
      </c>
      <c r="F94" s="109" t="s">
        <v>346</v>
      </c>
      <c r="G94" s="109"/>
      <c r="H94" s="109"/>
      <c r="I94" s="109" t="s">
        <v>346</v>
      </c>
      <c r="J94" s="109"/>
      <c r="K94" s="109"/>
      <c r="L94" s="109" t="s">
        <v>346</v>
      </c>
      <c r="M94" s="109"/>
      <c r="N94" s="109"/>
      <c r="O94" s="113" t="s">
        <v>2816</v>
      </c>
    </row>
    <row r="95" spans="1:15" ht="70.05" customHeight="1" outlineLevel="1">
      <c r="A95" s="109" t="s">
        <v>6616</v>
      </c>
      <c r="B95" s="110" t="s">
        <v>6617</v>
      </c>
      <c r="C95" s="110" t="s">
        <v>6592</v>
      </c>
      <c r="D95" s="111" t="s">
        <v>1223</v>
      </c>
      <c r="E95" s="111" t="s">
        <v>6618</v>
      </c>
      <c r="F95" s="109" t="s">
        <v>346</v>
      </c>
      <c r="G95" s="109"/>
      <c r="H95" s="109"/>
      <c r="I95" s="109" t="s">
        <v>346</v>
      </c>
      <c r="J95" s="109"/>
      <c r="K95" s="109"/>
      <c r="L95" s="109" t="s">
        <v>346</v>
      </c>
      <c r="M95" s="109"/>
      <c r="N95" s="109"/>
      <c r="O95" s="113" t="s">
        <v>2816</v>
      </c>
    </row>
    <row r="96" spans="1:15" ht="70.05" customHeight="1" outlineLevel="1">
      <c r="A96" s="109" t="s">
        <v>6619</v>
      </c>
      <c r="B96" s="110" t="s">
        <v>6617</v>
      </c>
      <c r="C96" s="110" t="s">
        <v>6592</v>
      </c>
      <c r="D96" s="111" t="s">
        <v>6620</v>
      </c>
      <c r="E96" s="111" t="s">
        <v>6621</v>
      </c>
      <c r="F96" s="109" t="s">
        <v>346</v>
      </c>
      <c r="G96" s="109"/>
      <c r="H96" s="109"/>
      <c r="I96" s="109" t="s">
        <v>346</v>
      </c>
      <c r="J96" s="109"/>
      <c r="K96" s="109"/>
      <c r="L96" s="109" t="s">
        <v>346</v>
      </c>
      <c r="M96" s="109"/>
      <c r="N96" s="109"/>
      <c r="O96" s="113" t="s">
        <v>2816</v>
      </c>
    </row>
    <row r="97" spans="1:15" ht="70.05" customHeight="1" outlineLevel="1">
      <c r="A97" s="109" t="s">
        <v>6622</v>
      </c>
      <c r="B97" s="110" t="s">
        <v>6617</v>
      </c>
      <c r="C97" s="110" t="s">
        <v>6592</v>
      </c>
      <c r="D97" s="111" t="s">
        <v>6623</v>
      </c>
      <c r="E97" s="111" t="s">
        <v>6624</v>
      </c>
      <c r="F97" s="109" t="s">
        <v>346</v>
      </c>
      <c r="G97" s="109"/>
      <c r="H97" s="109"/>
      <c r="I97" s="109" t="s">
        <v>346</v>
      </c>
      <c r="J97" s="109"/>
      <c r="K97" s="109"/>
      <c r="L97" s="109" t="s">
        <v>346</v>
      </c>
      <c r="M97" s="109"/>
      <c r="N97" s="109"/>
      <c r="O97" s="113" t="s">
        <v>2816</v>
      </c>
    </row>
    <row r="98" spans="1:15" ht="70.05" customHeight="1" outlineLevel="1">
      <c r="A98" s="109" t="s">
        <v>6625</v>
      </c>
      <c r="B98" s="110" t="s">
        <v>6617</v>
      </c>
      <c r="C98" s="110" t="s">
        <v>6592</v>
      </c>
      <c r="D98" s="111" t="s">
        <v>6626</v>
      </c>
      <c r="E98" s="111" t="s">
        <v>6627</v>
      </c>
      <c r="F98" s="109" t="s">
        <v>346</v>
      </c>
      <c r="G98" s="109"/>
      <c r="H98" s="109"/>
      <c r="I98" s="109" t="s">
        <v>346</v>
      </c>
      <c r="J98" s="109"/>
      <c r="K98" s="109"/>
      <c r="L98" s="109" t="s">
        <v>346</v>
      </c>
      <c r="M98" s="109"/>
      <c r="N98" s="109"/>
      <c r="O98" s="113" t="s">
        <v>2816</v>
      </c>
    </row>
    <row r="99" spans="1:15" ht="70.05" customHeight="1" outlineLevel="1">
      <c r="A99" s="109" t="s">
        <v>6628</v>
      </c>
      <c r="B99" s="110" t="s">
        <v>6629</v>
      </c>
      <c r="C99" s="110" t="s">
        <v>6592</v>
      </c>
      <c r="D99" s="111" t="s">
        <v>6630</v>
      </c>
      <c r="E99" s="111" t="s">
        <v>6631</v>
      </c>
      <c r="F99" s="109" t="s">
        <v>346</v>
      </c>
      <c r="G99" s="109"/>
      <c r="H99" s="109"/>
      <c r="I99" s="109" t="s">
        <v>346</v>
      </c>
      <c r="J99" s="109"/>
      <c r="K99" s="109"/>
      <c r="L99" s="109" t="s">
        <v>346</v>
      </c>
      <c r="M99" s="109"/>
      <c r="N99" s="109"/>
      <c r="O99" s="113" t="s">
        <v>2816</v>
      </c>
    </row>
    <row r="100" spans="1:15" ht="70.05" customHeight="1" outlineLevel="1">
      <c r="A100" s="109" t="s">
        <v>6632</v>
      </c>
      <c r="B100" s="110" t="s">
        <v>6633</v>
      </c>
      <c r="C100" s="110" t="s">
        <v>6634</v>
      </c>
      <c r="D100" s="111" t="s">
        <v>6572</v>
      </c>
      <c r="E100" s="111" t="s">
        <v>6503</v>
      </c>
      <c r="F100" s="109" t="s">
        <v>346</v>
      </c>
      <c r="G100" s="109"/>
      <c r="H100" s="109"/>
      <c r="I100" s="109" t="s">
        <v>346</v>
      </c>
      <c r="J100" s="109"/>
      <c r="K100" s="109"/>
      <c r="L100" s="109" t="s">
        <v>346</v>
      </c>
      <c r="M100" s="109"/>
      <c r="N100" s="109"/>
      <c r="O100" s="113" t="s">
        <v>2816</v>
      </c>
    </row>
    <row r="101" spans="1:15" ht="70.05" customHeight="1" outlineLevel="1">
      <c r="A101" s="109" t="s">
        <v>6635</v>
      </c>
      <c r="B101" s="110" t="s">
        <v>6636</v>
      </c>
      <c r="C101" s="110" t="s">
        <v>6637</v>
      </c>
      <c r="D101" s="111" t="s">
        <v>6572</v>
      </c>
      <c r="E101" s="111" t="s">
        <v>6503</v>
      </c>
      <c r="F101" s="109" t="s">
        <v>346</v>
      </c>
      <c r="G101" s="109"/>
      <c r="H101" s="109"/>
      <c r="I101" s="109" t="s">
        <v>346</v>
      </c>
      <c r="J101" s="109"/>
      <c r="K101" s="109"/>
      <c r="L101" s="109" t="s">
        <v>346</v>
      </c>
      <c r="M101" s="109"/>
      <c r="N101" s="109"/>
      <c r="O101" s="113" t="s">
        <v>2816</v>
      </c>
    </row>
    <row r="102" spans="1:15" ht="70.05" customHeight="1" outlineLevel="1">
      <c r="A102" s="109" t="s">
        <v>6638</v>
      </c>
      <c r="B102" s="110" t="s">
        <v>6639</v>
      </c>
      <c r="C102" s="110" t="s">
        <v>6640</v>
      </c>
      <c r="D102" s="111" t="s">
        <v>6572</v>
      </c>
      <c r="E102" s="111" t="s">
        <v>6641</v>
      </c>
      <c r="F102" s="109" t="s">
        <v>346</v>
      </c>
      <c r="G102" s="109"/>
      <c r="H102" s="109"/>
      <c r="I102" s="109" t="s">
        <v>346</v>
      </c>
      <c r="J102" s="109"/>
      <c r="K102" s="109"/>
      <c r="L102" s="109" t="s">
        <v>346</v>
      </c>
      <c r="M102" s="109"/>
      <c r="N102" s="109"/>
      <c r="O102" s="113" t="s">
        <v>2816</v>
      </c>
    </row>
    <row r="103" spans="1:15" ht="70.05" customHeight="1" outlineLevel="1">
      <c r="A103" s="109" t="s">
        <v>6642</v>
      </c>
      <c r="B103" s="110" t="s">
        <v>6629</v>
      </c>
      <c r="C103" s="110" t="s">
        <v>6592</v>
      </c>
      <c r="D103" s="111" t="s">
        <v>6417</v>
      </c>
      <c r="E103" s="111" t="s">
        <v>6525</v>
      </c>
      <c r="F103" s="109" t="s">
        <v>346</v>
      </c>
      <c r="G103" s="109"/>
      <c r="H103" s="109"/>
      <c r="I103" s="109" t="s">
        <v>346</v>
      </c>
      <c r="J103" s="109"/>
      <c r="K103" s="109"/>
      <c r="L103" s="109" t="s">
        <v>346</v>
      </c>
      <c r="M103" s="109"/>
      <c r="N103" s="109"/>
      <c r="O103" s="113" t="s">
        <v>2816</v>
      </c>
    </row>
    <row r="104" spans="1:15" ht="70.05" customHeight="1" outlineLevel="1">
      <c r="A104" s="109" t="s">
        <v>6643</v>
      </c>
      <c r="B104" s="110" t="s">
        <v>6629</v>
      </c>
      <c r="C104" s="110" t="s">
        <v>6592</v>
      </c>
      <c r="D104" s="111" t="s">
        <v>6644</v>
      </c>
      <c r="E104" s="111" t="s">
        <v>6645</v>
      </c>
      <c r="F104" s="109" t="s">
        <v>346</v>
      </c>
      <c r="G104" s="109"/>
      <c r="H104" s="109"/>
      <c r="I104" s="109" t="s">
        <v>346</v>
      </c>
      <c r="J104" s="109"/>
      <c r="K104" s="109"/>
      <c r="L104" s="109" t="s">
        <v>346</v>
      </c>
      <c r="M104" s="109"/>
      <c r="N104" s="109"/>
      <c r="O104" s="113" t="s">
        <v>2816</v>
      </c>
    </row>
    <row r="105" spans="1:15" ht="15.75" customHeight="1">
      <c r="A105" s="60" t="s">
        <v>276</v>
      </c>
      <c r="B105" s="60"/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2"/>
    </row>
    <row r="106" spans="1:15" ht="70.05" customHeight="1" outlineLevel="1">
      <c r="A106" s="109" t="s">
        <v>6646</v>
      </c>
      <c r="B106" s="110" t="s">
        <v>6647</v>
      </c>
      <c r="C106" s="110" t="s">
        <v>6648</v>
      </c>
      <c r="D106" s="111" t="s">
        <v>6649</v>
      </c>
      <c r="E106" s="111" t="s">
        <v>6650</v>
      </c>
      <c r="F106" s="109" t="s">
        <v>346</v>
      </c>
      <c r="G106" s="109"/>
      <c r="H106" s="109"/>
      <c r="I106" s="109" t="s">
        <v>346</v>
      </c>
      <c r="J106" s="109"/>
      <c r="K106" s="109"/>
      <c r="L106" s="109" t="s">
        <v>346</v>
      </c>
      <c r="M106" s="109"/>
      <c r="N106" s="109"/>
      <c r="O106" s="113" t="s">
        <v>2816</v>
      </c>
    </row>
    <row r="107" spans="1:15" ht="70.05" customHeight="1" outlineLevel="1">
      <c r="A107" s="109" t="s">
        <v>6651</v>
      </c>
      <c r="B107" s="110" t="s">
        <v>6652</v>
      </c>
      <c r="C107" s="110" t="s">
        <v>6653</v>
      </c>
      <c r="D107" s="111" t="s">
        <v>6654</v>
      </c>
      <c r="E107" s="111" t="s">
        <v>6650</v>
      </c>
      <c r="F107" s="109" t="s">
        <v>346</v>
      </c>
      <c r="G107" s="109"/>
      <c r="H107" s="109"/>
      <c r="I107" s="109" t="s">
        <v>346</v>
      </c>
      <c r="J107" s="109"/>
      <c r="K107" s="109"/>
      <c r="L107" s="109" t="s">
        <v>346</v>
      </c>
      <c r="M107" s="109"/>
      <c r="N107" s="109"/>
      <c r="O107" s="113" t="s">
        <v>2816</v>
      </c>
    </row>
    <row r="108" spans="1:15" ht="70.05" customHeight="1" outlineLevel="1">
      <c r="A108" s="109" t="s">
        <v>6655</v>
      </c>
      <c r="B108" s="110" t="s">
        <v>6656</v>
      </c>
      <c r="C108" s="110" t="s">
        <v>6657</v>
      </c>
      <c r="D108" s="111" t="s">
        <v>6658</v>
      </c>
      <c r="E108" s="111" t="s">
        <v>6650</v>
      </c>
      <c r="F108" s="109" t="s">
        <v>346</v>
      </c>
      <c r="G108" s="109"/>
      <c r="H108" s="109"/>
      <c r="I108" s="109" t="s">
        <v>346</v>
      </c>
      <c r="J108" s="109"/>
      <c r="K108" s="109"/>
      <c r="L108" s="109" t="s">
        <v>346</v>
      </c>
      <c r="M108" s="109"/>
      <c r="N108" s="109"/>
      <c r="O108" s="113" t="s">
        <v>2816</v>
      </c>
    </row>
    <row r="109" spans="1:15" ht="70.05" customHeight="1" outlineLevel="1">
      <c r="A109" s="109" t="s">
        <v>6659</v>
      </c>
      <c r="B109" s="110" t="s">
        <v>6660</v>
      </c>
      <c r="C109" s="110" t="s">
        <v>6661</v>
      </c>
      <c r="D109" s="111" t="s">
        <v>6662</v>
      </c>
      <c r="E109" s="111" t="s">
        <v>6650</v>
      </c>
      <c r="F109" s="109" t="s">
        <v>346</v>
      </c>
      <c r="G109" s="109"/>
      <c r="H109" s="109"/>
      <c r="I109" s="109" t="s">
        <v>346</v>
      </c>
      <c r="J109" s="109"/>
      <c r="K109" s="109"/>
      <c r="L109" s="109" t="s">
        <v>346</v>
      </c>
      <c r="M109" s="109"/>
      <c r="N109" s="109"/>
      <c r="O109" s="113" t="s">
        <v>2816</v>
      </c>
    </row>
    <row r="110" spans="1:15" ht="70.05" customHeight="1" outlineLevel="1">
      <c r="A110" s="109" t="s">
        <v>6663</v>
      </c>
      <c r="B110" s="110" t="s">
        <v>6652</v>
      </c>
      <c r="C110" s="110" t="s">
        <v>6653</v>
      </c>
      <c r="D110" s="111" t="s">
        <v>6664</v>
      </c>
      <c r="E110" s="111" t="s">
        <v>6665</v>
      </c>
      <c r="F110" s="109" t="s">
        <v>346</v>
      </c>
      <c r="G110" s="109"/>
      <c r="H110" s="109"/>
      <c r="I110" s="109" t="s">
        <v>346</v>
      </c>
      <c r="J110" s="109"/>
      <c r="K110" s="109"/>
      <c r="L110" s="109" t="s">
        <v>346</v>
      </c>
      <c r="M110" s="109"/>
      <c r="N110" s="109"/>
      <c r="O110" s="113" t="s">
        <v>2816</v>
      </c>
    </row>
    <row r="111" spans="1:15" ht="70.05" customHeight="1" outlineLevel="1">
      <c r="A111" s="109" t="s">
        <v>6666</v>
      </c>
      <c r="B111" s="110" t="s">
        <v>6647</v>
      </c>
      <c r="C111" s="110" t="s">
        <v>6648</v>
      </c>
      <c r="D111" s="111" t="s">
        <v>6667</v>
      </c>
      <c r="E111" s="111" t="s">
        <v>6668</v>
      </c>
      <c r="F111" s="109" t="s">
        <v>346</v>
      </c>
      <c r="G111" s="109"/>
      <c r="H111" s="109"/>
      <c r="I111" s="109" t="s">
        <v>346</v>
      </c>
      <c r="J111" s="109"/>
      <c r="K111" s="109"/>
      <c r="L111" s="109" t="s">
        <v>346</v>
      </c>
      <c r="M111" s="109"/>
      <c r="N111" s="109"/>
      <c r="O111" s="113" t="s">
        <v>2816</v>
      </c>
    </row>
    <row r="112" spans="1:15" ht="70.05" customHeight="1" outlineLevel="1">
      <c r="A112" s="109" t="s">
        <v>6669</v>
      </c>
      <c r="B112" s="110" t="s">
        <v>6656</v>
      </c>
      <c r="C112" s="110" t="s">
        <v>6657</v>
      </c>
      <c r="D112" s="111" t="s">
        <v>6670</v>
      </c>
      <c r="E112" s="111" t="s">
        <v>6671</v>
      </c>
      <c r="F112" s="109" t="s">
        <v>346</v>
      </c>
      <c r="G112" s="109"/>
      <c r="H112" s="109"/>
      <c r="I112" s="109" t="s">
        <v>346</v>
      </c>
      <c r="J112" s="109"/>
      <c r="K112" s="109"/>
      <c r="L112" s="109" t="s">
        <v>346</v>
      </c>
      <c r="M112" s="109"/>
      <c r="N112" s="109"/>
      <c r="O112" s="113" t="s">
        <v>2816</v>
      </c>
    </row>
    <row r="113" spans="1:15" ht="70.05" customHeight="1" outlineLevel="1">
      <c r="A113" s="109" t="s">
        <v>6672</v>
      </c>
      <c r="B113" s="110" t="s">
        <v>6673</v>
      </c>
      <c r="C113" s="110" t="s">
        <v>6674</v>
      </c>
      <c r="D113" s="111" t="s">
        <v>6675</v>
      </c>
      <c r="E113" s="111" t="s">
        <v>6650</v>
      </c>
      <c r="F113" s="109" t="s">
        <v>346</v>
      </c>
      <c r="G113" s="109"/>
      <c r="H113" s="109"/>
      <c r="I113" s="109" t="s">
        <v>346</v>
      </c>
      <c r="J113" s="109"/>
      <c r="K113" s="109"/>
      <c r="L113" s="109" t="s">
        <v>346</v>
      </c>
      <c r="M113" s="109"/>
      <c r="N113" s="109"/>
      <c r="O113" s="113" t="s">
        <v>2816</v>
      </c>
    </row>
    <row r="114" spans="1:15" ht="70.05" customHeight="1" outlineLevel="1">
      <c r="A114" s="109" t="s">
        <v>6676</v>
      </c>
      <c r="B114" s="110" t="s">
        <v>6677</v>
      </c>
      <c r="C114" s="110" t="s">
        <v>6661</v>
      </c>
      <c r="D114" s="111" t="s">
        <v>6678</v>
      </c>
      <c r="E114" s="111" t="s">
        <v>6679</v>
      </c>
      <c r="F114" s="109" t="s">
        <v>346</v>
      </c>
      <c r="G114" s="109"/>
      <c r="H114" s="109"/>
      <c r="I114" s="109" t="s">
        <v>346</v>
      </c>
      <c r="J114" s="109"/>
      <c r="K114" s="109"/>
      <c r="L114" s="109" t="s">
        <v>346</v>
      </c>
      <c r="M114" s="109"/>
      <c r="N114" s="109"/>
      <c r="O114" s="113" t="s">
        <v>2816</v>
      </c>
    </row>
    <row r="115" spans="1:15" ht="70.05" customHeight="1" outlineLevel="1">
      <c r="A115" s="109" t="s">
        <v>6680</v>
      </c>
      <c r="B115" s="110" t="s">
        <v>6677</v>
      </c>
      <c r="C115" s="110" t="s">
        <v>6661</v>
      </c>
      <c r="D115" s="111" t="s">
        <v>6681</v>
      </c>
      <c r="E115" s="111" t="s">
        <v>6682</v>
      </c>
      <c r="F115" s="109" t="s">
        <v>346</v>
      </c>
      <c r="G115" s="109"/>
      <c r="H115" s="109"/>
      <c r="I115" s="109" t="s">
        <v>346</v>
      </c>
      <c r="J115" s="109"/>
      <c r="K115" s="109"/>
      <c r="L115" s="109" t="s">
        <v>346</v>
      </c>
      <c r="M115" s="109"/>
      <c r="N115" s="109"/>
      <c r="O115" s="113" t="s">
        <v>2816</v>
      </c>
    </row>
    <row r="116" spans="1:15" ht="70.05" customHeight="1" outlineLevel="1">
      <c r="A116" s="109" t="s">
        <v>6683</v>
      </c>
      <c r="B116" s="110" t="s">
        <v>6684</v>
      </c>
      <c r="C116" s="110" t="s">
        <v>6653</v>
      </c>
      <c r="D116" s="111" t="s">
        <v>6678</v>
      </c>
      <c r="E116" s="111" t="s">
        <v>6685</v>
      </c>
      <c r="F116" s="109" t="s">
        <v>346</v>
      </c>
      <c r="G116" s="109"/>
      <c r="H116" s="109"/>
      <c r="I116" s="109" t="s">
        <v>346</v>
      </c>
      <c r="J116" s="109"/>
      <c r="K116" s="109"/>
      <c r="L116" s="109" t="s">
        <v>346</v>
      </c>
      <c r="M116" s="109"/>
      <c r="N116" s="109"/>
      <c r="O116" s="113" t="s">
        <v>2816</v>
      </c>
    </row>
    <row r="117" spans="1:15" ht="70.05" customHeight="1" outlineLevel="1">
      <c r="A117" s="109" t="s">
        <v>6686</v>
      </c>
      <c r="B117" s="110" t="s">
        <v>6684</v>
      </c>
      <c r="C117" s="110" t="s">
        <v>6653</v>
      </c>
      <c r="D117" s="111" t="s">
        <v>6687</v>
      </c>
      <c r="E117" s="111" t="s">
        <v>6688</v>
      </c>
      <c r="F117" s="109" t="s">
        <v>346</v>
      </c>
      <c r="G117" s="109"/>
      <c r="H117" s="109"/>
      <c r="I117" s="109" t="s">
        <v>346</v>
      </c>
      <c r="J117" s="109"/>
      <c r="K117" s="109"/>
      <c r="L117" s="109" t="s">
        <v>346</v>
      </c>
      <c r="M117" s="109"/>
      <c r="N117" s="109"/>
      <c r="O117" s="113" t="s">
        <v>2816</v>
      </c>
    </row>
    <row r="118" spans="1:15" ht="70.05" customHeight="1" outlineLevel="1">
      <c r="A118" s="109" t="s">
        <v>6689</v>
      </c>
      <c r="B118" s="110" t="s">
        <v>6690</v>
      </c>
      <c r="C118" s="110" t="s">
        <v>6648</v>
      </c>
      <c r="D118" s="111" t="s">
        <v>6691</v>
      </c>
      <c r="E118" s="111" t="s">
        <v>6692</v>
      </c>
      <c r="F118" s="109" t="s">
        <v>346</v>
      </c>
      <c r="G118" s="109"/>
      <c r="H118" s="109"/>
      <c r="I118" s="109" t="s">
        <v>346</v>
      </c>
      <c r="J118" s="109"/>
      <c r="K118" s="109"/>
      <c r="L118" s="109" t="s">
        <v>346</v>
      </c>
      <c r="M118" s="109"/>
      <c r="N118" s="109"/>
      <c r="O118" s="113" t="s">
        <v>2816</v>
      </c>
    </row>
    <row r="119" spans="1:15" ht="70.05" customHeight="1" outlineLevel="1">
      <c r="A119" s="109" t="s">
        <v>6693</v>
      </c>
      <c r="B119" s="110" t="s">
        <v>6694</v>
      </c>
      <c r="C119" s="110" t="s">
        <v>6695</v>
      </c>
      <c r="D119" s="111" t="s">
        <v>6391</v>
      </c>
      <c r="E119" s="111" t="s">
        <v>6503</v>
      </c>
      <c r="F119" s="109" t="s">
        <v>346</v>
      </c>
      <c r="G119" s="109"/>
      <c r="H119" s="109"/>
      <c r="I119" s="109" t="s">
        <v>346</v>
      </c>
      <c r="J119" s="109"/>
      <c r="K119" s="109"/>
      <c r="L119" s="109" t="s">
        <v>346</v>
      </c>
      <c r="M119" s="109"/>
      <c r="N119" s="109"/>
      <c r="O119" s="113" t="s">
        <v>2816</v>
      </c>
    </row>
    <row r="120" spans="1:15" ht="70.05" customHeight="1" outlineLevel="1">
      <c r="A120" s="109" t="s">
        <v>6696</v>
      </c>
      <c r="B120" s="110" t="s">
        <v>6697</v>
      </c>
      <c r="C120" s="110" t="s">
        <v>6698</v>
      </c>
      <c r="D120" s="111" t="s">
        <v>6391</v>
      </c>
      <c r="E120" s="111" t="s">
        <v>6503</v>
      </c>
      <c r="F120" s="109" t="s">
        <v>346</v>
      </c>
      <c r="G120" s="109"/>
      <c r="H120" s="109"/>
      <c r="I120" s="109" t="s">
        <v>346</v>
      </c>
      <c r="J120" s="109"/>
      <c r="K120" s="109"/>
      <c r="L120" s="109" t="s">
        <v>346</v>
      </c>
      <c r="M120" s="109"/>
      <c r="N120" s="109"/>
      <c r="O120" s="113" t="s">
        <v>2816</v>
      </c>
    </row>
    <row r="121" spans="1:15" ht="70.05" customHeight="1" outlineLevel="1">
      <c r="A121" s="109" t="s">
        <v>6699</v>
      </c>
      <c r="B121" s="110" t="s">
        <v>6700</v>
      </c>
      <c r="C121" s="110" t="s">
        <v>6701</v>
      </c>
      <c r="D121" s="111" t="s">
        <v>6702</v>
      </c>
      <c r="E121" s="111" t="s">
        <v>6503</v>
      </c>
      <c r="F121" s="109" t="s">
        <v>346</v>
      </c>
      <c r="G121" s="109"/>
      <c r="H121" s="109"/>
      <c r="I121" s="109" t="s">
        <v>346</v>
      </c>
      <c r="J121" s="109"/>
      <c r="K121" s="109"/>
      <c r="L121" s="109" t="s">
        <v>346</v>
      </c>
      <c r="M121" s="109"/>
      <c r="N121" s="109"/>
      <c r="O121" s="113" t="s">
        <v>2816</v>
      </c>
    </row>
    <row r="122" spans="1:15" ht="70.05" customHeight="1" outlineLevel="1">
      <c r="A122" s="109" t="s">
        <v>6703</v>
      </c>
      <c r="B122" s="110" t="s">
        <v>6704</v>
      </c>
      <c r="C122" s="110" t="s">
        <v>6705</v>
      </c>
      <c r="D122" s="111" t="s">
        <v>6706</v>
      </c>
      <c r="E122" s="111" t="s">
        <v>6707</v>
      </c>
      <c r="F122" s="109" t="s">
        <v>346</v>
      </c>
      <c r="G122" s="109"/>
      <c r="H122" s="109"/>
      <c r="I122" s="109" t="s">
        <v>346</v>
      </c>
      <c r="J122" s="109"/>
      <c r="K122" s="109"/>
      <c r="L122" s="109" t="s">
        <v>346</v>
      </c>
      <c r="M122" s="109"/>
      <c r="N122" s="109"/>
      <c r="O122" s="113" t="s">
        <v>2816</v>
      </c>
    </row>
    <row r="123" spans="1:15" ht="70.05" customHeight="1" outlineLevel="1">
      <c r="A123" s="109" t="s">
        <v>6708</v>
      </c>
      <c r="B123" s="110" t="s">
        <v>6709</v>
      </c>
      <c r="C123" s="110" t="s">
        <v>6648</v>
      </c>
      <c r="D123" s="111" t="s">
        <v>6417</v>
      </c>
      <c r="E123" s="111" t="s">
        <v>6525</v>
      </c>
      <c r="F123" s="109" t="s">
        <v>346</v>
      </c>
      <c r="G123" s="109"/>
      <c r="H123" s="109"/>
      <c r="I123" s="109" t="s">
        <v>346</v>
      </c>
      <c r="J123" s="109"/>
      <c r="K123" s="109"/>
      <c r="L123" s="109" t="s">
        <v>346</v>
      </c>
      <c r="M123" s="109"/>
      <c r="N123" s="109"/>
      <c r="O123" s="113" t="s">
        <v>2816</v>
      </c>
    </row>
    <row r="124" spans="1:15" ht="15.75" customHeight="1">
      <c r="A124" s="60" t="s">
        <v>278</v>
      </c>
      <c r="B124" s="60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2"/>
    </row>
    <row r="125" spans="1:15" ht="70.05" customHeight="1" outlineLevel="1">
      <c r="A125" s="109" t="s">
        <v>6710</v>
      </c>
      <c r="B125" s="110" t="s">
        <v>6711</v>
      </c>
      <c r="C125" s="110" t="s">
        <v>6712</v>
      </c>
      <c r="D125" s="111" t="s">
        <v>6713</v>
      </c>
      <c r="E125" s="111" t="s">
        <v>6714</v>
      </c>
      <c r="F125" s="109" t="s">
        <v>346</v>
      </c>
      <c r="G125" s="109"/>
      <c r="H125" s="109"/>
      <c r="I125" s="109" t="s">
        <v>346</v>
      </c>
      <c r="J125" s="109"/>
      <c r="K125" s="109"/>
      <c r="L125" s="109" t="s">
        <v>346</v>
      </c>
      <c r="M125" s="109"/>
      <c r="N125" s="109"/>
      <c r="O125" s="113" t="s">
        <v>2816</v>
      </c>
    </row>
    <row r="126" spans="1:15" ht="70.05" customHeight="1" outlineLevel="1">
      <c r="A126" s="109" t="s">
        <v>6715</v>
      </c>
      <c r="B126" s="110" t="s">
        <v>6711</v>
      </c>
      <c r="C126" s="110" t="s">
        <v>6712</v>
      </c>
      <c r="D126" s="111" t="s">
        <v>6716</v>
      </c>
      <c r="E126" s="111" t="s">
        <v>6717</v>
      </c>
      <c r="F126" s="109" t="s">
        <v>346</v>
      </c>
      <c r="G126" s="109"/>
      <c r="H126" s="109"/>
      <c r="I126" s="109" t="s">
        <v>346</v>
      </c>
      <c r="J126" s="109"/>
      <c r="K126" s="109"/>
      <c r="L126" s="109" t="s">
        <v>346</v>
      </c>
      <c r="M126" s="109"/>
      <c r="N126" s="109"/>
      <c r="O126" s="113" t="s">
        <v>2816</v>
      </c>
    </row>
    <row r="127" spans="1:15" ht="70.05" customHeight="1" outlineLevel="1">
      <c r="A127" s="109" t="s">
        <v>6718</v>
      </c>
      <c r="B127" s="110" t="s">
        <v>6711</v>
      </c>
      <c r="C127" s="110" t="s">
        <v>6712</v>
      </c>
      <c r="D127" s="111" t="s">
        <v>6719</v>
      </c>
      <c r="E127" s="111" t="s">
        <v>6720</v>
      </c>
      <c r="F127" s="109" t="s">
        <v>346</v>
      </c>
      <c r="G127" s="109"/>
      <c r="H127" s="109"/>
      <c r="I127" s="109" t="s">
        <v>346</v>
      </c>
      <c r="J127" s="109"/>
      <c r="K127" s="109"/>
      <c r="L127" s="109" t="s">
        <v>346</v>
      </c>
      <c r="M127" s="109"/>
      <c r="N127" s="109"/>
      <c r="O127" s="113" t="s">
        <v>2816</v>
      </c>
    </row>
    <row r="128" spans="1:15" ht="70.05" customHeight="1" outlineLevel="1">
      <c r="A128" s="109" t="s">
        <v>6721</v>
      </c>
      <c r="B128" s="110" t="s">
        <v>6711</v>
      </c>
      <c r="C128" s="110" t="s">
        <v>6712</v>
      </c>
      <c r="D128" s="111" t="s">
        <v>6722</v>
      </c>
      <c r="E128" s="111" t="s">
        <v>6494</v>
      </c>
      <c r="F128" s="109" t="s">
        <v>346</v>
      </c>
      <c r="G128" s="109"/>
      <c r="H128" s="109"/>
      <c r="I128" s="109" t="s">
        <v>346</v>
      </c>
      <c r="J128" s="109"/>
      <c r="K128" s="109"/>
      <c r="L128" s="109" t="s">
        <v>346</v>
      </c>
      <c r="M128" s="109"/>
      <c r="N128" s="109"/>
      <c r="O128" s="113" t="s">
        <v>2816</v>
      </c>
    </row>
    <row r="129" spans="1:15" ht="70.05" customHeight="1" outlineLevel="1">
      <c r="A129" s="109" t="s">
        <v>6723</v>
      </c>
      <c r="B129" s="110" t="s">
        <v>6711</v>
      </c>
      <c r="C129" s="110" t="s">
        <v>6712</v>
      </c>
      <c r="D129" s="111" t="s">
        <v>6724</v>
      </c>
      <c r="E129" s="111" t="s">
        <v>6725</v>
      </c>
      <c r="F129" s="109" t="s">
        <v>346</v>
      </c>
      <c r="G129" s="109"/>
      <c r="H129" s="109"/>
      <c r="I129" s="109" t="s">
        <v>346</v>
      </c>
      <c r="J129" s="109"/>
      <c r="K129" s="109"/>
      <c r="L129" s="109" t="s">
        <v>346</v>
      </c>
      <c r="M129" s="109"/>
      <c r="N129" s="109"/>
      <c r="O129" s="113" t="s">
        <v>2816</v>
      </c>
    </row>
    <row r="130" spans="1:15" ht="70.05" customHeight="1" outlineLevel="1">
      <c r="A130" s="109" t="s">
        <v>6726</v>
      </c>
      <c r="B130" s="110" t="s">
        <v>6711</v>
      </c>
      <c r="C130" s="110" t="s">
        <v>6712</v>
      </c>
      <c r="D130" s="111" t="s">
        <v>6727</v>
      </c>
      <c r="E130" s="111" t="s">
        <v>6728</v>
      </c>
      <c r="F130" s="109" t="s">
        <v>346</v>
      </c>
      <c r="G130" s="109"/>
      <c r="H130" s="109"/>
      <c r="I130" s="109" t="s">
        <v>346</v>
      </c>
      <c r="J130" s="109"/>
      <c r="K130" s="109"/>
      <c r="L130" s="109" t="s">
        <v>346</v>
      </c>
      <c r="M130" s="109"/>
      <c r="N130" s="109"/>
      <c r="O130" s="113" t="s">
        <v>2816</v>
      </c>
    </row>
    <row r="131" spans="1:15" ht="70.05" customHeight="1" outlineLevel="1">
      <c r="A131" s="109" t="s">
        <v>6729</v>
      </c>
      <c r="B131" s="110" t="s">
        <v>6730</v>
      </c>
      <c r="C131" s="110" t="s">
        <v>6731</v>
      </c>
      <c r="D131" s="111" t="s">
        <v>1223</v>
      </c>
      <c r="E131" s="111" t="s">
        <v>6732</v>
      </c>
      <c r="F131" s="109" t="s">
        <v>346</v>
      </c>
      <c r="G131" s="109"/>
      <c r="H131" s="109"/>
      <c r="I131" s="109" t="s">
        <v>346</v>
      </c>
      <c r="J131" s="109"/>
      <c r="K131" s="109"/>
      <c r="L131" s="109" t="s">
        <v>346</v>
      </c>
      <c r="M131" s="109"/>
      <c r="N131" s="109"/>
      <c r="O131" s="113" t="s">
        <v>2816</v>
      </c>
    </row>
    <row r="132" spans="1:15" ht="70.05" customHeight="1" outlineLevel="1">
      <c r="A132" s="109" t="s">
        <v>6733</v>
      </c>
      <c r="B132" s="110" t="s">
        <v>6711</v>
      </c>
      <c r="C132" s="110" t="s">
        <v>6712</v>
      </c>
      <c r="D132" s="111" t="s">
        <v>6734</v>
      </c>
      <c r="E132" s="111" t="s">
        <v>6500</v>
      </c>
      <c r="F132" s="109" t="s">
        <v>346</v>
      </c>
      <c r="G132" s="109"/>
      <c r="H132" s="109"/>
      <c r="I132" s="109" t="s">
        <v>346</v>
      </c>
      <c r="J132" s="109"/>
      <c r="K132" s="109"/>
      <c r="L132" s="109" t="s">
        <v>346</v>
      </c>
      <c r="M132" s="109"/>
      <c r="N132" s="109"/>
      <c r="O132" s="113" t="s">
        <v>2816</v>
      </c>
    </row>
    <row r="133" spans="1:15" ht="70.05" customHeight="1" outlineLevel="1">
      <c r="A133" s="109" t="s">
        <v>6735</v>
      </c>
      <c r="B133" s="110" t="s">
        <v>6736</v>
      </c>
      <c r="C133" s="110" t="s">
        <v>6712</v>
      </c>
      <c r="D133" s="111" t="s">
        <v>6737</v>
      </c>
      <c r="E133" s="111" t="s">
        <v>6738</v>
      </c>
      <c r="F133" s="109" t="s">
        <v>346</v>
      </c>
      <c r="G133" s="109"/>
      <c r="H133" s="109"/>
      <c r="I133" s="109" t="s">
        <v>346</v>
      </c>
      <c r="J133" s="109"/>
      <c r="K133" s="109"/>
      <c r="L133" s="109" t="s">
        <v>346</v>
      </c>
      <c r="M133" s="109"/>
      <c r="N133" s="109"/>
      <c r="O133" s="113" t="s">
        <v>2816</v>
      </c>
    </row>
    <row r="134" spans="1:15" ht="70.05" customHeight="1" outlineLevel="1">
      <c r="A134" s="109" t="s">
        <v>6739</v>
      </c>
      <c r="B134" s="110" t="s">
        <v>6736</v>
      </c>
      <c r="C134" s="110" t="s">
        <v>6712</v>
      </c>
      <c r="D134" s="111" t="s">
        <v>6737</v>
      </c>
      <c r="E134" s="111" t="s">
        <v>6740</v>
      </c>
      <c r="F134" s="109" t="s">
        <v>346</v>
      </c>
      <c r="G134" s="109"/>
      <c r="H134" s="109"/>
      <c r="I134" s="109" t="s">
        <v>346</v>
      </c>
      <c r="J134" s="109"/>
      <c r="K134" s="109"/>
      <c r="L134" s="109" t="s">
        <v>346</v>
      </c>
      <c r="M134" s="109"/>
      <c r="N134" s="109"/>
      <c r="O134" s="113" t="s">
        <v>2816</v>
      </c>
    </row>
    <row r="135" spans="1:15" ht="70.05" customHeight="1" outlineLevel="1">
      <c r="A135" s="109" t="s">
        <v>6741</v>
      </c>
      <c r="B135" s="110" t="s">
        <v>6736</v>
      </c>
      <c r="C135" s="110" t="s">
        <v>6712</v>
      </c>
      <c r="D135" s="111" t="s">
        <v>6742</v>
      </c>
      <c r="E135" s="111" t="s">
        <v>6743</v>
      </c>
      <c r="F135" s="109" t="s">
        <v>346</v>
      </c>
      <c r="G135" s="109"/>
      <c r="H135" s="109"/>
      <c r="I135" s="109" t="s">
        <v>346</v>
      </c>
      <c r="J135" s="109"/>
      <c r="K135" s="109"/>
      <c r="L135" s="109" t="s">
        <v>346</v>
      </c>
      <c r="M135" s="109"/>
      <c r="N135" s="109"/>
      <c r="O135" s="113" t="s">
        <v>2816</v>
      </c>
    </row>
    <row r="136" spans="1:15" ht="70.05" customHeight="1" outlineLevel="1">
      <c r="A136" s="109" t="s">
        <v>6744</v>
      </c>
      <c r="B136" s="110" t="s">
        <v>6745</v>
      </c>
      <c r="C136" s="110" t="s">
        <v>6746</v>
      </c>
      <c r="D136" s="111" t="s">
        <v>6747</v>
      </c>
      <c r="E136" s="111" t="s">
        <v>6748</v>
      </c>
      <c r="F136" s="109" t="s">
        <v>346</v>
      </c>
      <c r="G136" s="109"/>
      <c r="H136" s="109"/>
      <c r="I136" s="109" t="s">
        <v>346</v>
      </c>
      <c r="J136" s="109"/>
      <c r="K136" s="109"/>
      <c r="L136" s="109" t="s">
        <v>346</v>
      </c>
      <c r="M136" s="109"/>
      <c r="N136" s="109"/>
      <c r="O136" s="113" t="s">
        <v>2816</v>
      </c>
    </row>
    <row r="137" spans="1:15" ht="70.05" customHeight="1" outlineLevel="1">
      <c r="A137" s="109" t="s">
        <v>6749</v>
      </c>
      <c r="B137" s="110" t="s">
        <v>6750</v>
      </c>
      <c r="C137" s="110" t="s">
        <v>6751</v>
      </c>
      <c r="D137" s="111" t="s">
        <v>6752</v>
      </c>
      <c r="E137" s="111" t="s">
        <v>6503</v>
      </c>
      <c r="F137" s="109" t="s">
        <v>346</v>
      </c>
      <c r="G137" s="109"/>
      <c r="H137" s="109"/>
      <c r="I137" s="109" t="s">
        <v>346</v>
      </c>
      <c r="J137" s="109"/>
      <c r="K137" s="109"/>
      <c r="L137" s="109" t="s">
        <v>346</v>
      </c>
      <c r="M137" s="109"/>
      <c r="N137" s="109"/>
      <c r="O137" s="113" t="s">
        <v>2816</v>
      </c>
    </row>
    <row r="138" spans="1:15" ht="70.05" customHeight="1" outlineLevel="1">
      <c r="A138" s="109" t="s">
        <v>6753</v>
      </c>
      <c r="B138" s="110" t="s">
        <v>6754</v>
      </c>
      <c r="C138" s="110" t="s">
        <v>6755</v>
      </c>
      <c r="D138" s="111" t="s">
        <v>6752</v>
      </c>
      <c r="E138" s="111" t="s">
        <v>6503</v>
      </c>
      <c r="F138" s="109" t="s">
        <v>346</v>
      </c>
      <c r="G138" s="109"/>
      <c r="H138" s="109"/>
      <c r="I138" s="109" t="s">
        <v>346</v>
      </c>
      <c r="J138" s="109"/>
      <c r="K138" s="109"/>
      <c r="L138" s="109" t="s">
        <v>346</v>
      </c>
      <c r="M138" s="109"/>
      <c r="N138" s="109"/>
      <c r="O138" s="113" t="s">
        <v>2816</v>
      </c>
    </row>
    <row r="139" spans="1:15" ht="70.05" customHeight="1" outlineLevel="1">
      <c r="A139" s="109" t="s">
        <v>6756</v>
      </c>
      <c r="B139" s="110" t="s">
        <v>6757</v>
      </c>
      <c r="C139" s="110" t="s">
        <v>6758</v>
      </c>
      <c r="D139" s="111" t="s">
        <v>6759</v>
      </c>
      <c r="E139" s="111" t="s">
        <v>6503</v>
      </c>
      <c r="F139" s="109" t="s">
        <v>346</v>
      </c>
      <c r="G139" s="109"/>
      <c r="H139" s="109"/>
      <c r="I139" s="109" t="s">
        <v>346</v>
      </c>
      <c r="J139" s="109"/>
      <c r="K139" s="109"/>
      <c r="L139" s="109" t="s">
        <v>346</v>
      </c>
      <c r="M139" s="109"/>
      <c r="N139" s="109"/>
      <c r="O139" s="113" t="s">
        <v>2816</v>
      </c>
    </row>
    <row r="140" spans="1:15" ht="70.05" customHeight="1" outlineLevel="1">
      <c r="A140" s="109" t="s">
        <v>6760</v>
      </c>
      <c r="B140" s="110" t="s">
        <v>6761</v>
      </c>
      <c r="C140" s="110" t="s">
        <v>6762</v>
      </c>
      <c r="D140" s="111" t="s">
        <v>1611</v>
      </c>
      <c r="E140" s="111" t="s">
        <v>6503</v>
      </c>
      <c r="F140" s="109" t="s">
        <v>346</v>
      </c>
      <c r="G140" s="109"/>
      <c r="H140" s="109"/>
      <c r="I140" s="109" t="s">
        <v>346</v>
      </c>
      <c r="J140" s="109"/>
      <c r="K140" s="109"/>
      <c r="L140" s="109" t="s">
        <v>346</v>
      </c>
      <c r="M140" s="109"/>
      <c r="N140" s="109"/>
      <c r="O140" s="113" t="s">
        <v>2816</v>
      </c>
    </row>
    <row r="141" spans="1:15" ht="70.05" customHeight="1" outlineLevel="1">
      <c r="A141" s="109" t="s">
        <v>6763</v>
      </c>
      <c r="B141" s="110" t="s">
        <v>6764</v>
      </c>
      <c r="C141" s="110" t="s">
        <v>6712</v>
      </c>
      <c r="D141" s="111" t="s">
        <v>6417</v>
      </c>
      <c r="E141" s="111" t="s">
        <v>6525</v>
      </c>
      <c r="F141" s="109" t="s">
        <v>346</v>
      </c>
      <c r="G141" s="109"/>
      <c r="H141" s="109"/>
      <c r="I141" s="109" t="s">
        <v>346</v>
      </c>
      <c r="J141" s="109"/>
      <c r="K141" s="109"/>
      <c r="L141" s="109" t="s">
        <v>346</v>
      </c>
      <c r="M141" s="109"/>
      <c r="N141" s="109"/>
      <c r="O141" s="113" t="s">
        <v>2816</v>
      </c>
    </row>
    <row r="142" spans="1:15" ht="15.75" customHeight="1">
      <c r="A142" s="60" t="s">
        <v>280</v>
      </c>
      <c r="B142" s="60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2"/>
    </row>
    <row r="143" spans="1:15" ht="70.05" customHeight="1" outlineLevel="1">
      <c r="A143" s="109" t="s">
        <v>6765</v>
      </c>
      <c r="B143" s="110" t="s">
        <v>6766</v>
      </c>
      <c r="C143" s="110" t="s">
        <v>6767</v>
      </c>
      <c r="D143" s="111" t="s">
        <v>6768</v>
      </c>
      <c r="E143" s="111" t="s">
        <v>6769</v>
      </c>
      <c r="F143" s="109" t="s">
        <v>346</v>
      </c>
      <c r="G143" s="109"/>
      <c r="H143" s="109"/>
      <c r="I143" s="109" t="s">
        <v>346</v>
      </c>
      <c r="J143" s="109"/>
      <c r="K143" s="109"/>
      <c r="L143" s="109" t="s">
        <v>346</v>
      </c>
      <c r="M143" s="109"/>
      <c r="N143" s="109"/>
      <c r="O143" s="113" t="s">
        <v>2816</v>
      </c>
    </row>
    <row r="144" spans="1:15" ht="70.05" customHeight="1" outlineLevel="1">
      <c r="A144" s="109" t="s">
        <v>6770</v>
      </c>
      <c r="B144" s="110" t="s">
        <v>6766</v>
      </c>
      <c r="C144" s="110" t="s">
        <v>6767</v>
      </c>
      <c r="D144" s="111" t="s">
        <v>3047</v>
      </c>
      <c r="E144" s="111" t="s">
        <v>6771</v>
      </c>
      <c r="F144" s="109" t="s">
        <v>346</v>
      </c>
      <c r="G144" s="109"/>
      <c r="H144" s="109"/>
      <c r="I144" s="109" t="s">
        <v>346</v>
      </c>
      <c r="J144" s="109"/>
      <c r="K144" s="109"/>
      <c r="L144" s="109" t="s">
        <v>346</v>
      </c>
      <c r="M144" s="109"/>
      <c r="N144" s="109"/>
      <c r="O144" s="113" t="s">
        <v>2816</v>
      </c>
    </row>
    <row r="145" spans="1:15" ht="70.05" customHeight="1" outlineLevel="1">
      <c r="A145" s="109" t="s">
        <v>6772</v>
      </c>
      <c r="B145" s="110" t="s">
        <v>6766</v>
      </c>
      <c r="C145" s="110" t="s">
        <v>6767</v>
      </c>
      <c r="D145" s="111" t="s">
        <v>6773</v>
      </c>
      <c r="E145" s="111" t="s">
        <v>6774</v>
      </c>
      <c r="F145" s="109" t="s">
        <v>346</v>
      </c>
      <c r="G145" s="109"/>
      <c r="H145" s="109"/>
      <c r="I145" s="109" t="s">
        <v>346</v>
      </c>
      <c r="J145" s="109"/>
      <c r="K145" s="109"/>
      <c r="L145" s="109" t="s">
        <v>346</v>
      </c>
      <c r="M145" s="109"/>
      <c r="N145" s="109"/>
      <c r="O145" s="113" t="s">
        <v>2816</v>
      </c>
    </row>
    <row r="146" spans="1:15" ht="70.05" customHeight="1" outlineLevel="1">
      <c r="A146" s="109" t="s">
        <v>6775</v>
      </c>
      <c r="B146" s="110" t="s">
        <v>6766</v>
      </c>
      <c r="C146" s="110" t="s">
        <v>6767</v>
      </c>
      <c r="D146" s="111" t="s">
        <v>6776</v>
      </c>
      <c r="E146" s="111" t="s">
        <v>6777</v>
      </c>
      <c r="F146" s="109" t="s">
        <v>346</v>
      </c>
      <c r="G146" s="109"/>
      <c r="H146" s="109"/>
      <c r="I146" s="109" t="s">
        <v>346</v>
      </c>
      <c r="J146" s="109"/>
      <c r="K146" s="109"/>
      <c r="L146" s="109" t="s">
        <v>346</v>
      </c>
      <c r="M146" s="109"/>
      <c r="N146" s="109"/>
      <c r="O146" s="113" t="s">
        <v>2816</v>
      </c>
    </row>
    <row r="147" spans="1:15" ht="70.05" customHeight="1" outlineLevel="1">
      <c r="A147" s="109" t="s">
        <v>6778</v>
      </c>
      <c r="B147" s="110" t="s">
        <v>6766</v>
      </c>
      <c r="C147" s="110" t="s">
        <v>6767</v>
      </c>
      <c r="D147" s="111" t="s">
        <v>6779</v>
      </c>
      <c r="E147" s="111" t="s">
        <v>6780</v>
      </c>
      <c r="F147" s="109" t="s">
        <v>346</v>
      </c>
      <c r="G147" s="109"/>
      <c r="H147" s="109"/>
      <c r="I147" s="109" t="s">
        <v>346</v>
      </c>
      <c r="J147" s="109"/>
      <c r="K147" s="109"/>
      <c r="L147" s="109" t="s">
        <v>346</v>
      </c>
      <c r="M147" s="109"/>
      <c r="N147" s="109"/>
      <c r="O147" s="113" t="s">
        <v>2816</v>
      </c>
    </row>
    <row r="148" spans="1:15" ht="70.05" customHeight="1" outlineLevel="1">
      <c r="A148" s="109" t="s">
        <v>6781</v>
      </c>
      <c r="B148" s="110" t="s">
        <v>6766</v>
      </c>
      <c r="C148" s="110" t="s">
        <v>6767</v>
      </c>
      <c r="D148" s="111" t="s">
        <v>6782</v>
      </c>
      <c r="E148" s="111" t="s">
        <v>6783</v>
      </c>
      <c r="F148" s="109" t="s">
        <v>346</v>
      </c>
      <c r="G148" s="109"/>
      <c r="H148" s="109"/>
      <c r="I148" s="109" t="s">
        <v>346</v>
      </c>
      <c r="J148" s="109"/>
      <c r="K148" s="109"/>
      <c r="L148" s="109" t="s">
        <v>346</v>
      </c>
      <c r="M148" s="109"/>
      <c r="N148" s="109"/>
      <c r="O148" s="113" t="s">
        <v>2816</v>
      </c>
    </row>
    <row r="149" spans="1:15" ht="70.05" customHeight="1" outlineLevel="1">
      <c r="A149" s="109" t="s">
        <v>6784</v>
      </c>
      <c r="B149" s="110" t="s">
        <v>6766</v>
      </c>
      <c r="C149" s="110" t="s">
        <v>6767</v>
      </c>
      <c r="D149" s="111" t="s">
        <v>6785</v>
      </c>
      <c r="E149" s="111" t="s">
        <v>6786</v>
      </c>
      <c r="F149" s="109" t="s">
        <v>346</v>
      </c>
      <c r="G149" s="109"/>
      <c r="H149" s="109"/>
      <c r="I149" s="109" t="s">
        <v>346</v>
      </c>
      <c r="J149" s="109"/>
      <c r="K149" s="109"/>
      <c r="L149" s="109" t="s">
        <v>346</v>
      </c>
      <c r="M149" s="109"/>
      <c r="N149" s="109"/>
      <c r="O149" s="113" t="s">
        <v>2816</v>
      </c>
    </row>
    <row r="150" spans="1:15" ht="70.05" customHeight="1" outlineLevel="1">
      <c r="A150" s="109" t="s">
        <v>6787</v>
      </c>
      <c r="B150" s="110" t="s">
        <v>6766</v>
      </c>
      <c r="C150" s="110" t="s">
        <v>6767</v>
      </c>
      <c r="D150" s="111" t="s">
        <v>6788</v>
      </c>
      <c r="E150" s="111" t="s">
        <v>6789</v>
      </c>
      <c r="F150" s="109" t="s">
        <v>346</v>
      </c>
      <c r="G150" s="109"/>
      <c r="H150" s="109"/>
      <c r="I150" s="109" t="s">
        <v>346</v>
      </c>
      <c r="J150" s="109"/>
      <c r="K150" s="109"/>
      <c r="L150" s="109" t="s">
        <v>346</v>
      </c>
      <c r="M150" s="109"/>
      <c r="N150" s="109"/>
      <c r="O150" s="113" t="s">
        <v>2816</v>
      </c>
    </row>
    <row r="151" spans="1:15" ht="70.05" customHeight="1" outlineLevel="1">
      <c r="A151" s="109" t="s">
        <v>6790</v>
      </c>
      <c r="B151" s="110" t="s">
        <v>6791</v>
      </c>
      <c r="C151" s="110" t="s">
        <v>6767</v>
      </c>
      <c r="D151" s="111" t="s">
        <v>6792</v>
      </c>
      <c r="E151" s="111" t="s">
        <v>6793</v>
      </c>
      <c r="F151" s="109" t="s">
        <v>346</v>
      </c>
      <c r="G151" s="109"/>
      <c r="H151" s="109"/>
      <c r="I151" s="109" t="s">
        <v>346</v>
      </c>
      <c r="J151" s="109"/>
      <c r="K151" s="109"/>
      <c r="L151" s="109" t="s">
        <v>346</v>
      </c>
      <c r="M151" s="109"/>
      <c r="N151" s="109"/>
      <c r="O151" s="113" t="s">
        <v>2816</v>
      </c>
    </row>
    <row r="152" spans="1:15" ht="70.05" customHeight="1" outlineLevel="1">
      <c r="A152" s="109" t="s">
        <v>6794</v>
      </c>
      <c r="B152" s="110" t="s">
        <v>6791</v>
      </c>
      <c r="C152" s="110" t="s">
        <v>6767</v>
      </c>
      <c r="D152" s="111" t="s">
        <v>6795</v>
      </c>
      <c r="E152" s="111" t="s">
        <v>6796</v>
      </c>
      <c r="F152" s="109" t="s">
        <v>346</v>
      </c>
      <c r="G152" s="109"/>
      <c r="H152" s="109"/>
      <c r="I152" s="109" t="s">
        <v>346</v>
      </c>
      <c r="J152" s="109"/>
      <c r="K152" s="109"/>
      <c r="L152" s="109" t="s">
        <v>346</v>
      </c>
      <c r="M152" s="109"/>
      <c r="N152" s="109"/>
      <c r="O152" s="113" t="s">
        <v>2816</v>
      </c>
    </row>
    <row r="153" spans="1:15" ht="70.05" customHeight="1" outlineLevel="1">
      <c r="A153" s="109" t="s">
        <v>6797</v>
      </c>
      <c r="B153" s="110" t="s">
        <v>6791</v>
      </c>
      <c r="C153" s="110" t="s">
        <v>6767</v>
      </c>
      <c r="D153" s="111" t="s">
        <v>6798</v>
      </c>
      <c r="E153" s="111" t="s">
        <v>6799</v>
      </c>
      <c r="F153" s="109" t="s">
        <v>346</v>
      </c>
      <c r="G153" s="109"/>
      <c r="H153" s="109"/>
      <c r="I153" s="109" t="s">
        <v>346</v>
      </c>
      <c r="J153" s="109"/>
      <c r="K153" s="109"/>
      <c r="L153" s="109" t="s">
        <v>346</v>
      </c>
      <c r="M153" s="109"/>
      <c r="N153" s="109"/>
      <c r="O153" s="113" t="s">
        <v>2816</v>
      </c>
    </row>
    <row r="154" spans="1:15" ht="70.05" customHeight="1" outlineLevel="1">
      <c r="A154" s="109" t="s">
        <v>6800</v>
      </c>
      <c r="B154" s="110" t="s">
        <v>6801</v>
      </c>
      <c r="C154" s="110" t="s">
        <v>6802</v>
      </c>
      <c r="D154" s="111" t="s">
        <v>6572</v>
      </c>
      <c r="E154" s="111" t="s">
        <v>6503</v>
      </c>
      <c r="F154" s="109" t="s">
        <v>346</v>
      </c>
      <c r="G154" s="109"/>
      <c r="H154" s="109"/>
      <c r="I154" s="109" t="s">
        <v>346</v>
      </c>
      <c r="J154" s="109"/>
      <c r="K154" s="109"/>
      <c r="L154" s="109" t="s">
        <v>346</v>
      </c>
      <c r="M154" s="109"/>
      <c r="N154" s="109"/>
      <c r="O154" s="113" t="s">
        <v>2816</v>
      </c>
    </row>
    <row r="155" spans="1:15" ht="70.05" customHeight="1" outlineLevel="1">
      <c r="A155" s="109" t="s">
        <v>6803</v>
      </c>
      <c r="B155" s="110" t="s">
        <v>6804</v>
      </c>
      <c r="C155" s="110" t="s">
        <v>6805</v>
      </c>
      <c r="D155" s="111" t="s">
        <v>6572</v>
      </c>
      <c r="E155" s="111" t="s">
        <v>6503</v>
      </c>
      <c r="F155" s="109" t="s">
        <v>346</v>
      </c>
      <c r="G155" s="109"/>
      <c r="H155" s="109"/>
      <c r="I155" s="109" t="s">
        <v>346</v>
      </c>
      <c r="J155" s="109"/>
      <c r="K155" s="109"/>
      <c r="L155" s="109" t="s">
        <v>346</v>
      </c>
      <c r="M155" s="109"/>
      <c r="N155" s="109"/>
      <c r="O155" s="113" t="s">
        <v>2816</v>
      </c>
    </row>
    <row r="156" spans="1:15" ht="70.05" customHeight="1" outlineLevel="1">
      <c r="A156" s="109" t="s">
        <v>6806</v>
      </c>
      <c r="B156" s="110" t="s">
        <v>6807</v>
      </c>
      <c r="C156" s="110" t="s">
        <v>6808</v>
      </c>
      <c r="D156" s="111" t="s">
        <v>6572</v>
      </c>
      <c r="E156" s="111" t="s">
        <v>6503</v>
      </c>
      <c r="F156" s="109" t="s">
        <v>346</v>
      </c>
      <c r="G156" s="109"/>
      <c r="H156" s="109"/>
      <c r="I156" s="109" t="s">
        <v>346</v>
      </c>
      <c r="J156" s="109"/>
      <c r="K156" s="109"/>
      <c r="L156" s="109" t="s">
        <v>346</v>
      </c>
      <c r="M156" s="109"/>
      <c r="N156" s="109"/>
      <c r="O156" s="113" t="s">
        <v>2816</v>
      </c>
    </row>
    <row r="157" spans="1:15" ht="70.05" customHeight="1" outlineLevel="1">
      <c r="A157" s="109" t="s">
        <v>6809</v>
      </c>
      <c r="B157" s="110" t="s">
        <v>6810</v>
      </c>
      <c r="C157" s="110" t="s">
        <v>6811</v>
      </c>
      <c r="D157" s="111" t="s">
        <v>1611</v>
      </c>
      <c r="E157" s="111" t="s">
        <v>6503</v>
      </c>
      <c r="F157" s="109" t="s">
        <v>346</v>
      </c>
      <c r="G157" s="109"/>
      <c r="H157" s="109"/>
      <c r="I157" s="109" t="s">
        <v>346</v>
      </c>
      <c r="J157" s="109"/>
      <c r="K157" s="109"/>
      <c r="L157" s="109" t="s">
        <v>346</v>
      </c>
      <c r="M157" s="109"/>
      <c r="N157" s="109"/>
      <c r="O157" s="113" t="s">
        <v>2816</v>
      </c>
    </row>
    <row r="158" spans="1:15" ht="70.05" customHeight="1" outlineLevel="1">
      <c r="A158" s="109" t="s">
        <v>6812</v>
      </c>
      <c r="B158" s="110" t="s">
        <v>6813</v>
      </c>
      <c r="C158" s="110" t="s">
        <v>6767</v>
      </c>
      <c r="D158" s="111" t="s">
        <v>6417</v>
      </c>
      <c r="E158" s="111" t="s">
        <v>6525</v>
      </c>
      <c r="F158" s="109" t="s">
        <v>346</v>
      </c>
      <c r="G158" s="109"/>
      <c r="H158" s="109"/>
      <c r="I158" s="109" t="s">
        <v>346</v>
      </c>
      <c r="J158" s="109"/>
      <c r="K158" s="109"/>
      <c r="L158" s="109" t="s">
        <v>346</v>
      </c>
      <c r="M158" s="109"/>
      <c r="N158" s="109"/>
      <c r="O158" s="113" t="s">
        <v>2816</v>
      </c>
    </row>
    <row r="159" spans="1:15" ht="70.05" customHeight="1" outlineLevel="1">
      <c r="A159" s="109" t="s">
        <v>6814</v>
      </c>
      <c r="B159" s="110" t="s">
        <v>6813</v>
      </c>
      <c r="C159" s="110" t="s">
        <v>6767</v>
      </c>
      <c r="D159" s="111" t="s">
        <v>6527</v>
      </c>
      <c r="E159" s="111" t="s">
        <v>6528</v>
      </c>
      <c r="F159" s="109" t="s">
        <v>346</v>
      </c>
      <c r="G159" s="109"/>
      <c r="H159" s="109"/>
      <c r="I159" s="109" t="s">
        <v>346</v>
      </c>
      <c r="J159" s="109"/>
      <c r="K159" s="109"/>
      <c r="L159" s="109" t="s">
        <v>346</v>
      </c>
      <c r="M159" s="109"/>
      <c r="N159" s="109"/>
      <c r="O159" s="113" t="s">
        <v>2816</v>
      </c>
    </row>
    <row r="160" spans="1:15" ht="15.75" customHeight="1">
      <c r="A160" s="60" t="s">
        <v>282</v>
      </c>
      <c r="B160" s="60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2"/>
    </row>
    <row r="161" spans="1:15" ht="70.05" customHeight="1" outlineLevel="1">
      <c r="A161" s="109" t="s">
        <v>6815</v>
      </c>
      <c r="B161" s="110" t="s">
        <v>6816</v>
      </c>
      <c r="C161" s="110" t="s">
        <v>6817</v>
      </c>
      <c r="D161" s="111" t="s">
        <v>6818</v>
      </c>
      <c r="E161" s="111" t="s">
        <v>6819</v>
      </c>
      <c r="F161" s="109" t="s">
        <v>344</v>
      </c>
      <c r="G161" s="112">
        <v>46300</v>
      </c>
      <c r="H161" s="109" t="s">
        <v>6820</v>
      </c>
      <c r="I161" s="109" t="s">
        <v>346</v>
      </c>
      <c r="J161" s="109"/>
      <c r="K161" s="109"/>
      <c r="L161" s="109" t="s">
        <v>346</v>
      </c>
      <c r="M161" s="109"/>
      <c r="N161" s="109"/>
      <c r="O161" s="113"/>
    </row>
    <row r="162" spans="1:15" ht="70.05" customHeight="1" outlineLevel="1">
      <c r="A162" s="109" t="s">
        <v>6821</v>
      </c>
      <c r="B162" s="110" t="s">
        <v>6816</v>
      </c>
      <c r="C162" s="110" t="s">
        <v>6822</v>
      </c>
      <c r="D162" s="111" t="s">
        <v>6823</v>
      </c>
      <c r="E162" s="111" t="s">
        <v>6819</v>
      </c>
      <c r="F162" s="109" t="s">
        <v>344</v>
      </c>
      <c r="G162" s="112">
        <v>46300</v>
      </c>
      <c r="H162" s="109" t="s">
        <v>6820</v>
      </c>
      <c r="I162" s="109" t="s">
        <v>346</v>
      </c>
      <c r="J162" s="109"/>
      <c r="K162" s="109"/>
      <c r="L162" s="109" t="s">
        <v>346</v>
      </c>
      <c r="M162" s="109"/>
      <c r="N162" s="109"/>
      <c r="O162" s="113"/>
    </row>
    <row r="163" spans="1:15" ht="70.05" customHeight="1" outlineLevel="1">
      <c r="A163" s="109" t="s">
        <v>6824</v>
      </c>
      <c r="B163" s="110" t="s">
        <v>6825</v>
      </c>
      <c r="C163" s="110" t="s">
        <v>6826</v>
      </c>
      <c r="D163" s="111" t="s">
        <v>6827</v>
      </c>
      <c r="E163" s="111" t="s">
        <v>6819</v>
      </c>
      <c r="F163" s="109" t="s">
        <v>344</v>
      </c>
      <c r="G163" s="112">
        <v>46300</v>
      </c>
      <c r="H163" s="109" t="s">
        <v>6820</v>
      </c>
      <c r="I163" s="109" t="s">
        <v>346</v>
      </c>
      <c r="J163" s="109"/>
      <c r="K163" s="109"/>
      <c r="L163" s="109" t="s">
        <v>346</v>
      </c>
      <c r="M163" s="109"/>
      <c r="N163" s="109"/>
      <c r="O163" s="113"/>
    </row>
    <row r="164" spans="1:15" ht="70.05" customHeight="1" outlineLevel="1">
      <c r="A164" s="109" t="s">
        <v>6828</v>
      </c>
      <c r="B164" s="110" t="s">
        <v>6829</v>
      </c>
      <c r="C164" s="110" t="s">
        <v>6830</v>
      </c>
      <c r="D164" s="111" t="s">
        <v>6831</v>
      </c>
      <c r="E164" s="111" t="s">
        <v>6819</v>
      </c>
      <c r="F164" s="109" t="s">
        <v>344</v>
      </c>
      <c r="G164" s="112">
        <v>46300</v>
      </c>
      <c r="H164" s="109" t="s">
        <v>6820</v>
      </c>
      <c r="I164" s="109" t="s">
        <v>346</v>
      </c>
      <c r="J164" s="109"/>
      <c r="K164" s="109"/>
      <c r="L164" s="109" t="s">
        <v>346</v>
      </c>
      <c r="M164" s="109"/>
      <c r="N164" s="109"/>
      <c r="O164" s="113"/>
    </row>
    <row r="165" spans="1:15" ht="70.05" customHeight="1" outlineLevel="1">
      <c r="A165" s="109" t="s">
        <v>6832</v>
      </c>
      <c r="B165" s="110" t="s">
        <v>6833</v>
      </c>
      <c r="C165" s="110" t="s">
        <v>6834</v>
      </c>
      <c r="D165" s="111" t="s">
        <v>6835</v>
      </c>
      <c r="E165" s="111" t="s">
        <v>6819</v>
      </c>
      <c r="F165" s="109" t="s">
        <v>344</v>
      </c>
      <c r="G165" s="112">
        <v>46300</v>
      </c>
      <c r="H165" s="109" t="s">
        <v>6820</v>
      </c>
      <c r="I165" s="109" t="s">
        <v>346</v>
      </c>
      <c r="J165" s="109"/>
      <c r="K165" s="109"/>
      <c r="L165" s="109" t="s">
        <v>346</v>
      </c>
      <c r="M165" s="109"/>
      <c r="N165" s="109"/>
      <c r="O165" s="113"/>
    </row>
    <row r="166" spans="1:15" ht="70.05" customHeight="1" outlineLevel="1">
      <c r="A166" s="109" t="s">
        <v>6836</v>
      </c>
      <c r="B166" s="110" t="s">
        <v>6837</v>
      </c>
      <c r="C166" s="110" t="s">
        <v>6838</v>
      </c>
      <c r="D166" s="111" t="s">
        <v>6839</v>
      </c>
      <c r="E166" s="111" t="s">
        <v>6819</v>
      </c>
      <c r="F166" s="109" t="s">
        <v>344</v>
      </c>
      <c r="G166" s="112">
        <v>46300</v>
      </c>
      <c r="H166" s="109" t="s">
        <v>6820</v>
      </c>
      <c r="I166" s="109" t="s">
        <v>346</v>
      </c>
      <c r="J166" s="109"/>
      <c r="K166" s="109"/>
      <c r="L166" s="109" t="s">
        <v>346</v>
      </c>
      <c r="M166" s="109"/>
      <c r="N166" s="109"/>
      <c r="O166" s="113"/>
    </row>
    <row r="167" spans="1:15" ht="70.05" customHeight="1" outlineLevel="1">
      <c r="A167" s="109" t="s">
        <v>6840</v>
      </c>
      <c r="B167" s="110" t="s">
        <v>6816</v>
      </c>
      <c r="C167" s="110" t="s">
        <v>6817</v>
      </c>
      <c r="D167" s="111" t="s">
        <v>6841</v>
      </c>
      <c r="E167" s="111" t="s">
        <v>6842</v>
      </c>
      <c r="F167" s="109" t="s">
        <v>344</v>
      </c>
      <c r="G167" s="112">
        <v>46300</v>
      </c>
      <c r="H167" s="109" t="s">
        <v>6820</v>
      </c>
      <c r="I167" s="109" t="s">
        <v>346</v>
      </c>
      <c r="J167" s="109"/>
      <c r="K167" s="109"/>
      <c r="L167" s="109" t="s">
        <v>346</v>
      </c>
      <c r="M167" s="109"/>
      <c r="N167" s="109"/>
      <c r="O167" s="113"/>
    </row>
    <row r="168" spans="1:15" ht="70.05" customHeight="1" outlineLevel="1">
      <c r="A168" s="109" t="s">
        <v>6843</v>
      </c>
      <c r="B168" s="110" t="s">
        <v>6844</v>
      </c>
      <c r="C168" s="110" t="s">
        <v>6845</v>
      </c>
      <c r="D168" s="111" t="s">
        <v>6846</v>
      </c>
      <c r="E168" s="111" t="s">
        <v>6819</v>
      </c>
      <c r="F168" s="109" t="s">
        <v>344</v>
      </c>
      <c r="G168" s="112">
        <v>46300</v>
      </c>
      <c r="H168" s="109" t="s">
        <v>6820</v>
      </c>
      <c r="I168" s="109" t="s">
        <v>346</v>
      </c>
      <c r="J168" s="109"/>
      <c r="K168" s="109"/>
      <c r="L168" s="109" t="s">
        <v>346</v>
      </c>
      <c r="M168" s="109"/>
      <c r="N168" s="109"/>
      <c r="O168" s="113"/>
    </row>
    <row r="169" spans="1:15" ht="70.05" customHeight="1" outlineLevel="1">
      <c r="A169" s="109" t="s">
        <v>6847</v>
      </c>
      <c r="B169" s="110" t="s">
        <v>6848</v>
      </c>
      <c r="C169" s="110" t="s">
        <v>6849</v>
      </c>
      <c r="D169" s="111" t="s">
        <v>6850</v>
      </c>
      <c r="E169" s="111" t="s">
        <v>6819</v>
      </c>
      <c r="F169" s="109" t="s">
        <v>344</v>
      </c>
      <c r="G169" s="112">
        <v>46300</v>
      </c>
      <c r="H169" s="109" t="s">
        <v>6820</v>
      </c>
      <c r="I169" s="109" t="s">
        <v>346</v>
      </c>
      <c r="J169" s="109"/>
      <c r="K169" s="109"/>
      <c r="L169" s="109" t="s">
        <v>346</v>
      </c>
      <c r="M169" s="109"/>
      <c r="N169" s="109"/>
      <c r="O169" s="113"/>
    </row>
    <row r="170" spans="1:15" ht="70.05" customHeight="1" outlineLevel="1">
      <c r="A170" s="109" t="s">
        <v>6851</v>
      </c>
      <c r="B170" s="110" t="s">
        <v>6852</v>
      </c>
      <c r="C170" s="110" t="s">
        <v>6853</v>
      </c>
      <c r="D170" s="111" t="s">
        <v>6854</v>
      </c>
      <c r="E170" s="111" t="s">
        <v>6819</v>
      </c>
      <c r="F170" s="109" t="s">
        <v>344</v>
      </c>
      <c r="G170" s="112">
        <v>46300</v>
      </c>
      <c r="H170" s="109" t="s">
        <v>6820</v>
      </c>
      <c r="I170" s="109" t="s">
        <v>346</v>
      </c>
      <c r="J170" s="109"/>
      <c r="K170" s="109"/>
      <c r="L170" s="109" t="s">
        <v>346</v>
      </c>
      <c r="M170" s="109"/>
      <c r="N170" s="109"/>
      <c r="O170" s="113"/>
    </row>
    <row r="171" spans="1:15" ht="70.05" customHeight="1" outlineLevel="1">
      <c r="A171" s="109" t="s">
        <v>6855</v>
      </c>
      <c r="B171" s="110" t="s">
        <v>6856</v>
      </c>
      <c r="C171" s="110" t="s">
        <v>6857</v>
      </c>
      <c r="D171" s="111" t="s">
        <v>6858</v>
      </c>
      <c r="E171" s="111" t="s">
        <v>6819</v>
      </c>
      <c r="F171" s="109" t="s">
        <v>344</v>
      </c>
      <c r="G171" s="112">
        <v>46300</v>
      </c>
      <c r="H171" s="109" t="s">
        <v>6820</v>
      </c>
      <c r="I171" s="109" t="s">
        <v>346</v>
      </c>
      <c r="J171" s="109"/>
      <c r="K171" s="109"/>
      <c r="L171" s="109" t="s">
        <v>346</v>
      </c>
      <c r="M171" s="109"/>
      <c r="N171" s="109"/>
      <c r="O171" s="113"/>
    </row>
    <row r="172" spans="1:15" ht="70.05" customHeight="1" outlineLevel="1">
      <c r="A172" s="109" t="s">
        <v>6859</v>
      </c>
      <c r="B172" s="110" t="s">
        <v>6852</v>
      </c>
      <c r="C172" s="110" t="s">
        <v>6817</v>
      </c>
      <c r="D172" s="111" t="s">
        <v>6860</v>
      </c>
      <c r="E172" s="111" t="s">
        <v>6861</v>
      </c>
      <c r="F172" s="109" t="s">
        <v>344</v>
      </c>
      <c r="G172" s="112">
        <v>46300</v>
      </c>
      <c r="H172" s="109" t="s">
        <v>6820</v>
      </c>
      <c r="I172" s="109" t="s">
        <v>346</v>
      </c>
      <c r="J172" s="109"/>
      <c r="K172" s="109"/>
      <c r="L172" s="109" t="s">
        <v>346</v>
      </c>
      <c r="M172" s="109"/>
      <c r="N172" s="109"/>
      <c r="O172" s="113"/>
    </row>
    <row r="173" spans="1:15" ht="70.05" customHeight="1" outlineLevel="1">
      <c r="A173" s="109" t="s">
        <v>6862</v>
      </c>
      <c r="B173" s="110" t="s">
        <v>6863</v>
      </c>
      <c r="C173" s="110" t="s">
        <v>6817</v>
      </c>
      <c r="D173" s="111" t="s">
        <v>6864</v>
      </c>
      <c r="E173" s="111" t="s">
        <v>6865</v>
      </c>
      <c r="F173" s="109" t="s">
        <v>344</v>
      </c>
      <c r="G173" s="112">
        <v>46300</v>
      </c>
      <c r="H173" s="109" t="s">
        <v>6820</v>
      </c>
      <c r="I173" s="109" t="s">
        <v>346</v>
      </c>
      <c r="J173" s="109"/>
      <c r="K173" s="109"/>
      <c r="L173" s="109" t="s">
        <v>346</v>
      </c>
      <c r="M173" s="109"/>
      <c r="N173" s="109"/>
      <c r="O173" s="113"/>
    </row>
    <row r="174" spans="1:15" ht="70.05" customHeight="1" outlineLevel="1">
      <c r="A174" s="109" t="s">
        <v>6866</v>
      </c>
      <c r="B174" s="110" t="s">
        <v>6867</v>
      </c>
      <c r="C174" s="110" t="s">
        <v>6868</v>
      </c>
      <c r="D174" s="111" t="s">
        <v>6869</v>
      </c>
      <c r="E174" s="111" t="s">
        <v>6870</v>
      </c>
      <c r="F174" s="109" t="s">
        <v>344</v>
      </c>
      <c r="G174" s="112">
        <v>46300</v>
      </c>
      <c r="H174" s="109" t="s">
        <v>6820</v>
      </c>
      <c r="I174" s="109" t="s">
        <v>346</v>
      </c>
      <c r="J174" s="109"/>
      <c r="K174" s="109"/>
      <c r="L174" s="109" t="s">
        <v>346</v>
      </c>
      <c r="M174" s="109"/>
      <c r="N174" s="109"/>
      <c r="O174" s="113"/>
    </row>
    <row r="175" spans="1:15" ht="70.05" customHeight="1" outlineLevel="1">
      <c r="A175" s="109" t="s">
        <v>6871</v>
      </c>
      <c r="B175" s="110" t="s">
        <v>6863</v>
      </c>
      <c r="C175" s="110" t="s">
        <v>6817</v>
      </c>
      <c r="D175" s="111" t="s">
        <v>6872</v>
      </c>
      <c r="E175" s="111" t="s">
        <v>6873</v>
      </c>
      <c r="F175" s="109" t="s">
        <v>344</v>
      </c>
      <c r="G175" s="112">
        <v>46300</v>
      </c>
      <c r="H175" s="109" t="s">
        <v>6820</v>
      </c>
      <c r="I175" s="109" t="s">
        <v>346</v>
      </c>
      <c r="J175" s="109"/>
      <c r="K175" s="109"/>
      <c r="L175" s="109" t="s">
        <v>346</v>
      </c>
      <c r="M175" s="109"/>
      <c r="N175" s="109"/>
      <c r="O175" s="113"/>
    </row>
    <row r="176" spans="1:15" ht="70.05" customHeight="1" outlineLevel="1">
      <c r="A176" s="109" t="s">
        <v>6874</v>
      </c>
      <c r="B176" s="110" t="s">
        <v>6863</v>
      </c>
      <c r="C176" s="110" t="s">
        <v>6817</v>
      </c>
      <c r="D176" s="111" t="s">
        <v>6875</v>
      </c>
      <c r="E176" s="111" t="s">
        <v>6876</v>
      </c>
      <c r="F176" s="109" t="s">
        <v>344</v>
      </c>
      <c r="G176" s="112">
        <v>46300</v>
      </c>
      <c r="H176" s="109" t="s">
        <v>6820</v>
      </c>
      <c r="I176" s="109" t="s">
        <v>346</v>
      </c>
      <c r="J176" s="109"/>
      <c r="K176" s="109"/>
      <c r="L176" s="109" t="s">
        <v>346</v>
      </c>
      <c r="M176" s="109"/>
      <c r="N176" s="109"/>
      <c r="O176" s="113"/>
    </row>
    <row r="177" spans="1:15" ht="70.05" customHeight="1" outlineLevel="1">
      <c r="A177" s="109" t="s">
        <v>6877</v>
      </c>
      <c r="B177" s="110" t="s">
        <v>6863</v>
      </c>
      <c r="C177" s="110" t="s">
        <v>6817</v>
      </c>
      <c r="D177" s="111" t="s">
        <v>6878</v>
      </c>
      <c r="E177" s="111" t="s">
        <v>6879</v>
      </c>
      <c r="F177" s="109" t="s">
        <v>344</v>
      </c>
      <c r="G177" s="112">
        <v>46300</v>
      </c>
      <c r="H177" s="109" t="s">
        <v>6820</v>
      </c>
      <c r="I177" s="109" t="s">
        <v>346</v>
      </c>
      <c r="J177" s="109"/>
      <c r="K177" s="109"/>
      <c r="L177" s="109" t="s">
        <v>346</v>
      </c>
      <c r="M177" s="109"/>
      <c r="N177" s="109"/>
      <c r="O177" s="113"/>
    </row>
    <row r="178" spans="1:15" ht="70.05" customHeight="1" outlineLevel="1">
      <c r="A178" s="109" t="s">
        <v>6880</v>
      </c>
      <c r="B178" s="110" t="s">
        <v>6863</v>
      </c>
      <c r="C178" s="110" t="s">
        <v>6881</v>
      </c>
      <c r="D178" s="111" t="s">
        <v>6882</v>
      </c>
      <c r="E178" s="111" t="s">
        <v>6883</v>
      </c>
      <c r="F178" s="109" t="s">
        <v>344</v>
      </c>
      <c r="G178" s="112">
        <v>46300</v>
      </c>
      <c r="H178" s="109" t="s">
        <v>6820</v>
      </c>
      <c r="I178" s="109" t="s">
        <v>346</v>
      </c>
      <c r="J178" s="109"/>
      <c r="K178" s="109"/>
      <c r="L178" s="109" t="s">
        <v>346</v>
      </c>
      <c r="M178" s="109"/>
      <c r="N178" s="109"/>
      <c r="O178" s="113"/>
    </row>
    <row r="179" spans="1:15" ht="70.05" customHeight="1" outlineLevel="1">
      <c r="A179" s="109" t="s">
        <v>6884</v>
      </c>
      <c r="B179" s="110" t="s">
        <v>6863</v>
      </c>
      <c r="C179" s="110" t="s">
        <v>6817</v>
      </c>
      <c r="D179" s="111" t="s">
        <v>6885</v>
      </c>
      <c r="E179" s="111" t="s">
        <v>6886</v>
      </c>
      <c r="F179" s="109" t="s">
        <v>344</v>
      </c>
      <c r="G179" s="112">
        <v>46300</v>
      </c>
      <c r="H179" s="109" t="s">
        <v>6820</v>
      </c>
      <c r="I179" s="109" t="s">
        <v>346</v>
      </c>
      <c r="J179" s="109"/>
      <c r="K179" s="109"/>
      <c r="L179" s="109" t="s">
        <v>346</v>
      </c>
      <c r="M179" s="109"/>
      <c r="N179" s="109"/>
      <c r="O179" s="113"/>
    </row>
    <row r="180" spans="1:15" ht="15.75" customHeight="1">
      <c r="A180" s="60" t="s">
        <v>285</v>
      </c>
      <c r="B180" s="60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2"/>
    </row>
    <row r="181" spans="1:15" ht="70.05" customHeight="1" outlineLevel="1">
      <c r="A181" s="109" t="s">
        <v>6887</v>
      </c>
      <c r="B181" s="110" t="s">
        <v>6888</v>
      </c>
      <c r="C181" s="110" t="s">
        <v>6889</v>
      </c>
      <c r="D181" s="111" t="s">
        <v>6890</v>
      </c>
      <c r="E181" s="111" t="s">
        <v>6819</v>
      </c>
      <c r="F181" s="109" t="s">
        <v>346</v>
      </c>
      <c r="G181" s="109"/>
      <c r="H181" s="109"/>
      <c r="I181" s="109" t="s">
        <v>346</v>
      </c>
      <c r="J181" s="109"/>
      <c r="K181" s="109"/>
      <c r="L181" s="109" t="s">
        <v>346</v>
      </c>
      <c r="M181" s="109"/>
      <c r="N181" s="109"/>
      <c r="O181" s="113" t="s">
        <v>2816</v>
      </c>
    </row>
    <row r="182" spans="1:15" ht="70.05" customHeight="1" outlineLevel="1">
      <c r="A182" s="109" t="s">
        <v>6891</v>
      </c>
      <c r="B182" s="110" t="s">
        <v>6892</v>
      </c>
      <c r="C182" s="110" t="s">
        <v>6893</v>
      </c>
      <c r="D182" s="111" t="s">
        <v>6894</v>
      </c>
      <c r="E182" s="111" t="s">
        <v>6819</v>
      </c>
      <c r="F182" s="109" t="s">
        <v>346</v>
      </c>
      <c r="G182" s="109"/>
      <c r="H182" s="109"/>
      <c r="I182" s="109" t="s">
        <v>346</v>
      </c>
      <c r="J182" s="109"/>
      <c r="K182" s="109"/>
      <c r="L182" s="109" t="s">
        <v>346</v>
      </c>
      <c r="M182" s="109"/>
      <c r="N182" s="109"/>
      <c r="O182" s="113" t="s">
        <v>2816</v>
      </c>
    </row>
    <row r="183" spans="1:15" ht="70.05" customHeight="1" outlineLevel="1">
      <c r="A183" s="109" t="s">
        <v>6895</v>
      </c>
      <c r="B183" s="110" t="s">
        <v>6888</v>
      </c>
      <c r="C183" s="110" t="s">
        <v>6896</v>
      </c>
      <c r="D183" s="111" t="s">
        <v>6897</v>
      </c>
      <c r="E183" s="111" t="s">
        <v>6819</v>
      </c>
      <c r="F183" s="109" t="s">
        <v>346</v>
      </c>
      <c r="G183" s="109"/>
      <c r="H183" s="109"/>
      <c r="I183" s="109" t="s">
        <v>346</v>
      </c>
      <c r="J183" s="109"/>
      <c r="K183" s="109"/>
      <c r="L183" s="109" t="s">
        <v>346</v>
      </c>
      <c r="M183" s="109"/>
      <c r="N183" s="109"/>
      <c r="O183" s="113" t="s">
        <v>2816</v>
      </c>
    </row>
    <row r="184" spans="1:15" ht="70.05" customHeight="1" outlineLevel="1">
      <c r="A184" s="109" t="s">
        <v>6898</v>
      </c>
      <c r="B184" s="110" t="s">
        <v>6888</v>
      </c>
      <c r="C184" s="110" t="s">
        <v>6889</v>
      </c>
      <c r="D184" s="111" t="s">
        <v>6899</v>
      </c>
      <c r="E184" s="111" t="s">
        <v>6819</v>
      </c>
      <c r="F184" s="109" t="s">
        <v>346</v>
      </c>
      <c r="G184" s="109"/>
      <c r="H184" s="109"/>
      <c r="I184" s="109" t="s">
        <v>346</v>
      </c>
      <c r="J184" s="109"/>
      <c r="K184" s="109"/>
      <c r="L184" s="109" t="s">
        <v>346</v>
      </c>
      <c r="M184" s="109"/>
      <c r="N184" s="109"/>
      <c r="O184" s="113" t="s">
        <v>2816</v>
      </c>
    </row>
    <row r="185" spans="1:15" ht="70.05" customHeight="1" outlineLevel="1">
      <c r="A185" s="109" t="s">
        <v>6900</v>
      </c>
      <c r="B185" s="110" t="s">
        <v>6888</v>
      </c>
      <c r="C185" s="110" t="s">
        <v>6889</v>
      </c>
      <c r="D185" s="111" t="s">
        <v>6901</v>
      </c>
      <c r="E185" s="111" t="s">
        <v>6819</v>
      </c>
      <c r="F185" s="109" t="s">
        <v>346</v>
      </c>
      <c r="G185" s="109"/>
      <c r="H185" s="109"/>
      <c r="I185" s="109" t="s">
        <v>346</v>
      </c>
      <c r="J185" s="109"/>
      <c r="K185" s="109"/>
      <c r="L185" s="109" t="s">
        <v>346</v>
      </c>
      <c r="M185" s="109"/>
      <c r="N185" s="109"/>
      <c r="O185" s="113" t="s">
        <v>2816</v>
      </c>
    </row>
    <row r="186" spans="1:15" ht="70.05" customHeight="1" outlineLevel="1">
      <c r="A186" s="109" t="s">
        <v>6902</v>
      </c>
      <c r="B186" s="110" t="s">
        <v>6903</v>
      </c>
      <c r="C186" s="110" t="s">
        <v>6904</v>
      </c>
      <c r="D186" s="111" t="s">
        <v>6905</v>
      </c>
      <c r="E186" s="111" t="s">
        <v>6906</v>
      </c>
      <c r="F186" s="109" t="s">
        <v>346</v>
      </c>
      <c r="G186" s="109"/>
      <c r="H186" s="109"/>
      <c r="I186" s="109" t="s">
        <v>346</v>
      </c>
      <c r="J186" s="109"/>
      <c r="K186" s="109"/>
      <c r="L186" s="109" t="s">
        <v>346</v>
      </c>
      <c r="M186" s="109"/>
      <c r="N186" s="109"/>
      <c r="O186" s="113" t="s">
        <v>2816</v>
      </c>
    </row>
    <row r="187" spans="1:15" ht="70.05" customHeight="1" outlineLevel="1">
      <c r="A187" s="109" t="s">
        <v>6907</v>
      </c>
      <c r="B187" s="110" t="s">
        <v>6888</v>
      </c>
      <c r="C187" s="110" t="s">
        <v>6889</v>
      </c>
      <c r="D187" s="111" t="s">
        <v>6908</v>
      </c>
      <c r="E187" s="111" t="s">
        <v>6819</v>
      </c>
      <c r="F187" s="109" t="s">
        <v>346</v>
      </c>
      <c r="G187" s="109"/>
      <c r="H187" s="109"/>
      <c r="I187" s="109" t="s">
        <v>346</v>
      </c>
      <c r="J187" s="109"/>
      <c r="K187" s="109"/>
      <c r="L187" s="109" t="s">
        <v>346</v>
      </c>
      <c r="M187" s="109"/>
      <c r="N187" s="109"/>
      <c r="O187" s="113" t="s">
        <v>2816</v>
      </c>
    </row>
    <row r="188" spans="1:15" ht="70.05" customHeight="1" outlineLevel="1">
      <c r="A188" s="109" t="s">
        <v>6909</v>
      </c>
      <c r="B188" s="110" t="s">
        <v>6888</v>
      </c>
      <c r="C188" s="110" t="s">
        <v>6889</v>
      </c>
      <c r="D188" s="111" t="s">
        <v>6910</v>
      </c>
      <c r="E188" s="111" t="s">
        <v>6819</v>
      </c>
      <c r="F188" s="109" t="s">
        <v>346</v>
      </c>
      <c r="G188" s="109"/>
      <c r="H188" s="109"/>
      <c r="I188" s="109" t="s">
        <v>346</v>
      </c>
      <c r="J188" s="109"/>
      <c r="K188" s="109"/>
      <c r="L188" s="109" t="s">
        <v>346</v>
      </c>
      <c r="M188" s="109"/>
      <c r="N188" s="109"/>
      <c r="O188" s="113" t="s">
        <v>2816</v>
      </c>
    </row>
    <row r="189" spans="1:15" ht="70.05" customHeight="1" outlineLevel="1">
      <c r="A189" s="109" t="s">
        <v>6911</v>
      </c>
      <c r="B189" s="110" t="s">
        <v>6912</v>
      </c>
      <c r="C189" s="110" t="s">
        <v>6913</v>
      </c>
      <c r="D189" s="111" t="s">
        <v>6914</v>
      </c>
      <c r="E189" s="111" t="s">
        <v>6819</v>
      </c>
      <c r="F189" s="109" t="s">
        <v>346</v>
      </c>
      <c r="G189" s="109"/>
      <c r="H189" s="109"/>
      <c r="I189" s="109" t="s">
        <v>346</v>
      </c>
      <c r="J189" s="109"/>
      <c r="K189" s="109"/>
      <c r="L189" s="109" t="s">
        <v>346</v>
      </c>
      <c r="M189" s="109"/>
      <c r="N189" s="109"/>
      <c r="O189" s="113" t="s">
        <v>2816</v>
      </c>
    </row>
    <row r="190" spans="1:15" ht="70.05" customHeight="1" outlineLevel="1">
      <c r="A190" s="109" t="s">
        <v>6915</v>
      </c>
      <c r="B190" s="110" t="s">
        <v>6916</v>
      </c>
      <c r="C190" s="110" t="s">
        <v>6917</v>
      </c>
      <c r="D190" s="111" t="s">
        <v>6918</v>
      </c>
      <c r="E190" s="111" t="s">
        <v>6819</v>
      </c>
      <c r="F190" s="109" t="s">
        <v>346</v>
      </c>
      <c r="G190" s="109"/>
      <c r="H190" s="109"/>
      <c r="I190" s="109" t="s">
        <v>346</v>
      </c>
      <c r="J190" s="109"/>
      <c r="K190" s="109"/>
      <c r="L190" s="109" t="s">
        <v>346</v>
      </c>
      <c r="M190" s="109"/>
      <c r="N190" s="109"/>
      <c r="O190" s="113" t="s">
        <v>2816</v>
      </c>
    </row>
    <row r="191" spans="1:15" ht="70.05" customHeight="1" outlineLevel="1">
      <c r="A191" s="109" t="s">
        <v>6919</v>
      </c>
      <c r="B191" s="110" t="s">
        <v>6920</v>
      </c>
      <c r="C191" s="110" t="s">
        <v>6921</v>
      </c>
      <c r="D191" s="111" t="s">
        <v>6922</v>
      </c>
      <c r="E191" s="111" t="s">
        <v>6819</v>
      </c>
      <c r="F191" s="109" t="s">
        <v>346</v>
      </c>
      <c r="G191" s="109"/>
      <c r="H191" s="109"/>
      <c r="I191" s="109" t="s">
        <v>346</v>
      </c>
      <c r="J191" s="109"/>
      <c r="K191" s="109"/>
      <c r="L191" s="109" t="s">
        <v>346</v>
      </c>
      <c r="M191" s="109"/>
      <c r="N191" s="109"/>
      <c r="O191" s="113" t="s">
        <v>2816</v>
      </c>
    </row>
    <row r="192" spans="1:15" ht="70.05" customHeight="1" outlineLevel="1">
      <c r="A192" s="109" t="s">
        <v>6923</v>
      </c>
      <c r="B192" s="110" t="s">
        <v>6924</v>
      </c>
      <c r="C192" s="110" t="s">
        <v>6925</v>
      </c>
      <c r="D192" s="111" t="s">
        <v>6926</v>
      </c>
      <c r="E192" s="111" t="s">
        <v>6819</v>
      </c>
      <c r="F192" s="109" t="s">
        <v>346</v>
      </c>
      <c r="G192" s="109"/>
      <c r="H192" s="109"/>
      <c r="I192" s="109" t="s">
        <v>346</v>
      </c>
      <c r="J192" s="109"/>
      <c r="K192" s="109"/>
      <c r="L192" s="109" t="s">
        <v>346</v>
      </c>
      <c r="M192" s="109"/>
      <c r="N192" s="109"/>
      <c r="O192" s="113" t="s">
        <v>2816</v>
      </c>
    </row>
    <row r="193" spans="1:15" ht="70.05" customHeight="1" outlineLevel="1">
      <c r="A193" s="109" t="s">
        <v>6927</v>
      </c>
      <c r="B193" s="110" t="s">
        <v>6928</v>
      </c>
      <c r="C193" s="110" t="s">
        <v>6889</v>
      </c>
      <c r="D193" s="111" t="s">
        <v>6929</v>
      </c>
      <c r="E193" s="111" t="s">
        <v>6865</v>
      </c>
      <c r="F193" s="109" t="s">
        <v>346</v>
      </c>
      <c r="G193" s="109"/>
      <c r="H193" s="109"/>
      <c r="I193" s="109" t="s">
        <v>346</v>
      </c>
      <c r="J193" s="109"/>
      <c r="K193" s="109"/>
      <c r="L193" s="109" t="s">
        <v>346</v>
      </c>
      <c r="M193" s="109"/>
      <c r="N193" s="109"/>
      <c r="O193" s="113" t="s">
        <v>2816</v>
      </c>
    </row>
    <row r="194" spans="1:15" ht="70.05" customHeight="1" outlineLevel="1">
      <c r="A194" s="109" t="s">
        <v>6930</v>
      </c>
      <c r="B194" s="110" t="s">
        <v>6931</v>
      </c>
      <c r="C194" s="110" t="s">
        <v>6932</v>
      </c>
      <c r="D194" s="111" t="s">
        <v>6933</v>
      </c>
      <c r="E194" s="111" t="s">
        <v>6870</v>
      </c>
      <c r="F194" s="109" t="s">
        <v>346</v>
      </c>
      <c r="G194" s="109"/>
      <c r="H194" s="109"/>
      <c r="I194" s="109" t="s">
        <v>346</v>
      </c>
      <c r="J194" s="109"/>
      <c r="K194" s="109"/>
      <c r="L194" s="109" t="s">
        <v>346</v>
      </c>
      <c r="M194" s="109"/>
      <c r="N194" s="109"/>
      <c r="O194" s="113" t="s">
        <v>2816</v>
      </c>
    </row>
    <row r="195" spans="1:15" ht="70.05" customHeight="1" outlineLevel="1">
      <c r="A195" s="109" t="s">
        <v>6934</v>
      </c>
      <c r="B195" s="110" t="s">
        <v>6928</v>
      </c>
      <c r="C195" s="110" t="s">
        <v>6889</v>
      </c>
      <c r="D195" s="111" t="s">
        <v>6935</v>
      </c>
      <c r="E195" s="111" t="s">
        <v>6873</v>
      </c>
      <c r="F195" s="109" t="s">
        <v>346</v>
      </c>
      <c r="G195" s="109"/>
      <c r="H195" s="109"/>
      <c r="I195" s="109" t="s">
        <v>346</v>
      </c>
      <c r="J195" s="109"/>
      <c r="K195" s="109"/>
      <c r="L195" s="109" t="s">
        <v>346</v>
      </c>
      <c r="M195" s="109"/>
      <c r="N195" s="109"/>
      <c r="O195" s="113" t="s">
        <v>2816</v>
      </c>
    </row>
    <row r="196" spans="1:15" ht="70.05" customHeight="1" outlineLevel="1">
      <c r="A196" s="109" t="s">
        <v>6936</v>
      </c>
      <c r="B196" s="110" t="s">
        <v>6928</v>
      </c>
      <c r="C196" s="110" t="s">
        <v>6889</v>
      </c>
      <c r="D196" s="111" t="s">
        <v>6937</v>
      </c>
      <c r="E196" s="111" t="s">
        <v>6876</v>
      </c>
      <c r="F196" s="109" t="s">
        <v>346</v>
      </c>
      <c r="G196" s="109"/>
      <c r="H196" s="109"/>
      <c r="I196" s="109" t="s">
        <v>346</v>
      </c>
      <c r="J196" s="109"/>
      <c r="K196" s="109"/>
      <c r="L196" s="109" t="s">
        <v>346</v>
      </c>
      <c r="M196" s="109"/>
      <c r="N196" s="109"/>
      <c r="O196" s="113" t="s">
        <v>2816</v>
      </c>
    </row>
    <row r="197" spans="1:15" ht="70.05" customHeight="1" outlineLevel="1">
      <c r="A197" s="109" t="s">
        <v>6938</v>
      </c>
      <c r="B197" s="110" t="s">
        <v>6928</v>
      </c>
      <c r="C197" s="110" t="s">
        <v>6889</v>
      </c>
      <c r="D197" s="111" t="s">
        <v>6939</v>
      </c>
      <c r="E197" s="111" t="s">
        <v>6940</v>
      </c>
      <c r="F197" s="109" t="s">
        <v>346</v>
      </c>
      <c r="G197" s="109"/>
      <c r="H197" s="109"/>
      <c r="I197" s="109" t="s">
        <v>346</v>
      </c>
      <c r="J197" s="109"/>
      <c r="K197" s="109"/>
      <c r="L197" s="109" t="s">
        <v>346</v>
      </c>
      <c r="M197" s="109"/>
      <c r="N197" s="109"/>
      <c r="O197" s="113" t="s">
        <v>2816</v>
      </c>
    </row>
    <row r="198" spans="1:15" ht="70.05" customHeight="1" outlineLevel="1">
      <c r="A198" s="109" t="s">
        <v>6941</v>
      </c>
      <c r="B198" s="110" t="s">
        <v>6928</v>
      </c>
      <c r="C198" s="110" t="s">
        <v>6889</v>
      </c>
      <c r="D198" s="111" t="s">
        <v>6882</v>
      </c>
      <c r="E198" s="111" t="s">
        <v>6883</v>
      </c>
      <c r="F198" s="109" t="s">
        <v>346</v>
      </c>
      <c r="G198" s="109"/>
      <c r="H198" s="109"/>
      <c r="I198" s="109" t="s">
        <v>346</v>
      </c>
      <c r="J198" s="109"/>
      <c r="K198" s="109"/>
      <c r="L198" s="109" t="s">
        <v>346</v>
      </c>
      <c r="M198" s="109"/>
      <c r="N198" s="109"/>
      <c r="O198" s="113" t="s">
        <v>2816</v>
      </c>
    </row>
    <row r="199" spans="1:15" ht="15.75" customHeight="1">
      <c r="A199" s="60" t="s">
        <v>287</v>
      </c>
      <c r="B199" s="60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2"/>
    </row>
    <row r="200" spans="1:15" ht="70.05" customHeight="1" outlineLevel="1">
      <c r="A200" s="109" t="s">
        <v>6942</v>
      </c>
      <c r="B200" s="110" t="s">
        <v>6943</v>
      </c>
      <c r="C200" s="110" t="s">
        <v>6944</v>
      </c>
      <c r="D200" s="111" t="s">
        <v>6945</v>
      </c>
      <c r="E200" s="111" t="s">
        <v>6819</v>
      </c>
      <c r="F200" s="109" t="s">
        <v>346</v>
      </c>
      <c r="G200" s="109"/>
      <c r="H200" s="109"/>
      <c r="I200" s="109" t="s">
        <v>346</v>
      </c>
      <c r="J200" s="109"/>
      <c r="K200" s="109"/>
      <c r="L200" s="109" t="s">
        <v>346</v>
      </c>
      <c r="M200" s="109"/>
      <c r="N200" s="109"/>
      <c r="O200" s="113" t="s">
        <v>2816</v>
      </c>
    </row>
    <row r="201" spans="1:15" ht="70.05" customHeight="1" outlineLevel="1">
      <c r="A201" s="109" t="s">
        <v>6946</v>
      </c>
      <c r="B201" s="110" t="s">
        <v>6947</v>
      </c>
      <c r="C201" s="110" t="s">
        <v>6948</v>
      </c>
      <c r="D201" s="111" t="s">
        <v>6949</v>
      </c>
      <c r="E201" s="111" t="s">
        <v>6819</v>
      </c>
      <c r="F201" s="109" t="s">
        <v>346</v>
      </c>
      <c r="G201" s="109"/>
      <c r="H201" s="109"/>
      <c r="I201" s="109" t="s">
        <v>346</v>
      </c>
      <c r="J201" s="109"/>
      <c r="K201" s="109"/>
      <c r="L201" s="109" t="s">
        <v>346</v>
      </c>
      <c r="M201" s="109"/>
      <c r="N201" s="109"/>
      <c r="O201" s="113" t="s">
        <v>2816</v>
      </c>
    </row>
    <row r="202" spans="1:15" ht="70.05" customHeight="1" outlineLevel="1">
      <c r="A202" s="109" t="s">
        <v>6950</v>
      </c>
      <c r="B202" s="110" t="s">
        <v>6943</v>
      </c>
      <c r="C202" s="110" t="s">
        <v>6951</v>
      </c>
      <c r="D202" s="111" t="s">
        <v>6952</v>
      </c>
      <c r="E202" s="111" t="s">
        <v>6819</v>
      </c>
      <c r="F202" s="109" t="s">
        <v>346</v>
      </c>
      <c r="G202" s="109"/>
      <c r="H202" s="109"/>
      <c r="I202" s="109" t="s">
        <v>346</v>
      </c>
      <c r="J202" s="109"/>
      <c r="K202" s="109"/>
      <c r="L202" s="109" t="s">
        <v>346</v>
      </c>
      <c r="M202" s="109"/>
      <c r="N202" s="109"/>
      <c r="O202" s="113" t="s">
        <v>2816</v>
      </c>
    </row>
    <row r="203" spans="1:15" ht="70.05" customHeight="1" outlineLevel="1">
      <c r="A203" s="109" t="s">
        <v>6953</v>
      </c>
      <c r="B203" s="110" t="s">
        <v>6943</v>
      </c>
      <c r="C203" s="110" t="s">
        <v>6944</v>
      </c>
      <c r="D203" s="111" t="s">
        <v>6899</v>
      </c>
      <c r="E203" s="111" t="s">
        <v>6819</v>
      </c>
      <c r="F203" s="109" t="s">
        <v>346</v>
      </c>
      <c r="G203" s="109"/>
      <c r="H203" s="109"/>
      <c r="I203" s="109" t="s">
        <v>346</v>
      </c>
      <c r="J203" s="109"/>
      <c r="K203" s="109"/>
      <c r="L203" s="109" t="s">
        <v>346</v>
      </c>
      <c r="M203" s="109"/>
      <c r="N203" s="109"/>
      <c r="O203" s="113" t="s">
        <v>2816</v>
      </c>
    </row>
    <row r="204" spans="1:15" ht="70.05" customHeight="1" outlineLevel="1">
      <c r="A204" s="109" t="s">
        <v>6954</v>
      </c>
      <c r="B204" s="110" t="s">
        <v>6943</v>
      </c>
      <c r="C204" s="110" t="s">
        <v>6944</v>
      </c>
      <c r="D204" s="111" t="s">
        <v>6901</v>
      </c>
      <c r="E204" s="111" t="s">
        <v>6819</v>
      </c>
      <c r="F204" s="109" t="s">
        <v>346</v>
      </c>
      <c r="G204" s="109"/>
      <c r="H204" s="109"/>
      <c r="I204" s="109" t="s">
        <v>346</v>
      </c>
      <c r="J204" s="109"/>
      <c r="K204" s="109"/>
      <c r="L204" s="109" t="s">
        <v>346</v>
      </c>
      <c r="M204" s="109"/>
      <c r="N204" s="109"/>
      <c r="O204" s="113" t="s">
        <v>2816</v>
      </c>
    </row>
    <row r="205" spans="1:15" ht="70.05" customHeight="1" outlineLevel="1">
      <c r="A205" s="109" t="s">
        <v>6955</v>
      </c>
      <c r="B205" s="110" t="s">
        <v>6956</v>
      </c>
      <c r="C205" s="110" t="s">
        <v>6957</v>
      </c>
      <c r="D205" s="111" t="s">
        <v>6905</v>
      </c>
      <c r="E205" s="111" t="s">
        <v>6906</v>
      </c>
      <c r="F205" s="109" t="s">
        <v>346</v>
      </c>
      <c r="G205" s="109"/>
      <c r="H205" s="109"/>
      <c r="I205" s="109" t="s">
        <v>346</v>
      </c>
      <c r="J205" s="109"/>
      <c r="K205" s="109"/>
      <c r="L205" s="109" t="s">
        <v>346</v>
      </c>
      <c r="M205" s="109"/>
      <c r="N205" s="109"/>
      <c r="O205" s="113" t="s">
        <v>2816</v>
      </c>
    </row>
    <row r="206" spans="1:15" ht="70.05" customHeight="1" outlineLevel="1">
      <c r="A206" s="109" t="s">
        <v>6958</v>
      </c>
      <c r="B206" s="110" t="s">
        <v>6943</v>
      </c>
      <c r="C206" s="110" t="s">
        <v>6944</v>
      </c>
      <c r="D206" s="111" t="s">
        <v>6908</v>
      </c>
      <c r="E206" s="111" t="s">
        <v>6819</v>
      </c>
      <c r="F206" s="109" t="s">
        <v>346</v>
      </c>
      <c r="G206" s="109"/>
      <c r="H206" s="109"/>
      <c r="I206" s="109" t="s">
        <v>346</v>
      </c>
      <c r="J206" s="109"/>
      <c r="K206" s="109"/>
      <c r="L206" s="109" t="s">
        <v>346</v>
      </c>
      <c r="M206" s="109"/>
      <c r="N206" s="109"/>
      <c r="O206" s="113" t="s">
        <v>2816</v>
      </c>
    </row>
    <row r="207" spans="1:15" ht="70.05" customHeight="1" outlineLevel="1">
      <c r="A207" s="109" t="s">
        <v>6959</v>
      </c>
      <c r="B207" s="110" t="s">
        <v>6943</v>
      </c>
      <c r="C207" s="110" t="s">
        <v>6944</v>
      </c>
      <c r="D207" s="111" t="s">
        <v>6910</v>
      </c>
      <c r="E207" s="111" t="s">
        <v>6819</v>
      </c>
      <c r="F207" s="109" t="s">
        <v>346</v>
      </c>
      <c r="G207" s="109"/>
      <c r="H207" s="109"/>
      <c r="I207" s="109" t="s">
        <v>346</v>
      </c>
      <c r="J207" s="109"/>
      <c r="K207" s="109"/>
      <c r="L207" s="109" t="s">
        <v>346</v>
      </c>
      <c r="M207" s="109"/>
      <c r="N207" s="109"/>
      <c r="O207" s="113" t="s">
        <v>2816</v>
      </c>
    </row>
    <row r="208" spans="1:15" ht="70.05" customHeight="1" outlineLevel="1">
      <c r="A208" s="109" t="s">
        <v>6960</v>
      </c>
      <c r="B208" s="110" t="s">
        <v>6961</v>
      </c>
      <c r="C208" s="110" t="s">
        <v>6962</v>
      </c>
      <c r="D208" s="111" t="s">
        <v>6963</v>
      </c>
      <c r="E208" s="111" t="s">
        <v>6819</v>
      </c>
      <c r="F208" s="109" t="s">
        <v>346</v>
      </c>
      <c r="G208" s="109"/>
      <c r="H208" s="109"/>
      <c r="I208" s="109" t="s">
        <v>346</v>
      </c>
      <c r="J208" s="109"/>
      <c r="K208" s="109"/>
      <c r="L208" s="109" t="s">
        <v>346</v>
      </c>
      <c r="M208" s="109"/>
      <c r="N208" s="109"/>
      <c r="O208" s="113" t="s">
        <v>2816</v>
      </c>
    </row>
    <row r="209" spans="1:15" ht="70.05" customHeight="1" outlineLevel="1">
      <c r="A209" s="109" t="s">
        <v>6964</v>
      </c>
      <c r="B209" s="110" t="s">
        <v>6965</v>
      </c>
      <c r="C209" s="110" t="s">
        <v>6966</v>
      </c>
      <c r="D209" s="111" t="s">
        <v>6967</v>
      </c>
      <c r="E209" s="111" t="s">
        <v>6819</v>
      </c>
      <c r="F209" s="109" t="s">
        <v>346</v>
      </c>
      <c r="G209" s="109"/>
      <c r="H209" s="109"/>
      <c r="I209" s="109" t="s">
        <v>346</v>
      </c>
      <c r="J209" s="109"/>
      <c r="K209" s="109"/>
      <c r="L209" s="109" t="s">
        <v>346</v>
      </c>
      <c r="M209" s="109"/>
      <c r="N209" s="109"/>
      <c r="O209" s="113" t="s">
        <v>2816</v>
      </c>
    </row>
    <row r="210" spans="1:15" ht="70.05" customHeight="1" outlineLevel="1">
      <c r="A210" s="109" t="s">
        <v>6968</v>
      </c>
      <c r="B210" s="110" t="s">
        <v>6969</v>
      </c>
      <c r="C210" s="110" t="s">
        <v>6970</v>
      </c>
      <c r="D210" s="111" t="s">
        <v>6971</v>
      </c>
      <c r="E210" s="111" t="s">
        <v>6819</v>
      </c>
      <c r="F210" s="109" t="s">
        <v>346</v>
      </c>
      <c r="G210" s="109"/>
      <c r="H210" s="109"/>
      <c r="I210" s="109" t="s">
        <v>346</v>
      </c>
      <c r="J210" s="109"/>
      <c r="K210" s="109"/>
      <c r="L210" s="109" t="s">
        <v>346</v>
      </c>
      <c r="M210" s="109"/>
      <c r="N210" s="109"/>
      <c r="O210" s="113" t="s">
        <v>2816</v>
      </c>
    </row>
    <row r="211" spans="1:15" ht="70.05" customHeight="1" outlineLevel="1">
      <c r="A211" s="109" t="s">
        <v>6972</v>
      </c>
      <c r="B211" s="110" t="s">
        <v>6973</v>
      </c>
      <c r="C211" s="110" t="s">
        <v>6974</v>
      </c>
      <c r="D211" s="111" t="s">
        <v>6975</v>
      </c>
      <c r="E211" s="111" t="s">
        <v>6819</v>
      </c>
      <c r="F211" s="109" t="s">
        <v>346</v>
      </c>
      <c r="G211" s="109"/>
      <c r="H211" s="109"/>
      <c r="I211" s="109" t="s">
        <v>346</v>
      </c>
      <c r="J211" s="109"/>
      <c r="K211" s="109"/>
      <c r="L211" s="109" t="s">
        <v>346</v>
      </c>
      <c r="M211" s="109"/>
      <c r="N211" s="109"/>
      <c r="O211" s="113" t="s">
        <v>2816</v>
      </c>
    </row>
    <row r="212" spans="1:15" ht="70.05" customHeight="1" outlineLevel="1">
      <c r="A212" s="109" t="s">
        <v>6976</v>
      </c>
      <c r="B212" s="110" t="s">
        <v>6977</v>
      </c>
      <c r="C212" s="110" t="s">
        <v>6944</v>
      </c>
      <c r="D212" s="111" t="s">
        <v>6929</v>
      </c>
      <c r="E212" s="111" t="s">
        <v>6865</v>
      </c>
      <c r="F212" s="109" t="s">
        <v>346</v>
      </c>
      <c r="G212" s="109"/>
      <c r="H212" s="109"/>
      <c r="I212" s="109" t="s">
        <v>346</v>
      </c>
      <c r="J212" s="109"/>
      <c r="K212" s="109"/>
      <c r="L212" s="109" t="s">
        <v>346</v>
      </c>
      <c r="M212" s="109"/>
      <c r="N212" s="109"/>
      <c r="O212" s="113" t="s">
        <v>2816</v>
      </c>
    </row>
    <row r="213" spans="1:15" ht="70.05" customHeight="1" outlineLevel="1">
      <c r="A213" s="109" t="s">
        <v>6978</v>
      </c>
      <c r="B213" s="110" t="s">
        <v>6979</v>
      </c>
      <c r="C213" s="110" t="s">
        <v>6980</v>
      </c>
      <c r="D213" s="111" t="s">
        <v>6933</v>
      </c>
      <c r="E213" s="111" t="s">
        <v>6870</v>
      </c>
      <c r="F213" s="109" t="s">
        <v>346</v>
      </c>
      <c r="G213" s="109"/>
      <c r="H213" s="109"/>
      <c r="I213" s="109" t="s">
        <v>346</v>
      </c>
      <c r="J213" s="109"/>
      <c r="K213" s="109"/>
      <c r="L213" s="109" t="s">
        <v>346</v>
      </c>
      <c r="M213" s="109"/>
      <c r="N213" s="109"/>
      <c r="O213" s="113" t="s">
        <v>2816</v>
      </c>
    </row>
    <row r="214" spans="1:15" ht="70.05" customHeight="1" outlineLevel="1">
      <c r="A214" s="109" t="s">
        <v>6981</v>
      </c>
      <c r="B214" s="110" t="s">
        <v>6977</v>
      </c>
      <c r="C214" s="110" t="s">
        <v>6944</v>
      </c>
      <c r="D214" s="111" t="s">
        <v>6935</v>
      </c>
      <c r="E214" s="111" t="s">
        <v>6873</v>
      </c>
      <c r="F214" s="109" t="s">
        <v>346</v>
      </c>
      <c r="G214" s="109"/>
      <c r="H214" s="109"/>
      <c r="I214" s="109" t="s">
        <v>346</v>
      </c>
      <c r="J214" s="109"/>
      <c r="K214" s="109"/>
      <c r="L214" s="109" t="s">
        <v>346</v>
      </c>
      <c r="M214" s="109"/>
      <c r="N214" s="109"/>
      <c r="O214" s="113" t="s">
        <v>2816</v>
      </c>
    </row>
    <row r="215" spans="1:15" ht="70.05" customHeight="1" outlineLevel="1">
      <c r="A215" s="109" t="s">
        <v>6982</v>
      </c>
      <c r="B215" s="110" t="s">
        <v>6977</v>
      </c>
      <c r="C215" s="110" t="s">
        <v>6944</v>
      </c>
      <c r="D215" s="111" t="s">
        <v>6937</v>
      </c>
      <c r="E215" s="111" t="s">
        <v>6876</v>
      </c>
      <c r="F215" s="109" t="s">
        <v>346</v>
      </c>
      <c r="G215" s="109"/>
      <c r="H215" s="109"/>
      <c r="I215" s="109" t="s">
        <v>346</v>
      </c>
      <c r="J215" s="109"/>
      <c r="K215" s="109"/>
      <c r="L215" s="109" t="s">
        <v>346</v>
      </c>
      <c r="M215" s="109"/>
      <c r="N215" s="109"/>
      <c r="O215" s="113" t="s">
        <v>2816</v>
      </c>
    </row>
    <row r="216" spans="1:15" ht="70.05" customHeight="1" outlineLevel="1">
      <c r="A216" s="109" t="s">
        <v>6983</v>
      </c>
      <c r="B216" s="110" t="s">
        <v>6977</v>
      </c>
      <c r="C216" s="110" t="s">
        <v>6944</v>
      </c>
      <c r="D216" s="111" t="s">
        <v>6939</v>
      </c>
      <c r="E216" s="111" t="s">
        <v>6940</v>
      </c>
      <c r="F216" s="109" t="s">
        <v>346</v>
      </c>
      <c r="G216" s="109"/>
      <c r="H216" s="109"/>
      <c r="I216" s="109" t="s">
        <v>346</v>
      </c>
      <c r="J216" s="109"/>
      <c r="K216" s="109"/>
      <c r="L216" s="109" t="s">
        <v>346</v>
      </c>
      <c r="M216" s="109"/>
      <c r="N216" s="109"/>
      <c r="O216" s="113" t="s">
        <v>2816</v>
      </c>
    </row>
    <row r="217" spans="1:15" ht="70.05" customHeight="1" outlineLevel="1">
      <c r="A217" s="109" t="s">
        <v>6984</v>
      </c>
      <c r="B217" s="110" t="s">
        <v>6977</v>
      </c>
      <c r="C217" s="110" t="s">
        <v>6944</v>
      </c>
      <c r="D217" s="111" t="s">
        <v>6882</v>
      </c>
      <c r="E217" s="111" t="s">
        <v>6883</v>
      </c>
      <c r="F217" s="109" t="s">
        <v>346</v>
      </c>
      <c r="G217" s="109"/>
      <c r="H217" s="109"/>
      <c r="I217" s="109" t="s">
        <v>346</v>
      </c>
      <c r="J217" s="109"/>
      <c r="K217" s="109"/>
      <c r="L217" s="109" t="s">
        <v>346</v>
      </c>
      <c r="M217" s="109"/>
      <c r="N217" s="109"/>
      <c r="O217" s="113" t="s">
        <v>2816</v>
      </c>
    </row>
    <row r="218" spans="1:15" ht="15.75" customHeight="1">
      <c r="A218" s="60" t="s">
        <v>289</v>
      </c>
      <c r="B218" s="60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2"/>
    </row>
    <row r="219" spans="1:15" ht="70.05" customHeight="1" outlineLevel="1">
      <c r="A219" s="109" t="s">
        <v>6985</v>
      </c>
      <c r="B219" s="110" t="s">
        <v>6986</v>
      </c>
      <c r="C219" s="110" t="s">
        <v>6987</v>
      </c>
      <c r="D219" s="111" t="s">
        <v>6988</v>
      </c>
      <c r="E219" s="111" t="s">
        <v>6989</v>
      </c>
      <c r="F219" s="109" t="s">
        <v>344</v>
      </c>
      <c r="G219" s="112">
        <v>46300</v>
      </c>
      <c r="H219" s="109" t="s">
        <v>6820</v>
      </c>
      <c r="I219" s="109" t="s">
        <v>346</v>
      </c>
      <c r="J219" s="109"/>
      <c r="K219" s="109"/>
      <c r="L219" s="109" t="s">
        <v>346</v>
      </c>
      <c r="M219" s="109"/>
      <c r="N219" s="109"/>
      <c r="O219" s="113"/>
    </row>
    <row r="220" spans="1:15" ht="70.05" customHeight="1" outlineLevel="1">
      <c r="A220" s="109" t="s">
        <v>6990</v>
      </c>
      <c r="B220" s="110" t="s">
        <v>6991</v>
      </c>
      <c r="C220" s="110" t="s">
        <v>6992</v>
      </c>
      <c r="D220" s="111" t="s">
        <v>6993</v>
      </c>
      <c r="E220" s="111" t="s">
        <v>6989</v>
      </c>
      <c r="F220" s="109" t="s">
        <v>344</v>
      </c>
      <c r="G220" s="112">
        <v>46300</v>
      </c>
      <c r="H220" s="109" t="s">
        <v>6820</v>
      </c>
      <c r="I220" s="109" t="s">
        <v>346</v>
      </c>
      <c r="J220" s="109"/>
      <c r="K220" s="109"/>
      <c r="L220" s="109" t="s">
        <v>346</v>
      </c>
      <c r="M220" s="109"/>
      <c r="N220" s="109"/>
      <c r="O220" s="113"/>
    </row>
    <row r="221" spans="1:15" ht="70.05" customHeight="1" outlineLevel="1">
      <c r="A221" s="109" t="s">
        <v>6994</v>
      </c>
      <c r="B221" s="110" t="s">
        <v>6995</v>
      </c>
      <c r="C221" s="110" t="s">
        <v>6996</v>
      </c>
      <c r="D221" s="111" t="s">
        <v>6997</v>
      </c>
      <c r="E221" s="111" t="s">
        <v>6989</v>
      </c>
      <c r="F221" s="109" t="s">
        <v>344</v>
      </c>
      <c r="G221" s="112">
        <v>46300</v>
      </c>
      <c r="H221" s="109" t="s">
        <v>6820</v>
      </c>
      <c r="I221" s="109" t="s">
        <v>346</v>
      </c>
      <c r="J221" s="109"/>
      <c r="K221" s="109"/>
      <c r="L221" s="109" t="s">
        <v>346</v>
      </c>
      <c r="M221" s="109"/>
      <c r="N221" s="109"/>
      <c r="O221" s="113"/>
    </row>
    <row r="222" spans="1:15" ht="70.05" customHeight="1" outlineLevel="1">
      <c r="A222" s="109" t="s">
        <v>6998</v>
      </c>
      <c r="B222" s="110" t="s">
        <v>6986</v>
      </c>
      <c r="C222" s="110" t="s">
        <v>6987</v>
      </c>
      <c r="D222" s="111" t="s">
        <v>6999</v>
      </c>
      <c r="E222" s="111" t="s">
        <v>7000</v>
      </c>
      <c r="F222" s="109" t="s">
        <v>344</v>
      </c>
      <c r="G222" s="112">
        <v>46300</v>
      </c>
      <c r="H222" s="109" t="s">
        <v>6820</v>
      </c>
      <c r="I222" s="109" t="s">
        <v>346</v>
      </c>
      <c r="J222" s="109"/>
      <c r="K222" s="109"/>
      <c r="L222" s="109" t="s">
        <v>346</v>
      </c>
      <c r="M222" s="109"/>
      <c r="N222" s="109"/>
      <c r="O222" s="113"/>
    </row>
    <row r="223" spans="1:15" ht="70.05" customHeight="1" outlineLevel="1">
      <c r="A223" s="109" t="s">
        <v>7001</v>
      </c>
      <c r="B223" s="110" t="s">
        <v>6986</v>
      </c>
      <c r="C223" s="110" t="s">
        <v>6987</v>
      </c>
      <c r="D223" s="111" t="s">
        <v>7002</v>
      </c>
      <c r="E223" s="111" t="s">
        <v>7003</v>
      </c>
      <c r="F223" s="109" t="s">
        <v>344</v>
      </c>
      <c r="G223" s="112">
        <v>46300</v>
      </c>
      <c r="H223" s="109" t="s">
        <v>6820</v>
      </c>
      <c r="I223" s="109" t="s">
        <v>346</v>
      </c>
      <c r="J223" s="109"/>
      <c r="K223" s="109"/>
      <c r="L223" s="109" t="s">
        <v>346</v>
      </c>
      <c r="M223" s="109"/>
      <c r="N223" s="109"/>
      <c r="O223" s="113"/>
    </row>
    <row r="224" spans="1:15" ht="70.05" customHeight="1" outlineLevel="1">
      <c r="A224" s="109" t="s">
        <v>7004</v>
      </c>
      <c r="B224" s="110" t="s">
        <v>7005</v>
      </c>
      <c r="C224" s="110" t="s">
        <v>7006</v>
      </c>
      <c r="D224" s="111" t="s">
        <v>7007</v>
      </c>
      <c r="E224" s="111" t="s">
        <v>6989</v>
      </c>
      <c r="F224" s="109" t="s">
        <v>344</v>
      </c>
      <c r="G224" s="112">
        <v>46300</v>
      </c>
      <c r="H224" s="109" t="s">
        <v>6820</v>
      </c>
      <c r="I224" s="109" t="s">
        <v>346</v>
      </c>
      <c r="J224" s="109"/>
      <c r="K224" s="109"/>
      <c r="L224" s="109" t="s">
        <v>346</v>
      </c>
      <c r="M224" s="109"/>
      <c r="N224" s="109"/>
      <c r="O224" s="113"/>
    </row>
    <row r="225" spans="1:15" ht="70.05" customHeight="1" outlineLevel="1">
      <c r="A225" s="109" t="s">
        <v>7008</v>
      </c>
      <c r="B225" s="110" t="s">
        <v>7009</v>
      </c>
      <c r="C225" s="110" t="s">
        <v>7010</v>
      </c>
      <c r="D225" s="111" t="s">
        <v>7011</v>
      </c>
      <c r="E225" s="111" t="s">
        <v>6989</v>
      </c>
      <c r="F225" s="109" t="s">
        <v>344</v>
      </c>
      <c r="G225" s="112">
        <v>46300</v>
      </c>
      <c r="H225" s="109" t="s">
        <v>6820</v>
      </c>
      <c r="I225" s="109" t="s">
        <v>346</v>
      </c>
      <c r="J225" s="109"/>
      <c r="K225" s="109"/>
      <c r="L225" s="109" t="s">
        <v>346</v>
      </c>
      <c r="M225" s="109"/>
      <c r="N225" s="109"/>
      <c r="O225" s="113"/>
    </row>
    <row r="226" spans="1:15" ht="70.05" customHeight="1" outlineLevel="1">
      <c r="A226" s="109" t="s">
        <v>7012</v>
      </c>
      <c r="B226" s="110" t="s">
        <v>6986</v>
      </c>
      <c r="C226" s="110" t="s">
        <v>6987</v>
      </c>
      <c r="D226" s="111" t="s">
        <v>7013</v>
      </c>
      <c r="E226" s="111" t="s">
        <v>6989</v>
      </c>
      <c r="F226" s="109" t="s">
        <v>344</v>
      </c>
      <c r="G226" s="112">
        <v>46300</v>
      </c>
      <c r="H226" s="109" t="s">
        <v>6820</v>
      </c>
      <c r="I226" s="109" t="s">
        <v>346</v>
      </c>
      <c r="J226" s="109"/>
      <c r="K226" s="109"/>
      <c r="L226" s="109" t="s">
        <v>346</v>
      </c>
      <c r="M226" s="109"/>
      <c r="N226" s="109"/>
      <c r="O226" s="113"/>
    </row>
    <row r="227" spans="1:15" ht="70.05" customHeight="1" outlineLevel="1">
      <c r="A227" s="109" t="s">
        <v>7014</v>
      </c>
      <c r="B227" s="110" t="s">
        <v>7015</v>
      </c>
      <c r="C227" s="110" t="s">
        <v>7016</v>
      </c>
      <c r="D227" s="111" t="s">
        <v>7017</v>
      </c>
      <c r="E227" s="111" t="s">
        <v>6989</v>
      </c>
      <c r="F227" s="109" t="s">
        <v>344</v>
      </c>
      <c r="G227" s="112">
        <v>46300</v>
      </c>
      <c r="H227" s="109" t="s">
        <v>6820</v>
      </c>
      <c r="I227" s="109" t="s">
        <v>346</v>
      </c>
      <c r="J227" s="109"/>
      <c r="K227" s="109"/>
      <c r="L227" s="109" t="s">
        <v>346</v>
      </c>
      <c r="M227" s="109"/>
      <c r="N227" s="109"/>
      <c r="O227" s="113"/>
    </row>
    <row r="228" spans="1:15" ht="70.05" customHeight="1" outlineLevel="1">
      <c r="A228" s="109" t="s">
        <v>7018</v>
      </c>
      <c r="B228" s="110" t="s">
        <v>7019</v>
      </c>
      <c r="C228" s="110" t="s">
        <v>6987</v>
      </c>
      <c r="D228" s="111" t="s">
        <v>7020</v>
      </c>
      <c r="E228" s="111" t="s">
        <v>7021</v>
      </c>
      <c r="F228" s="109" t="s">
        <v>344</v>
      </c>
      <c r="G228" s="112">
        <v>46300</v>
      </c>
      <c r="H228" s="109" t="s">
        <v>6820</v>
      </c>
      <c r="I228" s="109" t="s">
        <v>346</v>
      </c>
      <c r="J228" s="109"/>
      <c r="K228" s="109"/>
      <c r="L228" s="109" t="s">
        <v>346</v>
      </c>
      <c r="M228" s="109"/>
      <c r="N228" s="109"/>
      <c r="O228" s="113"/>
    </row>
    <row r="229" spans="1:15" ht="70.05" customHeight="1" outlineLevel="1">
      <c r="A229" s="109" t="s">
        <v>7022</v>
      </c>
      <c r="B229" s="110" t="s">
        <v>7019</v>
      </c>
      <c r="C229" s="110" t="s">
        <v>6987</v>
      </c>
      <c r="D229" s="111" t="s">
        <v>7023</v>
      </c>
      <c r="E229" s="111" t="s">
        <v>7024</v>
      </c>
      <c r="F229" s="109" t="s">
        <v>344</v>
      </c>
      <c r="G229" s="112">
        <v>46300</v>
      </c>
      <c r="H229" s="109" t="s">
        <v>6820</v>
      </c>
      <c r="I229" s="109" t="s">
        <v>346</v>
      </c>
      <c r="J229" s="109"/>
      <c r="K229" s="109"/>
      <c r="L229" s="109" t="s">
        <v>346</v>
      </c>
      <c r="M229" s="109"/>
      <c r="N229" s="109"/>
      <c r="O229" s="113"/>
    </row>
    <row r="230" spans="1:15" ht="70.05" customHeight="1" outlineLevel="1">
      <c r="A230" s="109" t="s">
        <v>7025</v>
      </c>
      <c r="B230" s="110" t="s">
        <v>7026</v>
      </c>
      <c r="C230" s="110" t="s">
        <v>7027</v>
      </c>
      <c r="D230" s="111" t="s">
        <v>7028</v>
      </c>
      <c r="E230" s="111" t="s">
        <v>6989</v>
      </c>
      <c r="F230" s="109" t="s">
        <v>344</v>
      </c>
      <c r="G230" s="112">
        <v>46300</v>
      </c>
      <c r="H230" s="109" t="s">
        <v>6820</v>
      </c>
      <c r="I230" s="109" t="s">
        <v>346</v>
      </c>
      <c r="J230" s="109"/>
      <c r="K230" s="109"/>
      <c r="L230" s="109" t="s">
        <v>346</v>
      </c>
      <c r="M230" s="109"/>
      <c r="N230" s="109"/>
      <c r="O230" s="113"/>
    </row>
    <row r="231" spans="1:15" ht="70.05" customHeight="1" outlineLevel="1">
      <c r="A231" s="109" t="s">
        <v>7029</v>
      </c>
      <c r="B231" s="110" t="s">
        <v>7030</v>
      </c>
      <c r="C231" s="110" t="s">
        <v>7031</v>
      </c>
      <c r="D231" s="111" t="s">
        <v>7028</v>
      </c>
      <c r="E231" s="111" t="s">
        <v>6989</v>
      </c>
      <c r="F231" s="109" t="s">
        <v>344</v>
      </c>
      <c r="G231" s="112">
        <v>46300</v>
      </c>
      <c r="H231" s="109" t="s">
        <v>6820</v>
      </c>
      <c r="I231" s="109" t="s">
        <v>346</v>
      </c>
      <c r="J231" s="109"/>
      <c r="K231" s="109"/>
      <c r="L231" s="109" t="s">
        <v>346</v>
      </c>
      <c r="M231" s="109"/>
      <c r="N231" s="109"/>
      <c r="O231" s="113"/>
    </row>
    <row r="232" spans="1:15" ht="70.05" customHeight="1" outlineLevel="1">
      <c r="A232" s="109" t="s">
        <v>7032</v>
      </c>
      <c r="B232" s="110" t="s">
        <v>7033</v>
      </c>
      <c r="C232" s="110" t="s">
        <v>7034</v>
      </c>
      <c r="D232" s="111" t="s">
        <v>7035</v>
      </c>
      <c r="E232" s="111" t="s">
        <v>6989</v>
      </c>
      <c r="F232" s="109" t="s">
        <v>344</v>
      </c>
      <c r="G232" s="112">
        <v>46300</v>
      </c>
      <c r="H232" s="109" t="s">
        <v>6820</v>
      </c>
      <c r="I232" s="109" t="s">
        <v>346</v>
      </c>
      <c r="J232" s="109"/>
      <c r="K232" s="109"/>
      <c r="L232" s="109" t="s">
        <v>346</v>
      </c>
      <c r="M232" s="109"/>
      <c r="N232" s="109"/>
      <c r="O232" s="113"/>
    </row>
    <row r="233" spans="1:15" ht="70.05" customHeight="1" outlineLevel="1">
      <c r="A233" s="109" t="s">
        <v>7036</v>
      </c>
      <c r="B233" s="110" t="s">
        <v>7033</v>
      </c>
      <c r="C233" s="110" t="s">
        <v>7037</v>
      </c>
      <c r="D233" s="111" t="s">
        <v>7035</v>
      </c>
      <c r="E233" s="111" t="s">
        <v>6989</v>
      </c>
      <c r="F233" s="109" t="s">
        <v>344</v>
      </c>
      <c r="G233" s="112">
        <v>46300</v>
      </c>
      <c r="H233" s="109" t="s">
        <v>6820</v>
      </c>
      <c r="I233" s="109" t="s">
        <v>346</v>
      </c>
      <c r="J233" s="109"/>
      <c r="K233" s="109"/>
      <c r="L233" s="109" t="s">
        <v>346</v>
      </c>
      <c r="M233" s="109"/>
      <c r="N233" s="109"/>
      <c r="O233" s="113"/>
    </row>
    <row r="234" spans="1:15" ht="70.05" customHeight="1" outlineLevel="1">
      <c r="A234" s="109" t="s">
        <v>7038</v>
      </c>
      <c r="B234" s="110" t="s">
        <v>7033</v>
      </c>
      <c r="C234" s="110" t="s">
        <v>6987</v>
      </c>
      <c r="D234" s="111" t="s">
        <v>7039</v>
      </c>
      <c r="E234" s="111" t="s">
        <v>7040</v>
      </c>
      <c r="F234" s="109" t="s">
        <v>344</v>
      </c>
      <c r="G234" s="112">
        <v>46300</v>
      </c>
      <c r="H234" s="109" t="s">
        <v>6820</v>
      </c>
      <c r="I234" s="109" t="s">
        <v>346</v>
      </c>
      <c r="J234" s="109"/>
      <c r="K234" s="109"/>
      <c r="L234" s="109" t="s">
        <v>346</v>
      </c>
      <c r="M234" s="109"/>
      <c r="N234" s="109"/>
      <c r="O234" s="113"/>
    </row>
    <row r="235" spans="1:15" ht="70.05" customHeight="1" outlineLevel="1">
      <c r="A235" s="109" t="s">
        <v>7041</v>
      </c>
      <c r="B235" s="110" t="s">
        <v>7033</v>
      </c>
      <c r="C235" s="110" t="s">
        <v>6987</v>
      </c>
      <c r="D235" s="111" t="s">
        <v>6872</v>
      </c>
      <c r="E235" s="111" t="s">
        <v>7042</v>
      </c>
      <c r="F235" s="109" t="s">
        <v>344</v>
      </c>
      <c r="G235" s="112">
        <v>46300</v>
      </c>
      <c r="H235" s="109" t="s">
        <v>6820</v>
      </c>
      <c r="I235" s="109" t="s">
        <v>346</v>
      </c>
      <c r="J235" s="109"/>
      <c r="K235" s="109"/>
      <c r="L235" s="109" t="s">
        <v>346</v>
      </c>
      <c r="M235" s="109"/>
      <c r="N235" s="109"/>
      <c r="O235" s="113"/>
    </row>
    <row r="236" spans="1:15" ht="70.05" customHeight="1" outlineLevel="1">
      <c r="A236" s="109" t="s">
        <v>7043</v>
      </c>
      <c r="B236" s="110" t="s">
        <v>7033</v>
      </c>
      <c r="C236" s="110" t="s">
        <v>6987</v>
      </c>
      <c r="D236" s="111" t="s">
        <v>7044</v>
      </c>
      <c r="E236" s="111" t="s">
        <v>7045</v>
      </c>
      <c r="F236" s="109" t="s">
        <v>344</v>
      </c>
      <c r="G236" s="112">
        <v>46300</v>
      </c>
      <c r="H236" s="109" t="s">
        <v>6820</v>
      </c>
      <c r="I236" s="109" t="s">
        <v>346</v>
      </c>
      <c r="J236" s="109"/>
      <c r="K236" s="109"/>
      <c r="L236" s="109" t="s">
        <v>346</v>
      </c>
      <c r="M236" s="109"/>
      <c r="N236" s="109"/>
      <c r="O236" s="113"/>
    </row>
    <row r="237" spans="1:15" ht="70.05" customHeight="1" outlineLevel="1">
      <c r="A237" s="109" t="s">
        <v>7046</v>
      </c>
      <c r="B237" s="110" t="s">
        <v>7033</v>
      </c>
      <c r="C237" s="110" t="s">
        <v>6987</v>
      </c>
      <c r="D237" s="111" t="s">
        <v>7047</v>
      </c>
      <c r="E237" s="111" t="s">
        <v>7048</v>
      </c>
      <c r="F237" s="109" t="s">
        <v>344</v>
      </c>
      <c r="G237" s="112">
        <v>46300</v>
      </c>
      <c r="H237" s="109" t="s">
        <v>6820</v>
      </c>
      <c r="I237" s="109" t="s">
        <v>346</v>
      </c>
      <c r="J237" s="109"/>
      <c r="K237" s="109"/>
      <c r="L237" s="109" t="s">
        <v>346</v>
      </c>
      <c r="M237" s="109"/>
      <c r="N237" s="109"/>
      <c r="O237" s="113"/>
    </row>
    <row r="238" spans="1:15" ht="70.05" customHeight="1" outlineLevel="1">
      <c r="A238" s="109" t="s">
        <v>7049</v>
      </c>
      <c r="B238" s="110" t="s">
        <v>7033</v>
      </c>
      <c r="C238" s="110" t="s">
        <v>6987</v>
      </c>
      <c r="D238" s="111" t="s">
        <v>6882</v>
      </c>
      <c r="E238" s="111" t="s">
        <v>7050</v>
      </c>
      <c r="F238" s="109" t="s">
        <v>344</v>
      </c>
      <c r="G238" s="112">
        <v>46300</v>
      </c>
      <c r="H238" s="109" t="s">
        <v>6820</v>
      </c>
      <c r="I238" s="109" t="s">
        <v>346</v>
      </c>
      <c r="J238" s="109"/>
      <c r="K238" s="109"/>
      <c r="L238" s="109" t="s">
        <v>346</v>
      </c>
      <c r="M238" s="109"/>
      <c r="N238" s="109"/>
      <c r="O238" s="113"/>
    </row>
    <row r="239" spans="1:15" ht="15.75" customHeight="1">
      <c r="A239" s="60" t="s">
        <v>291</v>
      </c>
      <c r="B239" s="60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2"/>
    </row>
    <row r="240" spans="1:15" ht="70.05" customHeight="1" outlineLevel="1">
      <c r="A240" s="109" t="s">
        <v>7051</v>
      </c>
      <c r="B240" s="110" t="s">
        <v>7052</v>
      </c>
      <c r="C240" s="110" t="s">
        <v>7053</v>
      </c>
      <c r="D240" s="111" t="s">
        <v>7054</v>
      </c>
      <c r="E240" s="111" t="s">
        <v>6989</v>
      </c>
      <c r="F240" s="109" t="s">
        <v>346</v>
      </c>
      <c r="G240" s="109"/>
      <c r="H240" s="109"/>
      <c r="I240" s="109" t="s">
        <v>346</v>
      </c>
      <c r="J240" s="109"/>
      <c r="K240" s="109"/>
      <c r="L240" s="109" t="s">
        <v>346</v>
      </c>
      <c r="M240" s="109"/>
      <c r="N240" s="109"/>
      <c r="O240" s="113" t="s">
        <v>2816</v>
      </c>
    </row>
    <row r="241" spans="1:15" ht="70.05" customHeight="1" outlineLevel="1">
      <c r="A241" s="109" t="s">
        <v>7055</v>
      </c>
      <c r="B241" s="110" t="s">
        <v>7056</v>
      </c>
      <c r="C241" s="110" t="s">
        <v>7057</v>
      </c>
      <c r="D241" s="111" t="s">
        <v>7058</v>
      </c>
      <c r="E241" s="111" t="s">
        <v>6989</v>
      </c>
      <c r="F241" s="109" t="s">
        <v>346</v>
      </c>
      <c r="G241" s="109"/>
      <c r="H241" s="109"/>
      <c r="I241" s="109" t="s">
        <v>346</v>
      </c>
      <c r="J241" s="109"/>
      <c r="K241" s="109"/>
      <c r="L241" s="109" t="s">
        <v>346</v>
      </c>
      <c r="M241" s="109"/>
      <c r="N241" s="109"/>
      <c r="O241" s="113" t="s">
        <v>2816</v>
      </c>
    </row>
    <row r="242" spans="1:15" ht="70.05" customHeight="1" outlineLevel="1">
      <c r="A242" s="109" t="s">
        <v>7059</v>
      </c>
      <c r="B242" s="110" t="s">
        <v>7052</v>
      </c>
      <c r="C242" s="110" t="s">
        <v>7053</v>
      </c>
      <c r="D242" s="111" t="s">
        <v>7060</v>
      </c>
      <c r="E242" s="111" t="s">
        <v>7061</v>
      </c>
      <c r="F242" s="109" t="s">
        <v>346</v>
      </c>
      <c r="G242" s="109"/>
      <c r="H242" s="109"/>
      <c r="I242" s="109" t="s">
        <v>346</v>
      </c>
      <c r="J242" s="109"/>
      <c r="K242" s="109"/>
      <c r="L242" s="109" t="s">
        <v>346</v>
      </c>
      <c r="M242" s="109"/>
      <c r="N242" s="109"/>
      <c r="O242" s="113" t="s">
        <v>2816</v>
      </c>
    </row>
    <row r="243" spans="1:15" ht="70.05" customHeight="1" outlineLevel="1">
      <c r="A243" s="109" t="s">
        <v>7062</v>
      </c>
      <c r="B243" s="110" t="s">
        <v>7052</v>
      </c>
      <c r="C243" s="110" t="s">
        <v>7053</v>
      </c>
      <c r="D243" s="111" t="s">
        <v>7063</v>
      </c>
      <c r="E243" s="111" t="s">
        <v>6989</v>
      </c>
      <c r="F243" s="109" t="s">
        <v>346</v>
      </c>
      <c r="G243" s="109"/>
      <c r="H243" s="109"/>
      <c r="I243" s="109" t="s">
        <v>346</v>
      </c>
      <c r="J243" s="109"/>
      <c r="K243" s="109"/>
      <c r="L243" s="109" t="s">
        <v>346</v>
      </c>
      <c r="M243" s="109"/>
      <c r="N243" s="109"/>
      <c r="O243" s="113" t="s">
        <v>2816</v>
      </c>
    </row>
    <row r="244" spans="1:15" ht="70.05" customHeight="1" outlineLevel="1">
      <c r="A244" s="109" t="s">
        <v>7064</v>
      </c>
      <c r="B244" s="110" t="s">
        <v>7052</v>
      </c>
      <c r="C244" s="110" t="s">
        <v>7053</v>
      </c>
      <c r="D244" s="111" t="s">
        <v>6901</v>
      </c>
      <c r="E244" s="111" t="s">
        <v>6989</v>
      </c>
      <c r="F244" s="109" t="s">
        <v>346</v>
      </c>
      <c r="G244" s="109"/>
      <c r="H244" s="109"/>
      <c r="I244" s="109" t="s">
        <v>346</v>
      </c>
      <c r="J244" s="109"/>
      <c r="K244" s="109"/>
      <c r="L244" s="109" t="s">
        <v>346</v>
      </c>
      <c r="M244" s="109"/>
      <c r="N244" s="109"/>
      <c r="O244" s="113" t="s">
        <v>2816</v>
      </c>
    </row>
    <row r="245" spans="1:15" ht="70.05" customHeight="1" outlineLevel="1">
      <c r="A245" s="109" t="s">
        <v>7065</v>
      </c>
      <c r="B245" s="110" t="s">
        <v>7066</v>
      </c>
      <c r="C245" s="110" t="s">
        <v>7067</v>
      </c>
      <c r="D245" s="111" t="s">
        <v>7068</v>
      </c>
      <c r="E245" s="111" t="s">
        <v>7069</v>
      </c>
      <c r="F245" s="109" t="s">
        <v>346</v>
      </c>
      <c r="G245" s="109"/>
      <c r="H245" s="109"/>
      <c r="I245" s="109" t="s">
        <v>346</v>
      </c>
      <c r="J245" s="109"/>
      <c r="K245" s="109"/>
      <c r="L245" s="109" t="s">
        <v>346</v>
      </c>
      <c r="M245" s="109"/>
      <c r="N245" s="109"/>
      <c r="O245" s="113" t="s">
        <v>2816</v>
      </c>
    </row>
    <row r="246" spans="1:15" ht="70.05" customHeight="1" outlineLevel="1">
      <c r="A246" s="109" t="s">
        <v>7070</v>
      </c>
      <c r="B246" s="110" t="s">
        <v>7052</v>
      </c>
      <c r="C246" s="110" t="s">
        <v>7053</v>
      </c>
      <c r="D246" s="111" t="s">
        <v>7071</v>
      </c>
      <c r="E246" s="111" t="s">
        <v>6989</v>
      </c>
      <c r="F246" s="109" t="s">
        <v>346</v>
      </c>
      <c r="G246" s="109"/>
      <c r="H246" s="109"/>
      <c r="I246" s="109" t="s">
        <v>346</v>
      </c>
      <c r="J246" s="109"/>
      <c r="K246" s="109"/>
      <c r="L246" s="109" t="s">
        <v>346</v>
      </c>
      <c r="M246" s="109"/>
      <c r="N246" s="109"/>
      <c r="O246" s="113" t="s">
        <v>2816</v>
      </c>
    </row>
    <row r="247" spans="1:15" ht="70.05" customHeight="1" outlineLevel="1">
      <c r="A247" s="109" t="s">
        <v>7072</v>
      </c>
      <c r="B247" s="110" t="s">
        <v>7052</v>
      </c>
      <c r="C247" s="110" t="s">
        <v>7053</v>
      </c>
      <c r="D247" s="111" t="s">
        <v>6910</v>
      </c>
      <c r="E247" s="111" t="s">
        <v>6989</v>
      </c>
      <c r="F247" s="109" t="s">
        <v>346</v>
      </c>
      <c r="G247" s="109"/>
      <c r="H247" s="109"/>
      <c r="I247" s="109" t="s">
        <v>346</v>
      </c>
      <c r="J247" s="109"/>
      <c r="K247" s="109"/>
      <c r="L247" s="109" t="s">
        <v>346</v>
      </c>
      <c r="M247" s="109"/>
      <c r="N247" s="109"/>
      <c r="O247" s="113" t="s">
        <v>2816</v>
      </c>
    </row>
    <row r="248" spans="1:15" ht="70.05" customHeight="1" outlineLevel="1">
      <c r="A248" s="109" t="s">
        <v>7073</v>
      </c>
      <c r="B248" s="110" t="s">
        <v>7074</v>
      </c>
      <c r="C248" s="110" t="s">
        <v>7075</v>
      </c>
      <c r="D248" s="111" t="s">
        <v>7076</v>
      </c>
      <c r="E248" s="111" t="s">
        <v>6989</v>
      </c>
      <c r="F248" s="109" t="s">
        <v>346</v>
      </c>
      <c r="G248" s="109"/>
      <c r="H248" s="109"/>
      <c r="I248" s="109" t="s">
        <v>346</v>
      </c>
      <c r="J248" s="109"/>
      <c r="K248" s="109"/>
      <c r="L248" s="109" t="s">
        <v>346</v>
      </c>
      <c r="M248" s="109"/>
      <c r="N248" s="109"/>
      <c r="O248" s="113" t="s">
        <v>2816</v>
      </c>
    </row>
    <row r="249" spans="1:15" ht="70.05" customHeight="1" outlineLevel="1">
      <c r="A249" s="109" t="s">
        <v>7077</v>
      </c>
      <c r="B249" s="110" t="s">
        <v>7078</v>
      </c>
      <c r="C249" s="110" t="s">
        <v>7079</v>
      </c>
      <c r="D249" s="111" t="s">
        <v>7080</v>
      </c>
      <c r="E249" s="111" t="s">
        <v>6989</v>
      </c>
      <c r="F249" s="109" t="s">
        <v>346</v>
      </c>
      <c r="G249" s="109"/>
      <c r="H249" s="109"/>
      <c r="I249" s="109" t="s">
        <v>346</v>
      </c>
      <c r="J249" s="109"/>
      <c r="K249" s="109"/>
      <c r="L249" s="109" t="s">
        <v>346</v>
      </c>
      <c r="M249" s="109"/>
      <c r="N249" s="109"/>
      <c r="O249" s="113" t="s">
        <v>2816</v>
      </c>
    </row>
    <row r="250" spans="1:15" ht="70.05" customHeight="1" outlineLevel="1">
      <c r="A250" s="109" t="s">
        <v>7081</v>
      </c>
      <c r="B250" s="110" t="s">
        <v>7082</v>
      </c>
      <c r="C250" s="110" t="s">
        <v>7053</v>
      </c>
      <c r="D250" s="111" t="s">
        <v>7083</v>
      </c>
      <c r="E250" s="111" t="s">
        <v>7021</v>
      </c>
      <c r="F250" s="109" t="s">
        <v>346</v>
      </c>
      <c r="G250" s="109"/>
      <c r="H250" s="109"/>
      <c r="I250" s="109" t="s">
        <v>346</v>
      </c>
      <c r="J250" s="109"/>
      <c r="K250" s="109"/>
      <c r="L250" s="109" t="s">
        <v>346</v>
      </c>
      <c r="M250" s="109"/>
      <c r="N250" s="109"/>
      <c r="O250" s="113" t="s">
        <v>2816</v>
      </c>
    </row>
    <row r="251" spans="1:15" ht="70.05" customHeight="1" outlineLevel="1">
      <c r="A251" s="109" t="s">
        <v>7084</v>
      </c>
      <c r="B251" s="110" t="s">
        <v>7082</v>
      </c>
      <c r="C251" s="110" t="s">
        <v>7053</v>
      </c>
      <c r="D251" s="111" t="s">
        <v>7085</v>
      </c>
      <c r="E251" s="111" t="s">
        <v>7086</v>
      </c>
      <c r="F251" s="109" t="s">
        <v>346</v>
      </c>
      <c r="G251" s="109"/>
      <c r="H251" s="109"/>
      <c r="I251" s="109" t="s">
        <v>346</v>
      </c>
      <c r="J251" s="109"/>
      <c r="K251" s="109"/>
      <c r="L251" s="109" t="s">
        <v>346</v>
      </c>
      <c r="M251" s="109"/>
      <c r="N251" s="109"/>
      <c r="O251" s="113" t="s">
        <v>2816</v>
      </c>
    </row>
    <row r="252" spans="1:15" ht="70.05" customHeight="1" outlineLevel="1">
      <c r="A252" s="109" t="s">
        <v>7087</v>
      </c>
      <c r="B252" s="110" t="s">
        <v>7088</v>
      </c>
      <c r="C252" s="110" t="s">
        <v>7089</v>
      </c>
      <c r="D252" s="111" t="s">
        <v>7090</v>
      </c>
      <c r="E252" s="111" t="s">
        <v>6989</v>
      </c>
      <c r="F252" s="109" t="s">
        <v>346</v>
      </c>
      <c r="G252" s="109"/>
      <c r="H252" s="109"/>
      <c r="I252" s="109" t="s">
        <v>346</v>
      </c>
      <c r="J252" s="109"/>
      <c r="K252" s="109"/>
      <c r="L252" s="109" t="s">
        <v>346</v>
      </c>
      <c r="M252" s="109"/>
      <c r="N252" s="109"/>
      <c r="O252" s="113" t="s">
        <v>2816</v>
      </c>
    </row>
    <row r="253" spans="1:15" ht="70.05" customHeight="1" outlineLevel="1">
      <c r="A253" s="109" t="s">
        <v>7091</v>
      </c>
      <c r="B253" s="110" t="s">
        <v>7092</v>
      </c>
      <c r="C253" s="110" t="s">
        <v>7093</v>
      </c>
      <c r="D253" s="111" t="s">
        <v>7094</v>
      </c>
      <c r="E253" s="111" t="s">
        <v>6989</v>
      </c>
      <c r="F253" s="109" t="s">
        <v>346</v>
      </c>
      <c r="G253" s="109"/>
      <c r="H253" s="109"/>
      <c r="I253" s="109" t="s">
        <v>346</v>
      </c>
      <c r="J253" s="109"/>
      <c r="K253" s="109"/>
      <c r="L253" s="109" t="s">
        <v>346</v>
      </c>
      <c r="M253" s="109"/>
      <c r="N253" s="109"/>
      <c r="O253" s="113" t="s">
        <v>2816</v>
      </c>
    </row>
    <row r="254" spans="1:15" ht="70.05" customHeight="1" outlineLevel="1">
      <c r="A254" s="109" t="s">
        <v>7095</v>
      </c>
      <c r="B254" s="110" t="s">
        <v>7096</v>
      </c>
      <c r="C254" s="110" t="s">
        <v>7097</v>
      </c>
      <c r="D254" s="111" t="s">
        <v>7098</v>
      </c>
      <c r="E254" s="111" t="s">
        <v>6989</v>
      </c>
      <c r="F254" s="109" t="s">
        <v>346</v>
      </c>
      <c r="G254" s="109"/>
      <c r="H254" s="109"/>
      <c r="I254" s="109" t="s">
        <v>346</v>
      </c>
      <c r="J254" s="109"/>
      <c r="K254" s="109"/>
      <c r="L254" s="109" t="s">
        <v>346</v>
      </c>
      <c r="M254" s="109"/>
      <c r="N254" s="109"/>
      <c r="O254" s="113" t="s">
        <v>2816</v>
      </c>
    </row>
    <row r="255" spans="1:15" ht="70.05" customHeight="1" outlineLevel="1">
      <c r="A255" s="109" t="s">
        <v>7099</v>
      </c>
      <c r="B255" s="110" t="s">
        <v>7096</v>
      </c>
      <c r="C255" s="110" t="s">
        <v>7053</v>
      </c>
      <c r="D255" s="111" t="s">
        <v>6929</v>
      </c>
      <c r="E255" s="111" t="s">
        <v>7040</v>
      </c>
      <c r="F255" s="109" t="s">
        <v>346</v>
      </c>
      <c r="G255" s="109"/>
      <c r="H255" s="109"/>
      <c r="I255" s="109" t="s">
        <v>346</v>
      </c>
      <c r="J255" s="109"/>
      <c r="K255" s="109"/>
      <c r="L255" s="109" t="s">
        <v>346</v>
      </c>
      <c r="M255" s="109"/>
      <c r="N255" s="109"/>
      <c r="O255" s="113" t="s">
        <v>2816</v>
      </c>
    </row>
    <row r="256" spans="1:15" ht="70.05" customHeight="1" outlineLevel="1">
      <c r="A256" s="109" t="s">
        <v>7100</v>
      </c>
      <c r="B256" s="110" t="s">
        <v>7096</v>
      </c>
      <c r="C256" s="110" t="s">
        <v>7053</v>
      </c>
      <c r="D256" s="111" t="s">
        <v>6935</v>
      </c>
      <c r="E256" s="111" t="s">
        <v>7042</v>
      </c>
      <c r="F256" s="109" t="s">
        <v>346</v>
      </c>
      <c r="G256" s="109"/>
      <c r="H256" s="109"/>
      <c r="I256" s="109" t="s">
        <v>346</v>
      </c>
      <c r="J256" s="109"/>
      <c r="K256" s="109"/>
      <c r="L256" s="109" t="s">
        <v>346</v>
      </c>
      <c r="M256" s="109"/>
      <c r="N256" s="109"/>
      <c r="O256" s="113" t="s">
        <v>2816</v>
      </c>
    </row>
    <row r="257" spans="1:15" ht="70.05" customHeight="1" outlineLevel="1">
      <c r="A257" s="109" t="s">
        <v>7101</v>
      </c>
      <c r="B257" s="110" t="s">
        <v>7096</v>
      </c>
      <c r="C257" s="110" t="s">
        <v>7053</v>
      </c>
      <c r="D257" s="111" t="s">
        <v>6937</v>
      </c>
      <c r="E257" s="111" t="s">
        <v>7045</v>
      </c>
      <c r="F257" s="109" t="s">
        <v>346</v>
      </c>
      <c r="G257" s="109"/>
      <c r="H257" s="109"/>
      <c r="I257" s="109" t="s">
        <v>346</v>
      </c>
      <c r="J257" s="109"/>
      <c r="K257" s="109"/>
      <c r="L257" s="109" t="s">
        <v>346</v>
      </c>
      <c r="M257" s="109"/>
      <c r="N257" s="109"/>
      <c r="O257" s="113" t="s">
        <v>2816</v>
      </c>
    </row>
    <row r="258" spans="1:15" ht="70.05" customHeight="1" outlineLevel="1">
      <c r="A258" s="109" t="s">
        <v>7102</v>
      </c>
      <c r="B258" s="110" t="s">
        <v>7096</v>
      </c>
      <c r="C258" s="110" t="s">
        <v>7053</v>
      </c>
      <c r="D258" s="111" t="s">
        <v>7103</v>
      </c>
      <c r="E258" s="111" t="s">
        <v>7104</v>
      </c>
      <c r="F258" s="109" t="s">
        <v>346</v>
      </c>
      <c r="G258" s="109"/>
      <c r="H258" s="109"/>
      <c r="I258" s="109" t="s">
        <v>346</v>
      </c>
      <c r="J258" s="109"/>
      <c r="K258" s="109"/>
      <c r="L258" s="109" t="s">
        <v>346</v>
      </c>
      <c r="M258" s="109"/>
      <c r="N258" s="109"/>
      <c r="O258" s="113" t="s">
        <v>2816</v>
      </c>
    </row>
    <row r="259" spans="1:15" ht="15.75" customHeight="1">
      <c r="A259" s="60" t="s">
        <v>293</v>
      </c>
      <c r="B259" s="60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2"/>
    </row>
    <row r="260" spans="1:15" ht="70.05" customHeight="1" outlineLevel="1">
      <c r="A260" s="109" t="s">
        <v>7105</v>
      </c>
      <c r="B260" s="110" t="s">
        <v>7106</v>
      </c>
      <c r="C260" s="110" t="s">
        <v>7107</v>
      </c>
      <c r="D260" s="111" t="s">
        <v>7108</v>
      </c>
      <c r="E260" s="111" t="s">
        <v>6989</v>
      </c>
      <c r="F260" s="109" t="s">
        <v>346</v>
      </c>
      <c r="G260" s="109"/>
      <c r="H260" s="109"/>
      <c r="I260" s="109" t="s">
        <v>346</v>
      </c>
      <c r="J260" s="109"/>
      <c r="K260" s="109"/>
      <c r="L260" s="109" t="s">
        <v>346</v>
      </c>
      <c r="M260" s="109"/>
      <c r="N260" s="109"/>
      <c r="O260" s="113" t="s">
        <v>2816</v>
      </c>
    </row>
    <row r="261" spans="1:15" ht="70.05" customHeight="1" outlineLevel="1">
      <c r="A261" s="109" t="s">
        <v>7109</v>
      </c>
      <c r="B261" s="110" t="s">
        <v>7110</v>
      </c>
      <c r="C261" s="110" t="s">
        <v>7111</v>
      </c>
      <c r="D261" s="111" t="s">
        <v>7058</v>
      </c>
      <c r="E261" s="111" t="s">
        <v>6989</v>
      </c>
      <c r="F261" s="109" t="s">
        <v>346</v>
      </c>
      <c r="G261" s="109"/>
      <c r="H261" s="109"/>
      <c r="I261" s="109" t="s">
        <v>346</v>
      </c>
      <c r="J261" s="109"/>
      <c r="K261" s="109"/>
      <c r="L261" s="109" t="s">
        <v>346</v>
      </c>
      <c r="M261" s="109"/>
      <c r="N261" s="109"/>
      <c r="O261" s="113" t="s">
        <v>2816</v>
      </c>
    </row>
    <row r="262" spans="1:15" ht="70.05" customHeight="1" outlineLevel="1">
      <c r="A262" s="109" t="s">
        <v>7112</v>
      </c>
      <c r="B262" s="110" t="s">
        <v>7106</v>
      </c>
      <c r="C262" s="110" t="s">
        <v>7107</v>
      </c>
      <c r="D262" s="111" t="s">
        <v>7060</v>
      </c>
      <c r="E262" s="111" t="s">
        <v>7061</v>
      </c>
      <c r="F262" s="109" t="s">
        <v>346</v>
      </c>
      <c r="G262" s="109"/>
      <c r="H262" s="109"/>
      <c r="I262" s="109" t="s">
        <v>346</v>
      </c>
      <c r="J262" s="109"/>
      <c r="K262" s="109"/>
      <c r="L262" s="109" t="s">
        <v>346</v>
      </c>
      <c r="M262" s="109"/>
      <c r="N262" s="109"/>
      <c r="O262" s="113" t="s">
        <v>2816</v>
      </c>
    </row>
    <row r="263" spans="1:15" ht="70.05" customHeight="1" outlineLevel="1">
      <c r="A263" s="109" t="s">
        <v>7113</v>
      </c>
      <c r="B263" s="110" t="s">
        <v>7106</v>
      </c>
      <c r="C263" s="110" t="s">
        <v>7107</v>
      </c>
      <c r="D263" s="111" t="s">
        <v>7063</v>
      </c>
      <c r="E263" s="111" t="s">
        <v>6989</v>
      </c>
      <c r="F263" s="109" t="s">
        <v>346</v>
      </c>
      <c r="G263" s="109"/>
      <c r="H263" s="109"/>
      <c r="I263" s="109" t="s">
        <v>346</v>
      </c>
      <c r="J263" s="109"/>
      <c r="K263" s="109"/>
      <c r="L263" s="109" t="s">
        <v>346</v>
      </c>
      <c r="M263" s="109"/>
      <c r="N263" s="109"/>
      <c r="O263" s="113" t="s">
        <v>2816</v>
      </c>
    </row>
    <row r="264" spans="1:15" ht="70.05" customHeight="1" outlineLevel="1">
      <c r="A264" s="109" t="s">
        <v>7114</v>
      </c>
      <c r="B264" s="110" t="s">
        <v>7106</v>
      </c>
      <c r="C264" s="110" t="s">
        <v>7107</v>
      </c>
      <c r="D264" s="111" t="s">
        <v>6901</v>
      </c>
      <c r="E264" s="111" t="s">
        <v>6989</v>
      </c>
      <c r="F264" s="109" t="s">
        <v>346</v>
      </c>
      <c r="G264" s="109"/>
      <c r="H264" s="109"/>
      <c r="I264" s="109" t="s">
        <v>346</v>
      </c>
      <c r="J264" s="109"/>
      <c r="K264" s="109"/>
      <c r="L264" s="109" t="s">
        <v>346</v>
      </c>
      <c r="M264" s="109"/>
      <c r="N264" s="109"/>
      <c r="O264" s="113" t="s">
        <v>2816</v>
      </c>
    </row>
    <row r="265" spans="1:15" ht="70.05" customHeight="1" outlineLevel="1">
      <c r="A265" s="109" t="s">
        <v>7115</v>
      </c>
      <c r="B265" s="110" t="s">
        <v>7116</v>
      </c>
      <c r="C265" s="110" t="s">
        <v>7117</v>
      </c>
      <c r="D265" s="111" t="s">
        <v>7068</v>
      </c>
      <c r="E265" s="111" t="s">
        <v>7069</v>
      </c>
      <c r="F265" s="109" t="s">
        <v>346</v>
      </c>
      <c r="G265" s="109"/>
      <c r="H265" s="109"/>
      <c r="I265" s="109" t="s">
        <v>346</v>
      </c>
      <c r="J265" s="109"/>
      <c r="K265" s="109"/>
      <c r="L265" s="109" t="s">
        <v>346</v>
      </c>
      <c r="M265" s="109"/>
      <c r="N265" s="109"/>
      <c r="O265" s="113" t="s">
        <v>2816</v>
      </c>
    </row>
    <row r="266" spans="1:15" ht="70.05" customHeight="1" outlineLevel="1">
      <c r="A266" s="109" t="s">
        <v>7118</v>
      </c>
      <c r="B266" s="110" t="s">
        <v>7106</v>
      </c>
      <c r="C266" s="110" t="s">
        <v>7107</v>
      </c>
      <c r="D266" s="111" t="s">
        <v>7071</v>
      </c>
      <c r="E266" s="111" t="s">
        <v>6989</v>
      </c>
      <c r="F266" s="109" t="s">
        <v>346</v>
      </c>
      <c r="G266" s="109"/>
      <c r="H266" s="109"/>
      <c r="I266" s="109" t="s">
        <v>346</v>
      </c>
      <c r="J266" s="109"/>
      <c r="K266" s="109"/>
      <c r="L266" s="109" t="s">
        <v>346</v>
      </c>
      <c r="M266" s="109"/>
      <c r="N266" s="109"/>
      <c r="O266" s="113" t="s">
        <v>2816</v>
      </c>
    </row>
    <row r="267" spans="1:15" ht="70.05" customHeight="1" outlineLevel="1">
      <c r="A267" s="109" t="s">
        <v>7119</v>
      </c>
      <c r="B267" s="110" t="s">
        <v>7106</v>
      </c>
      <c r="C267" s="110" t="s">
        <v>7107</v>
      </c>
      <c r="D267" s="111" t="s">
        <v>6910</v>
      </c>
      <c r="E267" s="111" t="s">
        <v>6989</v>
      </c>
      <c r="F267" s="109" t="s">
        <v>346</v>
      </c>
      <c r="G267" s="109"/>
      <c r="H267" s="109"/>
      <c r="I267" s="109" t="s">
        <v>346</v>
      </c>
      <c r="J267" s="109"/>
      <c r="K267" s="109"/>
      <c r="L267" s="109" t="s">
        <v>346</v>
      </c>
      <c r="M267" s="109"/>
      <c r="N267" s="109"/>
      <c r="O267" s="113" t="s">
        <v>2816</v>
      </c>
    </row>
    <row r="268" spans="1:15" ht="70.05" customHeight="1" outlineLevel="1">
      <c r="A268" s="109" t="s">
        <v>7120</v>
      </c>
      <c r="B268" s="110" t="s">
        <v>7121</v>
      </c>
      <c r="C268" s="110" t="s">
        <v>7122</v>
      </c>
      <c r="D268" s="111" t="s">
        <v>7076</v>
      </c>
      <c r="E268" s="111" t="s">
        <v>6989</v>
      </c>
      <c r="F268" s="109" t="s">
        <v>346</v>
      </c>
      <c r="G268" s="109"/>
      <c r="H268" s="109"/>
      <c r="I268" s="109" t="s">
        <v>346</v>
      </c>
      <c r="J268" s="109"/>
      <c r="K268" s="109"/>
      <c r="L268" s="109" t="s">
        <v>346</v>
      </c>
      <c r="M268" s="109"/>
      <c r="N268" s="109"/>
      <c r="O268" s="113" t="s">
        <v>2816</v>
      </c>
    </row>
    <row r="269" spans="1:15" ht="70.05" customHeight="1" outlineLevel="1">
      <c r="A269" s="109" t="s">
        <v>7123</v>
      </c>
      <c r="B269" s="110" t="s">
        <v>7124</v>
      </c>
      <c r="C269" s="110" t="s">
        <v>7125</v>
      </c>
      <c r="D269" s="111" t="s">
        <v>7080</v>
      </c>
      <c r="E269" s="111" t="s">
        <v>6989</v>
      </c>
      <c r="F269" s="109" t="s">
        <v>346</v>
      </c>
      <c r="G269" s="109"/>
      <c r="H269" s="109"/>
      <c r="I269" s="109" t="s">
        <v>346</v>
      </c>
      <c r="J269" s="109"/>
      <c r="K269" s="109"/>
      <c r="L269" s="109" t="s">
        <v>346</v>
      </c>
      <c r="M269" s="109"/>
      <c r="N269" s="109"/>
      <c r="O269" s="113" t="s">
        <v>2816</v>
      </c>
    </row>
    <row r="270" spans="1:15" ht="70.05" customHeight="1" outlineLevel="1">
      <c r="A270" s="109" t="s">
        <v>7126</v>
      </c>
      <c r="B270" s="110" t="s">
        <v>7127</v>
      </c>
      <c r="C270" s="110" t="s">
        <v>7107</v>
      </c>
      <c r="D270" s="111" t="s">
        <v>7083</v>
      </c>
      <c r="E270" s="111" t="s">
        <v>7021</v>
      </c>
      <c r="F270" s="109" t="s">
        <v>346</v>
      </c>
      <c r="G270" s="109"/>
      <c r="H270" s="109"/>
      <c r="I270" s="109" t="s">
        <v>346</v>
      </c>
      <c r="J270" s="109"/>
      <c r="K270" s="109"/>
      <c r="L270" s="109" t="s">
        <v>346</v>
      </c>
      <c r="M270" s="109"/>
      <c r="N270" s="109"/>
      <c r="O270" s="113" t="s">
        <v>2816</v>
      </c>
    </row>
    <row r="271" spans="1:15" ht="70.05" customHeight="1" outlineLevel="1">
      <c r="A271" s="109" t="s">
        <v>7128</v>
      </c>
      <c r="B271" s="110" t="s">
        <v>7127</v>
      </c>
      <c r="C271" s="110" t="s">
        <v>7107</v>
      </c>
      <c r="D271" s="111" t="s">
        <v>7085</v>
      </c>
      <c r="E271" s="111" t="s">
        <v>7086</v>
      </c>
      <c r="F271" s="109" t="s">
        <v>346</v>
      </c>
      <c r="G271" s="109"/>
      <c r="H271" s="109"/>
      <c r="I271" s="109" t="s">
        <v>346</v>
      </c>
      <c r="J271" s="109"/>
      <c r="K271" s="109"/>
      <c r="L271" s="109" t="s">
        <v>346</v>
      </c>
      <c r="M271" s="109"/>
      <c r="N271" s="109"/>
      <c r="O271" s="113" t="s">
        <v>2816</v>
      </c>
    </row>
    <row r="272" spans="1:15" ht="70.05" customHeight="1" outlineLevel="1">
      <c r="A272" s="109" t="s">
        <v>7129</v>
      </c>
      <c r="B272" s="110" t="s">
        <v>7130</v>
      </c>
      <c r="C272" s="110" t="s">
        <v>7131</v>
      </c>
      <c r="D272" s="111" t="s">
        <v>7132</v>
      </c>
      <c r="E272" s="111" t="s">
        <v>6989</v>
      </c>
      <c r="F272" s="109" t="s">
        <v>346</v>
      </c>
      <c r="G272" s="109"/>
      <c r="H272" s="109"/>
      <c r="I272" s="109" t="s">
        <v>346</v>
      </c>
      <c r="J272" s="109"/>
      <c r="K272" s="109"/>
      <c r="L272" s="109" t="s">
        <v>346</v>
      </c>
      <c r="M272" s="109"/>
      <c r="N272" s="109"/>
      <c r="O272" s="113" t="s">
        <v>2816</v>
      </c>
    </row>
    <row r="273" spans="1:15" ht="70.05" customHeight="1" outlineLevel="1">
      <c r="A273" s="109" t="s">
        <v>7133</v>
      </c>
      <c r="B273" s="110" t="s">
        <v>7134</v>
      </c>
      <c r="C273" s="110" t="s">
        <v>7135</v>
      </c>
      <c r="D273" s="111" t="s">
        <v>7094</v>
      </c>
      <c r="E273" s="111" t="s">
        <v>6989</v>
      </c>
      <c r="F273" s="109" t="s">
        <v>346</v>
      </c>
      <c r="G273" s="109"/>
      <c r="H273" s="109"/>
      <c r="I273" s="109" t="s">
        <v>346</v>
      </c>
      <c r="J273" s="109"/>
      <c r="K273" s="109"/>
      <c r="L273" s="109" t="s">
        <v>346</v>
      </c>
      <c r="M273" s="109"/>
      <c r="N273" s="109"/>
      <c r="O273" s="113" t="s">
        <v>2816</v>
      </c>
    </row>
    <row r="274" spans="1:15" ht="70.05" customHeight="1" outlineLevel="1">
      <c r="A274" s="109" t="s">
        <v>7136</v>
      </c>
      <c r="B274" s="110" t="s">
        <v>7137</v>
      </c>
      <c r="C274" s="110" t="s">
        <v>7138</v>
      </c>
      <c r="D274" s="111" t="s">
        <v>7098</v>
      </c>
      <c r="E274" s="111" t="s">
        <v>6989</v>
      </c>
      <c r="F274" s="109" t="s">
        <v>346</v>
      </c>
      <c r="G274" s="109"/>
      <c r="H274" s="109"/>
      <c r="I274" s="109" t="s">
        <v>346</v>
      </c>
      <c r="J274" s="109"/>
      <c r="K274" s="109"/>
      <c r="L274" s="109" t="s">
        <v>346</v>
      </c>
      <c r="M274" s="109"/>
      <c r="N274" s="109"/>
      <c r="O274" s="113" t="s">
        <v>2816</v>
      </c>
    </row>
    <row r="275" spans="1:15" ht="70.05" customHeight="1" outlineLevel="1">
      <c r="A275" s="109" t="s">
        <v>7139</v>
      </c>
      <c r="B275" s="110" t="s">
        <v>7137</v>
      </c>
      <c r="C275" s="110" t="s">
        <v>7107</v>
      </c>
      <c r="D275" s="111" t="s">
        <v>6929</v>
      </c>
      <c r="E275" s="111" t="s">
        <v>7040</v>
      </c>
      <c r="F275" s="109" t="s">
        <v>346</v>
      </c>
      <c r="G275" s="109"/>
      <c r="H275" s="109"/>
      <c r="I275" s="109" t="s">
        <v>346</v>
      </c>
      <c r="J275" s="109"/>
      <c r="K275" s="109"/>
      <c r="L275" s="109" t="s">
        <v>346</v>
      </c>
      <c r="M275" s="109"/>
      <c r="N275" s="109"/>
      <c r="O275" s="113" t="s">
        <v>2816</v>
      </c>
    </row>
    <row r="276" spans="1:15" ht="70.05" customHeight="1" outlineLevel="1">
      <c r="A276" s="109" t="s">
        <v>7140</v>
      </c>
      <c r="B276" s="110" t="s">
        <v>7137</v>
      </c>
      <c r="C276" s="110" t="s">
        <v>7107</v>
      </c>
      <c r="D276" s="111" t="s">
        <v>6935</v>
      </c>
      <c r="E276" s="111" t="s">
        <v>7042</v>
      </c>
      <c r="F276" s="109" t="s">
        <v>346</v>
      </c>
      <c r="G276" s="109"/>
      <c r="H276" s="109"/>
      <c r="I276" s="109" t="s">
        <v>346</v>
      </c>
      <c r="J276" s="109"/>
      <c r="K276" s="109"/>
      <c r="L276" s="109" t="s">
        <v>346</v>
      </c>
      <c r="M276" s="109"/>
      <c r="N276" s="109"/>
      <c r="O276" s="113" t="s">
        <v>2816</v>
      </c>
    </row>
    <row r="277" spans="1:15" ht="70.05" customHeight="1" outlineLevel="1">
      <c r="A277" s="109" t="s">
        <v>7141</v>
      </c>
      <c r="B277" s="110" t="s">
        <v>7137</v>
      </c>
      <c r="C277" s="110" t="s">
        <v>7107</v>
      </c>
      <c r="D277" s="111" t="s">
        <v>6937</v>
      </c>
      <c r="E277" s="111" t="s">
        <v>7045</v>
      </c>
      <c r="F277" s="109" t="s">
        <v>346</v>
      </c>
      <c r="G277" s="109"/>
      <c r="H277" s="109"/>
      <c r="I277" s="109" t="s">
        <v>346</v>
      </c>
      <c r="J277" s="109"/>
      <c r="K277" s="109"/>
      <c r="L277" s="109" t="s">
        <v>346</v>
      </c>
      <c r="M277" s="109"/>
      <c r="N277" s="109"/>
      <c r="O277" s="113" t="s">
        <v>2816</v>
      </c>
    </row>
    <row r="278" spans="1:15" ht="70.05" customHeight="1" outlineLevel="1">
      <c r="A278" s="109" t="s">
        <v>7142</v>
      </c>
      <c r="B278" s="110" t="s">
        <v>7137</v>
      </c>
      <c r="C278" s="110" t="s">
        <v>7107</v>
      </c>
      <c r="D278" s="111" t="s">
        <v>7103</v>
      </c>
      <c r="E278" s="111" t="s">
        <v>7104</v>
      </c>
      <c r="F278" s="109" t="s">
        <v>346</v>
      </c>
      <c r="G278" s="109"/>
      <c r="H278" s="109"/>
      <c r="I278" s="109" t="s">
        <v>346</v>
      </c>
      <c r="J278" s="109"/>
      <c r="K278" s="109"/>
      <c r="L278" s="109" t="s">
        <v>346</v>
      </c>
      <c r="M278" s="109"/>
      <c r="N278" s="109"/>
      <c r="O278" s="113" t="s">
        <v>2816</v>
      </c>
    </row>
    <row r="279" spans="1:15" ht="15.75" customHeight="1">
      <c r="A279" s="60" t="s">
        <v>295</v>
      </c>
      <c r="B279" s="60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2"/>
    </row>
    <row r="280" spans="1:15" ht="70.05" customHeight="1" outlineLevel="1">
      <c r="A280" s="109" t="s">
        <v>7143</v>
      </c>
      <c r="B280" s="110" t="s">
        <v>7144</v>
      </c>
      <c r="C280" s="110" t="s">
        <v>7145</v>
      </c>
      <c r="D280" s="111" t="s">
        <v>7146</v>
      </c>
      <c r="E280" s="111" t="s">
        <v>7147</v>
      </c>
      <c r="F280" s="109" t="s">
        <v>344</v>
      </c>
      <c r="G280" s="112">
        <v>46300</v>
      </c>
      <c r="H280" s="109" t="s">
        <v>6820</v>
      </c>
      <c r="I280" s="109" t="s">
        <v>346</v>
      </c>
      <c r="J280" s="109"/>
      <c r="K280" s="109"/>
      <c r="L280" s="109" t="s">
        <v>346</v>
      </c>
      <c r="M280" s="109"/>
      <c r="N280" s="109"/>
      <c r="O280" s="113"/>
    </row>
    <row r="281" spans="1:15" ht="70.05" customHeight="1" outlineLevel="1">
      <c r="A281" s="109" t="s">
        <v>7148</v>
      </c>
      <c r="B281" s="110" t="s">
        <v>7144</v>
      </c>
      <c r="C281" s="110" t="s">
        <v>7149</v>
      </c>
      <c r="D281" s="111" t="s">
        <v>7150</v>
      </c>
      <c r="E281" s="111" t="s">
        <v>7147</v>
      </c>
      <c r="F281" s="109" t="s">
        <v>344</v>
      </c>
      <c r="G281" s="112">
        <v>46300</v>
      </c>
      <c r="H281" s="109" t="s">
        <v>6820</v>
      </c>
      <c r="I281" s="109" t="s">
        <v>346</v>
      </c>
      <c r="J281" s="109"/>
      <c r="K281" s="109"/>
      <c r="L281" s="109" t="s">
        <v>346</v>
      </c>
      <c r="M281" s="109"/>
      <c r="N281" s="109"/>
      <c r="O281" s="113"/>
    </row>
    <row r="282" spans="1:15" ht="70.05" customHeight="1" outlineLevel="1">
      <c r="A282" s="109" t="s">
        <v>7151</v>
      </c>
      <c r="B282" s="110" t="s">
        <v>7144</v>
      </c>
      <c r="C282" s="110" t="s">
        <v>7152</v>
      </c>
      <c r="D282" s="111" t="s">
        <v>7153</v>
      </c>
      <c r="E282" s="111" t="s">
        <v>7147</v>
      </c>
      <c r="F282" s="109" t="s">
        <v>344</v>
      </c>
      <c r="G282" s="112">
        <v>46300</v>
      </c>
      <c r="H282" s="109" t="s">
        <v>6820</v>
      </c>
      <c r="I282" s="109" t="s">
        <v>346</v>
      </c>
      <c r="J282" s="109"/>
      <c r="K282" s="109"/>
      <c r="L282" s="109" t="s">
        <v>346</v>
      </c>
      <c r="M282" s="109"/>
      <c r="N282" s="109"/>
      <c r="O282" s="113"/>
    </row>
    <row r="283" spans="1:15" ht="70.05" customHeight="1" outlineLevel="1">
      <c r="A283" s="109" t="s">
        <v>7154</v>
      </c>
      <c r="B283" s="110" t="s">
        <v>7144</v>
      </c>
      <c r="C283" s="110" t="s">
        <v>7155</v>
      </c>
      <c r="D283" s="111" t="s">
        <v>7156</v>
      </c>
      <c r="E283" s="111" t="s">
        <v>7147</v>
      </c>
      <c r="F283" s="109" t="s">
        <v>344</v>
      </c>
      <c r="G283" s="112">
        <v>46300</v>
      </c>
      <c r="H283" s="109" t="s">
        <v>6820</v>
      </c>
      <c r="I283" s="109" t="s">
        <v>346</v>
      </c>
      <c r="J283" s="109"/>
      <c r="K283" s="109"/>
      <c r="L283" s="109" t="s">
        <v>346</v>
      </c>
      <c r="M283" s="109"/>
      <c r="N283" s="109"/>
      <c r="O283" s="113"/>
    </row>
    <row r="284" spans="1:15" ht="70.05" customHeight="1" outlineLevel="1">
      <c r="A284" s="109" t="s">
        <v>7157</v>
      </c>
      <c r="B284" s="110" t="s">
        <v>7158</v>
      </c>
      <c r="C284" s="110" t="s">
        <v>7159</v>
      </c>
      <c r="D284" s="111" t="s">
        <v>7160</v>
      </c>
      <c r="E284" s="111" t="s">
        <v>7147</v>
      </c>
      <c r="F284" s="109" t="s">
        <v>344</v>
      </c>
      <c r="G284" s="112">
        <v>46300</v>
      </c>
      <c r="H284" s="109" t="s">
        <v>6820</v>
      </c>
      <c r="I284" s="109" t="s">
        <v>346</v>
      </c>
      <c r="J284" s="109"/>
      <c r="K284" s="109"/>
      <c r="L284" s="109" t="s">
        <v>346</v>
      </c>
      <c r="M284" s="109"/>
      <c r="N284" s="109"/>
      <c r="O284" s="113"/>
    </row>
    <row r="285" spans="1:15" ht="70.05" customHeight="1" outlineLevel="1">
      <c r="A285" s="109" t="s">
        <v>7161</v>
      </c>
      <c r="B285" s="110" t="s">
        <v>7162</v>
      </c>
      <c r="C285" s="110" t="s">
        <v>7163</v>
      </c>
      <c r="D285" s="111" t="s">
        <v>7007</v>
      </c>
      <c r="E285" s="111" t="s">
        <v>7147</v>
      </c>
      <c r="F285" s="109" t="s">
        <v>344</v>
      </c>
      <c r="G285" s="112">
        <v>46300</v>
      </c>
      <c r="H285" s="109" t="s">
        <v>6820</v>
      </c>
      <c r="I285" s="109" t="s">
        <v>346</v>
      </c>
      <c r="J285" s="109"/>
      <c r="K285" s="109"/>
      <c r="L285" s="109" t="s">
        <v>346</v>
      </c>
      <c r="M285" s="109"/>
      <c r="N285" s="109"/>
      <c r="O285" s="113"/>
    </row>
    <row r="286" spans="1:15" ht="70.05" customHeight="1" outlineLevel="1">
      <c r="A286" s="109" t="s">
        <v>7164</v>
      </c>
      <c r="B286" s="110" t="s">
        <v>7144</v>
      </c>
      <c r="C286" s="110" t="s">
        <v>7145</v>
      </c>
      <c r="D286" s="111" t="s">
        <v>7165</v>
      </c>
      <c r="E286" s="111" t="s">
        <v>7147</v>
      </c>
      <c r="F286" s="109" t="s">
        <v>344</v>
      </c>
      <c r="G286" s="112">
        <v>46300</v>
      </c>
      <c r="H286" s="109" t="s">
        <v>6820</v>
      </c>
      <c r="I286" s="109" t="s">
        <v>346</v>
      </c>
      <c r="J286" s="109"/>
      <c r="K286" s="109"/>
      <c r="L286" s="109" t="s">
        <v>346</v>
      </c>
      <c r="M286" s="109"/>
      <c r="N286" s="109"/>
      <c r="O286" s="113"/>
    </row>
    <row r="287" spans="1:15" ht="70.05" customHeight="1" outlineLevel="1">
      <c r="A287" s="109" t="s">
        <v>7166</v>
      </c>
      <c r="B287" s="110" t="s">
        <v>7167</v>
      </c>
      <c r="C287" s="110" t="s">
        <v>7168</v>
      </c>
      <c r="D287" s="111" t="s">
        <v>7169</v>
      </c>
      <c r="E287" s="111" t="s">
        <v>7147</v>
      </c>
      <c r="F287" s="109" t="s">
        <v>344</v>
      </c>
      <c r="G287" s="112">
        <v>46300</v>
      </c>
      <c r="H287" s="109" t="s">
        <v>6820</v>
      </c>
      <c r="I287" s="109" t="s">
        <v>346</v>
      </c>
      <c r="J287" s="109"/>
      <c r="K287" s="109"/>
      <c r="L287" s="109" t="s">
        <v>346</v>
      </c>
      <c r="M287" s="109"/>
      <c r="N287" s="109"/>
      <c r="O287" s="113"/>
    </row>
    <row r="288" spans="1:15" ht="70.05" customHeight="1" outlineLevel="1">
      <c r="A288" s="109" t="s">
        <v>7170</v>
      </c>
      <c r="B288" s="110" t="s">
        <v>7171</v>
      </c>
      <c r="C288" s="110" t="s">
        <v>7172</v>
      </c>
      <c r="D288" s="111" t="s">
        <v>7173</v>
      </c>
      <c r="E288" s="111" t="s">
        <v>7147</v>
      </c>
      <c r="F288" s="109" t="s">
        <v>344</v>
      </c>
      <c r="G288" s="112">
        <v>46300</v>
      </c>
      <c r="H288" s="109" t="s">
        <v>6820</v>
      </c>
      <c r="I288" s="109" t="s">
        <v>346</v>
      </c>
      <c r="J288" s="109"/>
      <c r="K288" s="109"/>
      <c r="L288" s="109" t="s">
        <v>346</v>
      </c>
      <c r="M288" s="109"/>
      <c r="N288" s="109"/>
      <c r="O288" s="113"/>
    </row>
    <row r="289" spans="1:15" ht="70.05" customHeight="1" outlineLevel="1">
      <c r="A289" s="109" t="s">
        <v>7174</v>
      </c>
      <c r="B289" s="110" t="s">
        <v>7171</v>
      </c>
      <c r="C289" s="110" t="s">
        <v>7175</v>
      </c>
      <c r="D289" s="111" t="s">
        <v>7176</v>
      </c>
      <c r="E289" s="111" t="s">
        <v>7147</v>
      </c>
      <c r="F289" s="109" t="s">
        <v>344</v>
      </c>
      <c r="G289" s="112">
        <v>46300</v>
      </c>
      <c r="H289" s="109" t="s">
        <v>6820</v>
      </c>
      <c r="I289" s="109" t="s">
        <v>346</v>
      </c>
      <c r="J289" s="109"/>
      <c r="K289" s="109"/>
      <c r="L289" s="109" t="s">
        <v>346</v>
      </c>
      <c r="M289" s="109"/>
      <c r="N289" s="109"/>
      <c r="O289" s="113"/>
    </row>
    <row r="290" spans="1:15" ht="70.05" customHeight="1" outlineLevel="1">
      <c r="A290" s="109" t="s">
        <v>7177</v>
      </c>
      <c r="B290" s="110" t="s">
        <v>7171</v>
      </c>
      <c r="C290" s="110" t="s">
        <v>7178</v>
      </c>
      <c r="D290" s="111" t="s">
        <v>7179</v>
      </c>
      <c r="E290" s="111" t="s">
        <v>7147</v>
      </c>
      <c r="F290" s="109" t="s">
        <v>344</v>
      </c>
      <c r="G290" s="112">
        <v>46300</v>
      </c>
      <c r="H290" s="109" t="s">
        <v>6820</v>
      </c>
      <c r="I290" s="109" t="s">
        <v>346</v>
      </c>
      <c r="J290" s="109"/>
      <c r="K290" s="109"/>
      <c r="L290" s="109" t="s">
        <v>346</v>
      </c>
      <c r="M290" s="109"/>
      <c r="N290" s="109"/>
      <c r="O290" s="113"/>
    </row>
    <row r="291" spans="1:15" ht="70.05" customHeight="1" outlineLevel="1">
      <c r="A291" s="109" t="s">
        <v>7180</v>
      </c>
      <c r="B291" s="110" t="s">
        <v>7181</v>
      </c>
      <c r="C291" s="110" t="s">
        <v>7182</v>
      </c>
      <c r="D291" s="111" t="s">
        <v>7183</v>
      </c>
      <c r="E291" s="111" t="s">
        <v>7147</v>
      </c>
      <c r="F291" s="109" t="s">
        <v>344</v>
      </c>
      <c r="G291" s="112">
        <v>46300</v>
      </c>
      <c r="H291" s="109" t="s">
        <v>6820</v>
      </c>
      <c r="I291" s="109" t="s">
        <v>346</v>
      </c>
      <c r="J291" s="109"/>
      <c r="K291" s="109"/>
      <c r="L291" s="109" t="s">
        <v>346</v>
      </c>
      <c r="M291" s="109"/>
      <c r="N291" s="109"/>
      <c r="O291" s="113"/>
    </row>
    <row r="292" spans="1:15" ht="70.05" customHeight="1" outlineLevel="1">
      <c r="A292" s="109" t="s">
        <v>7184</v>
      </c>
      <c r="B292" s="110" t="s">
        <v>7185</v>
      </c>
      <c r="C292" s="110" t="s">
        <v>7145</v>
      </c>
      <c r="D292" s="111" t="s">
        <v>7186</v>
      </c>
      <c r="E292" s="111" t="s">
        <v>7187</v>
      </c>
      <c r="F292" s="109" t="s">
        <v>344</v>
      </c>
      <c r="G292" s="112">
        <v>46300</v>
      </c>
      <c r="H292" s="109" t="s">
        <v>6820</v>
      </c>
      <c r="I292" s="109" t="s">
        <v>346</v>
      </c>
      <c r="J292" s="109"/>
      <c r="K292" s="109"/>
      <c r="L292" s="109" t="s">
        <v>346</v>
      </c>
      <c r="M292" s="109"/>
      <c r="N292" s="109"/>
      <c r="O292" s="113"/>
    </row>
    <row r="293" spans="1:15" ht="70.05" customHeight="1" outlineLevel="1">
      <c r="A293" s="109" t="s">
        <v>7188</v>
      </c>
      <c r="B293" s="110" t="s">
        <v>7185</v>
      </c>
      <c r="C293" s="110" t="s">
        <v>7145</v>
      </c>
      <c r="D293" s="111" t="s">
        <v>7189</v>
      </c>
      <c r="E293" s="111" t="s">
        <v>7190</v>
      </c>
      <c r="F293" s="109" t="s">
        <v>344</v>
      </c>
      <c r="G293" s="112">
        <v>46300</v>
      </c>
      <c r="H293" s="109" t="s">
        <v>6820</v>
      </c>
      <c r="I293" s="109" t="s">
        <v>346</v>
      </c>
      <c r="J293" s="109"/>
      <c r="K293" s="109"/>
      <c r="L293" s="109" t="s">
        <v>346</v>
      </c>
      <c r="M293" s="109"/>
      <c r="N293" s="109"/>
      <c r="O293" s="113"/>
    </row>
    <row r="294" spans="1:15" ht="70.05" customHeight="1" outlineLevel="1">
      <c r="A294" s="109" t="s">
        <v>7191</v>
      </c>
      <c r="B294" s="110" t="s">
        <v>7185</v>
      </c>
      <c r="C294" s="110" t="s">
        <v>7145</v>
      </c>
      <c r="D294" s="111" t="s">
        <v>7192</v>
      </c>
      <c r="E294" s="111" t="s">
        <v>7193</v>
      </c>
      <c r="F294" s="109" t="s">
        <v>344</v>
      </c>
      <c r="G294" s="112">
        <v>46300</v>
      </c>
      <c r="H294" s="109" t="s">
        <v>6820</v>
      </c>
      <c r="I294" s="109" t="s">
        <v>346</v>
      </c>
      <c r="J294" s="109"/>
      <c r="K294" s="109"/>
      <c r="L294" s="109" t="s">
        <v>346</v>
      </c>
      <c r="M294" s="109"/>
      <c r="N294" s="109"/>
      <c r="O294" s="113"/>
    </row>
    <row r="295" spans="1:15" ht="70.05" customHeight="1" outlineLevel="1">
      <c r="A295" s="109" t="s">
        <v>7194</v>
      </c>
      <c r="B295" s="110" t="s">
        <v>7185</v>
      </c>
      <c r="C295" s="110" t="s">
        <v>7145</v>
      </c>
      <c r="D295" s="111" t="s">
        <v>7195</v>
      </c>
      <c r="E295" s="111" t="s">
        <v>7196</v>
      </c>
      <c r="F295" s="109" t="s">
        <v>344</v>
      </c>
      <c r="G295" s="112">
        <v>46300</v>
      </c>
      <c r="H295" s="109" t="s">
        <v>6820</v>
      </c>
      <c r="I295" s="109" t="s">
        <v>346</v>
      </c>
      <c r="J295" s="109"/>
      <c r="K295" s="109"/>
      <c r="L295" s="109" t="s">
        <v>346</v>
      </c>
      <c r="M295" s="109"/>
      <c r="N295" s="109"/>
      <c r="O295" s="113"/>
    </row>
    <row r="296" spans="1:15" ht="70.05" customHeight="1" outlineLevel="1">
      <c r="A296" s="109" t="s">
        <v>7197</v>
      </c>
      <c r="B296" s="110" t="s">
        <v>7185</v>
      </c>
      <c r="C296" s="110" t="s">
        <v>7145</v>
      </c>
      <c r="D296" s="111" t="s">
        <v>7198</v>
      </c>
      <c r="E296" s="111" t="s">
        <v>7199</v>
      </c>
      <c r="F296" s="109" t="s">
        <v>344</v>
      </c>
      <c r="G296" s="112">
        <v>46300</v>
      </c>
      <c r="H296" s="109" t="s">
        <v>6820</v>
      </c>
      <c r="I296" s="109" t="s">
        <v>346</v>
      </c>
      <c r="J296" s="109"/>
      <c r="K296" s="109"/>
      <c r="L296" s="109" t="s">
        <v>346</v>
      </c>
      <c r="M296" s="109"/>
      <c r="N296" s="109"/>
      <c r="O296" s="113"/>
    </row>
    <row r="297" spans="1:15" ht="70.05" customHeight="1" outlineLevel="1">
      <c r="A297" s="109" t="s">
        <v>7200</v>
      </c>
      <c r="B297" s="110" t="s">
        <v>7185</v>
      </c>
      <c r="C297" s="110" t="s">
        <v>7145</v>
      </c>
      <c r="D297" s="111" t="s">
        <v>7201</v>
      </c>
      <c r="E297" s="111" t="s">
        <v>7202</v>
      </c>
      <c r="F297" s="109" t="s">
        <v>344</v>
      </c>
      <c r="G297" s="112">
        <v>46300</v>
      </c>
      <c r="H297" s="109" t="s">
        <v>6820</v>
      </c>
      <c r="I297" s="109" t="s">
        <v>346</v>
      </c>
      <c r="J297" s="109"/>
      <c r="K297" s="109"/>
      <c r="L297" s="109" t="s">
        <v>346</v>
      </c>
      <c r="M297" s="109"/>
      <c r="N297" s="109"/>
      <c r="O297" s="113"/>
    </row>
    <row r="298" spans="1:15" ht="70.05" customHeight="1" outlineLevel="1">
      <c r="A298" s="109" t="s">
        <v>7203</v>
      </c>
      <c r="B298" s="110" t="s">
        <v>7204</v>
      </c>
      <c r="C298" s="110" t="s">
        <v>7205</v>
      </c>
      <c r="D298" s="111" t="s">
        <v>7206</v>
      </c>
      <c r="E298" s="111" t="s">
        <v>7147</v>
      </c>
      <c r="F298" s="109" t="s">
        <v>344</v>
      </c>
      <c r="G298" s="112">
        <v>46300</v>
      </c>
      <c r="H298" s="109" t="s">
        <v>6820</v>
      </c>
      <c r="I298" s="109" t="s">
        <v>346</v>
      </c>
      <c r="J298" s="109"/>
      <c r="K298" s="109"/>
      <c r="L298" s="109" t="s">
        <v>346</v>
      </c>
      <c r="M298" s="109"/>
      <c r="N298" s="109"/>
      <c r="O298" s="113"/>
    </row>
    <row r="299" spans="1:15" ht="70.05" customHeight="1" outlineLevel="1">
      <c r="A299" s="109" t="s">
        <v>7207</v>
      </c>
      <c r="B299" s="110" t="s">
        <v>7208</v>
      </c>
      <c r="C299" s="110" t="s">
        <v>7209</v>
      </c>
      <c r="D299" s="111" t="s">
        <v>7210</v>
      </c>
      <c r="E299" s="111" t="s">
        <v>7147</v>
      </c>
      <c r="F299" s="109" t="s">
        <v>344</v>
      </c>
      <c r="G299" s="112">
        <v>46300</v>
      </c>
      <c r="H299" s="109" t="s">
        <v>6820</v>
      </c>
      <c r="I299" s="109" t="s">
        <v>346</v>
      </c>
      <c r="J299" s="109"/>
      <c r="K299" s="109"/>
      <c r="L299" s="109" t="s">
        <v>346</v>
      </c>
      <c r="M299" s="109"/>
      <c r="N299" s="109"/>
      <c r="O299" s="113"/>
    </row>
    <row r="300" spans="1:15" ht="15.75" customHeight="1">
      <c r="A300" s="60" t="s">
        <v>297</v>
      </c>
      <c r="B300" s="60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2"/>
    </row>
    <row r="301" spans="1:15" ht="70.05" customHeight="1" outlineLevel="1">
      <c r="A301" s="109" t="s">
        <v>7211</v>
      </c>
      <c r="B301" s="110" t="s">
        <v>7212</v>
      </c>
      <c r="C301" s="110" t="s">
        <v>7213</v>
      </c>
      <c r="D301" s="111" t="s">
        <v>7214</v>
      </c>
      <c r="E301" s="111" t="s">
        <v>7215</v>
      </c>
      <c r="F301" s="109" t="s">
        <v>344</v>
      </c>
      <c r="G301" s="112">
        <v>46300</v>
      </c>
      <c r="H301" s="109" t="s">
        <v>4</v>
      </c>
      <c r="I301" s="109" t="s">
        <v>346</v>
      </c>
      <c r="J301" s="109"/>
      <c r="K301" s="109"/>
      <c r="L301" s="109" t="s">
        <v>346</v>
      </c>
      <c r="M301" s="109"/>
      <c r="N301" s="109"/>
      <c r="O301" s="113"/>
    </row>
    <row r="302" spans="1:15" ht="70.05" customHeight="1" outlineLevel="1">
      <c r="A302" s="109" t="s">
        <v>7216</v>
      </c>
      <c r="B302" s="110" t="s">
        <v>7217</v>
      </c>
      <c r="C302" s="110" t="s">
        <v>7218</v>
      </c>
      <c r="D302" s="111" t="s">
        <v>7219</v>
      </c>
      <c r="E302" s="111" t="s">
        <v>7215</v>
      </c>
      <c r="F302" s="109" t="s">
        <v>344</v>
      </c>
      <c r="G302" s="112">
        <v>46300</v>
      </c>
      <c r="H302" s="109" t="s">
        <v>4</v>
      </c>
      <c r="I302" s="109" t="s">
        <v>346</v>
      </c>
      <c r="J302" s="109"/>
      <c r="K302" s="109"/>
      <c r="L302" s="109" t="s">
        <v>346</v>
      </c>
      <c r="M302" s="109"/>
      <c r="N302" s="109"/>
      <c r="O302" s="113"/>
    </row>
    <row r="303" spans="1:15" ht="70.05" customHeight="1" outlineLevel="1">
      <c r="A303" s="109" t="s">
        <v>7220</v>
      </c>
      <c r="B303" s="110" t="s">
        <v>7221</v>
      </c>
      <c r="C303" s="110" t="s">
        <v>7222</v>
      </c>
      <c r="D303" s="111" t="s">
        <v>7223</v>
      </c>
      <c r="E303" s="111" t="s">
        <v>7215</v>
      </c>
      <c r="F303" s="109" t="s">
        <v>344</v>
      </c>
      <c r="G303" s="112">
        <v>46300</v>
      </c>
      <c r="H303" s="109" t="s">
        <v>4</v>
      </c>
      <c r="I303" s="109" t="s">
        <v>346</v>
      </c>
      <c r="J303" s="109"/>
      <c r="K303" s="109"/>
      <c r="L303" s="109" t="s">
        <v>346</v>
      </c>
      <c r="M303" s="109"/>
      <c r="N303" s="109"/>
      <c r="O303" s="113"/>
    </row>
    <row r="304" spans="1:15" ht="70.05" customHeight="1" outlineLevel="1">
      <c r="A304" s="109" t="s">
        <v>7224</v>
      </c>
      <c r="B304" s="110" t="s">
        <v>7212</v>
      </c>
      <c r="C304" s="110" t="s">
        <v>7213</v>
      </c>
      <c r="D304" s="111" t="s">
        <v>7225</v>
      </c>
      <c r="E304" s="111" t="s">
        <v>7226</v>
      </c>
      <c r="F304" s="109" t="s">
        <v>344</v>
      </c>
      <c r="G304" s="112">
        <v>46300</v>
      </c>
      <c r="H304" s="109" t="s">
        <v>4</v>
      </c>
      <c r="I304" s="109" t="s">
        <v>346</v>
      </c>
      <c r="J304" s="109"/>
      <c r="K304" s="109"/>
      <c r="L304" s="109" t="s">
        <v>346</v>
      </c>
      <c r="M304" s="109"/>
      <c r="N304" s="109"/>
      <c r="O304" s="113"/>
    </row>
    <row r="305" spans="1:15" ht="70.05" customHeight="1" outlineLevel="1">
      <c r="A305" s="109" t="s">
        <v>7227</v>
      </c>
      <c r="B305" s="110" t="s">
        <v>7212</v>
      </c>
      <c r="C305" s="110" t="s">
        <v>7213</v>
      </c>
      <c r="D305" s="111" t="s">
        <v>7228</v>
      </c>
      <c r="E305" s="111" t="s">
        <v>7229</v>
      </c>
      <c r="F305" s="109" t="s">
        <v>344</v>
      </c>
      <c r="G305" s="112">
        <v>46300</v>
      </c>
      <c r="H305" s="109" t="s">
        <v>4</v>
      </c>
      <c r="I305" s="109" t="s">
        <v>346</v>
      </c>
      <c r="J305" s="109"/>
      <c r="K305" s="109"/>
      <c r="L305" s="109" t="s">
        <v>346</v>
      </c>
      <c r="M305" s="109"/>
      <c r="N305" s="109"/>
      <c r="O305" s="113"/>
    </row>
    <row r="306" spans="1:15" ht="70.05" customHeight="1" outlineLevel="1">
      <c r="A306" s="109" t="s">
        <v>7230</v>
      </c>
      <c r="B306" s="110" t="s">
        <v>7231</v>
      </c>
      <c r="C306" s="110" t="s">
        <v>7232</v>
      </c>
      <c r="D306" s="111" t="s">
        <v>7233</v>
      </c>
      <c r="E306" s="111" t="s">
        <v>7215</v>
      </c>
      <c r="F306" s="109" t="s">
        <v>344</v>
      </c>
      <c r="G306" s="112">
        <v>46300</v>
      </c>
      <c r="H306" s="109" t="s">
        <v>4</v>
      </c>
      <c r="I306" s="109" t="s">
        <v>346</v>
      </c>
      <c r="J306" s="109"/>
      <c r="K306" s="109"/>
      <c r="L306" s="109" t="s">
        <v>346</v>
      </c>
      <c r="M306" s="109"/>
      <c r="N306" s="109"/>
      <c r="O306" s="113"/>
    </row>
    <row r="307" spans="1:15" ht="70.05" customHeight="1" outlineLevel="1">
      <c r="A307" s="109" t="s">
        <v>7234</v>
      </c>
      <c r="B307" s="110" t="s">
        <v>7235</v>
      </c>
      <c r="C307" s="110" t="s">
        <v>7236</v>
      </c>
      <c r="D307" s="111" t="s">
        <v>7237</v>
      </c>
      <c r="E307" s="111" t="s">
        <v>7215</v>
      </c>
      <c r="F307" s="109" t="s">
        <v>344</v>
      </c>
      <c r="G307" s="112">
        <v>46300</v>
      </c>
      <c r="H307" s="109" t="s">
        <v>4</v>
      </c>
      <c r="I307" s="109" t="s">
        <v>346</v>
      </c>
      <c r="J307" s="109"/>
      <c r="K307" s="109"/>
      <c r="L307" s="109" t="s">
        <v>346</v>
      </c>
      <c r="M307" s="109"/>
      <c r="N307" s="109"/>
      <c r="O307" s="113"/>
    </row>
    <row r="308" spans="1:15" ht="70.05" customHeight="1" outlineLevel="1">
      <c r="A308" s="109" t="s">
        <v>7238</v>
      </c>
      <c r="B308" s="110" t="s">
        <v>7212</v>
      </c>
      <c r="C308" s="110" t="s">
        <v>7213</v>
      </c>
      <c r="D308" s="111" t="s">
        <v>7239</v>
      </c>
      <c r="E308" s="111" t="s">
        <v>7215</v>
      </c>
      <c r="F308" s="109" t="s">
        <v>344</v>
      </c>
      <c r="G308" s="112">
        <v>46300</v>
      </c>
      <c r="H308" s="109" t="s">
        <v>4</v>
      </c>
      <c r="I308" s="109" t="s">
        <v>346</v>
      </c>
      <c r="J308" s="109"/>
      <c r="K308" s="109"/>
      <c r="L308" s="109" t="s">
        <v>346</v>
      </c>
      <c r="M308" s="109"/>
      <c r="N308" s="109"/>
      <c r="O308" s="113"/>
    </row>
    <row r="309" spans="1:15" ht="70.05" customHeight="1" outlineLevel="1">
      <c r="A309" s="109" t="s">
        <v>7240</v>
      </c>
      <c r="B309" s="110" t="s">
        <v>7241</v>
      </c>
      <c r="C309" s="110" t="s">
        <v>7242</v>
      </c>
      <c r="D309" s="111" t="s">
        <v>7243</v>
      </c>
      <c r="E309" s="111" t="s">
        <v>7215</v>
      </c>
      <c r="F309" s="109" t="s">
        <v>344</v>
      </c>
      <c r="G309" s="112">
        <v>46300</v>
      </c>
      <c r="H309" s="109" t="s">
        <v>4</v>
      </c>
      <c r="I309" s="109" t="s">
        <v>346</v>
      </c>
      <c r="J309" s="109"/>
      <c r="K309" s="109"/>
      <c r="L309" s="109" t="s">
        <v>346</v>
      </c>
      <c r="M309" s="109"/>
      <c r="N309" s="109"/>
      <c r="O309" s="113"/>
    </row>
    <row r="310" spans="1:15" ht="70.05" customHeight="1" outlineLevel="1">
      <c r="A310" s="109" t="s">
        <v>7244</v>
      </c>
      <c r="B310" s="110" t="s">
        <v>7245</v>
      </c>
      <c r="C310" s="110" t="s">
        <v>7246</v>
      </c>
      <c r="D310" s="111" t="s">
        <v>7247</v>
      </c>
      <c r="E310" s="111" t="s">
        <v>7215</v>
      </c>
      <c r="F310" s="109" t="s">
        <v>344</v>
      </c>
      <c r="G310" s="112">
        <v>46300</v>
      </c>
      <c r="H310" s="109" t="s">
        <v>4</v>
      </c>
      <c r="I310" s="109" t="s">
        <v>346</v>
      </c>
      <c r="J310" s="109"/>
      <c r="K310" s="109"/>
      <c r="L310" s="109" t="s">
        <v>346</v>
      </c>
      <c r="M310" s="109"/>
      <c r="N310" s="109"/>
      <c r="O310" s="113"/>
    </row>
    <row r="311" spans="1:15" ht="70.05" customHeight="1" outlineLevel="1">
      <c r="A311" s="109" t="s">
        <v>7248</v>
      </c>
      <c r="B311" s="110" t="s">
        <v>7249</v>
      </c>
      <c r="C311" s="110" t="s">
        <v>7250</v>
      </c>
      <c r="D311" s="111" t="s">
        <v>7251</v>
      </c>
      <c r="E311" s="111" t="s">
        <v>7215</v>
      </c>
      <c r="F311" s="109" t="s">
        <v>344</v>
      </c>
      <c r="G311" s="112">
        <v>46300</v>
      </c>
      <c r="H311" s="109" t="s">
        <v>4</v>
      </c>
      <c r="I311" s="109" t="s">
        <v>346</v>
      </c>
      <c r="J311" s="109"/>
      <c r="K311" s="109"/>
      <c r="L311" s="109" t="s">
        <v>346</v>
      </c>
      <c r="M311" s="109"/>
      <c r="N311" s="109"/>
      <c r="O311" s="113"/>
    </row>
    <row r="312" spans="1:15" ht="70.05" customHeight="1" outlineLevel="1">
      <c r="A312" s="109" t="s">
        <v>7252</v>
      </c>
      <c r="B312" s="110" t="s">
        <v>7253</v>
      </c>
      <c r="C312" s="110" t="s">
        <v>7213</v>
      </c>
      <c r="D312" s="111" t="s">
        <v>7083</v>
      </c>
      <c r="E312" s="111" t="s">
        <v>7254</v>
      </c>
      <c r="F312" s="109" t="s">
        <v>344</v>
      </c>
      <c r="G312" s="112">
        <v>46300</v>
      </c>
      <c r="H312" s="109" t="s">
        <v>4</v>
      </c>
      <c r="I312" s="109" t="s">
        <v>346</v>
      </c>
      <c r="J312" s="109"/>
      <c r="K312" s="109"/>
      <c r="L312" s="109" t="s">
        <v>346</v>
      </c>
      <c r="M312" s="109"/>
      <c r="N312" s="109"/>
      <c r="O312" s="113"/>
    </row>
    <row r="313" spans="1:15" ht="70.05" customHeight="1" outlineLevel="1">
      <c r="A313" s="109" t="s">
        <v>7255</v>
      </c>
      <c r="B313" s="110" t="s">
        <v>7253</v>
      </c>
      <c r="C313" s="110" t="s">
        <v>7213</v>
      </c>
      <c r="D313" s="111" t="s">
        <v>7085</v>
      </c>
      <c r="E313" s="111" t="s">
        <v>7256</v>
      </c>
      <c r="F313" s="109" t="s">
        <v>344</v>
      </c>
      <c r="G313" s="112">
        <v>46300</v>
      </c>
      <c r="H313" s="109" t="s">
        <v>4</v>
      </c>
      <c r="I313" s="109" t="s">
        <v>346</v>
      </c>
      <c r="J313" s="109"/>
      <c r="K313" s="109"/>
      <c r="L313" s="109" t="s">
        <v>346</v>
      </c>
      <c r="M313" s="109"/>
      <c r="N313" s="109"/>
      <c r="O313" s="113"/>
    </row>
    <row r="314" spans="1:15" ht="70.05" customHeight="1" outlineLevel="1">
      <c r="A314" s="109" t="s">
        <v>7257</v>
      </c>
      <c r="B314" s="110" t="s">
        <v>7258</v>
      </c>
      <c r="C314" s="110" t="s">
        <v>7259</v>
      </c>
      <c r="D314" s="111" t="s">
        <v>7260</v>
      </c>
      <c r="E314" s="111" t="s">
        <v>7215</v>
      </c>
      <c r="F314" s="109" t="s">
        <v>344</v>
      </c>
      <c r="G314" s="112">
        <v>46300</v>
      </c>
      <c r="H314" s="109" t="s">
        <v>4</v>
      </c>
      <c r="I314" s="109" t="s">
        <v>346</v>
      </c>
      <c r="J314" s="109"/>
      <c r="K314" s="109"/>
      <c r="L314" s="109" t="s">
        <v>346</v>
      </c>
      <c r="M314" s="109"/>
      <c r="N314" s="109"/>
      <c r="O314" s="113"/>
    </row>
    <row r="315" spans="1:15" ht="70.05" customHeight="1" outlineLevel="1">
      <c r="A315" s="109" t="s">
        <v>7261</v>
      </c>
      <c r="B315" s="110" t="s">
        <v>7262</v>
      </c>
      <c r="C315" s="110" t="s">
        <v>7263</v>
      </c>
      <c r="D315" s="111" t="s">
        <v>7264</v>
      </c>
      <c r="E315" s="111" t="s">
        <v>7215</v>
      </c>
      <c r="F315" s="109" t="s">
        <v>344</v>
      </c>
      <c r="G315" s="112">
        <v>46300</v>
      </c>
      <c r="H315" s="109" t="s">
        <v>4</v>
      </c>
      <c r="I315" s="109" t="s">
        <v>346</v>
      </c>
      <c r="J315" s="109"/>
      <c r="K315" s="109"/>
      <c r="L315" s="109" t="s">
        <v>346</v>
      </c>
      <c r="M315" s="109"/>
      <c r="N315" s="109"/>
      <c r="O315" s="113"/>
    </row>
    <row r="316" spans="1:15" ht="70.05" customHeight="1" outlineLevel="1">
      <c r="A316" s="109" t="s">
        <v>7265</v>
      </c>
      <c r="B316" s="110" t="s">
        <v>7266</v>
      </c>
      <c r="C316" s="110" t="s">
        <v>7267</v>
      </c>
      <c r="D316" s="111" t="s">
        <v>7264</v>
      </c>
      <c r="E316" s="111" t="s">
        <v>7215</v>
      </c>
      <c r="F316" s="109" t="s">
        <v>344</v>
      </c>
      <c r="G316" s="112">
        <v>46300</v>
      </c>
      <c r="H316" s="109" t="s">
        <v>4</v>
      </c>
      <c r="I316" s="109" t="s">
        <v>346</v>
      </c>
      <c r="J316" s="109"/>
      <c r="K316" s="109"/>
      <c r="L316" s="109" t="s">
        <v>346</v>
      </c>
      <c r="M316" s="109"/>
      <c r="N316" s="109"/>
      <c r="O316" s="113"/>
    </row>
    <row r="317" spans="1:15" ht="70.05" customHeight="1" outlineLevel="1">
      <c r="A317" s="109" t="s">
        <v>7268</v>
      </c>
      <c r="B317" s="110" t="s">
        <v>7269</v>
      </c>
      <c r="C317" s="110" t="s">
        <v>7270</v>
      </c>
      <c r="D317" s="111" t="s">
        <v>7271</v>
      </c>
      <c r="E317" s="111" t="s">
        <v>7215</v>
      </c>
      <c r="F317" s="109" t="s">
        <v>344</v>
      </c>
      <c r="G317" s="112">
        <v>46300</v>
      </c>
      <c r="H317" s="109" t="s">
        <v>4</v>
      </c>
      <c r="I317" s="109" t="s">
        <v>346</v>
      </c>
      <c r="J317" s="109"/>
      <c r="K317" s="109"/>
      <c r="L317" s="109" t="s">
        <v>346</v>
      </c>
      <c r="M317" s="109"/>
      <c r="N317" s="109"/>
      <c r="O317" s="113"/>
    </row>
    <row r="318" spans="1:15" ht="70.05" customHeight="1" outlineLevel="1">
      <c r="A318" s="109" t="s">
        <v>7272</v>
      </c>
      <c r="B318" s="110" t="s">
        <v>7269</v>
      </c>
      <c r="C318" s="110" t="s">
        <v>7273</v>
      </c>
      <c r="D318" s="111" t="s">
        <v>7271</v>
      </c>
      <c r="E318" s="111" t="s">
        <v>7215</v>
      </c>
      <c r="F318" s="109" t="s">
        <v>344</v>
      </c>
      <c r="G318" s="112">
        <v>46300</v>
      </c>
      <c r="H318" s="109" t="s">
        <v>4</v>
      </c>
      <c r="I318" s="109" t="s">
        <v>346</v>
      </c>
      <c r="J318" s="109"/>
      <c r="K318" s="109"/>
      <c r="L318" s="109" t="s">
        <v>346</v>
      </c>
      <c r="M318" s="109"/>
      <c r="N318" s="109"/>
      <c r="O318" s="113"/>
    </row>
    <row r="319" spans="1:15" ht="70.05" customHeight="1" outlineLevel="1">
      <c r="A319" s="109" t="s">
        <v>7274</v>
      </c>
      <c r="B319" s="110" t="s">
        <v>7269</v>
      </c>
      <c r="C319" s="110" t="s">
        <v>7213</v>
      </c>
      <c r="D319" s="111" t="s">
        <v>7275</v>
      </c>
      <c r="E319" s="111" t="s">
        <v>7276</v>
      </c>
      <c r="F319" s="109" t="s">
        <v>344</v>
      </c>
      <c r="G319" s="112">
        <v>46300</v>
      </c>
      <c r="H319" s="109" t="s">
        <v>4</v>
      </c>
      <c r="I319" s="109" t="s">
        <v>346</v>
      </c>
      <c r="J319" s="109"/>
      <c r="K319" s="109"/>
      <c r="L319" s="109" t="s">
        <v>346</v>
      </c>
      <c r="M319" s="109"/>
      <c r="N319" s="109"/>
      <c r="O319" s="113"/>
    </row>
    <row r="320" spans="1:15" ht="70.05" customHeight="1" outlineLevel="1">
      <c r="A320" s="109" t="s">
        <v>7277</v>
      </c>
      <c r="B320" s="110" t="s">
        <v>7269</v>
      </c>
      <c r="C320" s="110" t="s">
        <v>7213</v>
      </c>
      <c r="D320" s="111" t="s">
        <v>6872</v>
      </c>
      <c r="E320" s="111" t="s">
        <v>7278</v>
      </c>
      <c r="F320" s="109" t="s">
        <v>344</v>
      </c>
      <c r="G320" s="112">
        <v>46300</v>
      </c>
      <c r="H320" s="109" t="s">
        <v>4</v>
      </c>
      <c r="I320" s="109" t="s">
        <v>346</v>
      </c>
      <c r="J320" s="109"/>
      <c r="K320" s="109"/>
      <c r="L320" s="109" t="s">
        <v>346</v>
      </c>
      <c r="M320" s="109"/>
      <c r="N320" s="109"/>
      <c r="O320" s="113"/>
    </row>
    <row r="321" spans="1:15" ht="70.05" customHeight="1" outlineLevel="1">
      <c r="A321" s="109" t="s">
        <v>7279</v>
      </c>
      <c r="B321" s="110" t="s">
        <v>7269</v>
      </c>
      <c r="C321" s="110" t="s">
        <v>7213</v>
      </c>
      <c r="D321" s="111" t="s">
        <v>7280</v>
      </c>
      <c r="E321" s="111" t="s">
        <v>7281</v>
      </c>
      <c r="F321" s="109" t="s">
        <v>344</v>
      </c>
      <c r="G321" s="112">
        <v>46300</v>
      </c>
      <c r="H321" s="109" t="s">
        <v>4</v>
      </c>
      <c r="I321" s="109" t="s">
        <v>346</v>
      </c>
      <c r="J321" s="109"/>
      <c r="K321" s="109"/>
      <c r="L321" s="109" t="s">
        <v>346</v>
      </c>
      <c r="M321" s="109"/>
      <c r="N321" s="109"/>
      <c r="O321" s="113"/>
    </row>
    <row r="322" spans="1:15" ht="70.05" customHeight="1" outlineLevel="1">
      <c r="A322" s="109" t="s">
        <v>7282</v>
      </c>
      <c r="B322" s="110" t="s">
        <v>7269</v>
      </c>
      <c r="C322" s="110" t="s">
        <v>7213</v>
      </c>
      <c r="D322" s="111" t="s">
        <v>6882</v>
      </c>
      <c r="E322" s="111" t="s">
        <v>7283</v>
      </c>
      <c r="F322" s="109" t="s">
        <v>344</v>
      </c>
      <c r="G322" s="112">
        <v>46300</v>
      </c>
      <c r="H322" s="109" t="s">
        <v>4</v>
      </c>
      <c r="I322" s="109" t="s">
        <v>346</v>
      </c>
      <c r="J322" s="109"/>
      <c r="K322" s="109"/>
      <c r="L322" s="109" t="s">
        <v>346</v>
      </c>
      <c r="M322" s="109"/>
      <c r="N322" s="109"/>
      <c r="O322" s="113"/>
    </row>
  </sheetData>
  <mergeCells count="3">
    <mergeCell ref="B3:E3"/>
    <mergeCell ref="B2:E2"/>
    <mergeCell ref="B4:E4"/>
  </mergeCells>
  <dataValidations count="1">
    <dataValidation type="list" allowBlank="1" sqref="F12:F322 I12:I322 L12:L322" xr:uid="{00000000-0002-0000-0900-000000000000}">
      <formula1>$R$2:$R$5</formula1>
    </dataValidation>
  </dataValidations>
  <pageMargins left="0.74791666666666667" right="0.25" top="0.75" bottom="0.98402777777777772" header="0.5" footer="0.5"/>
  <pageSetup paperSize="9" firstPageNumber="0" orientation="landscape" horizontalDpi="300" verticalDpi="30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R131"/>
  <sheetViews>
    <sheetView workbookViewId="0"/>
  </sheetViews>
  <sheetFormatPr defaultColWidth="9" defaultRowHeight="13.2" outlineLevelRow="1" outlineLevelCol="1"/>
  <cols>
    <col min="1" max="1" width="17" style="1" customWidth="1"/>
    <col min="2" max="2" width="34.44140625" style="1" customWidth="1"/>
    <col min="3" max="3" width="34.109375" style="1" customWidth="1"/>
    <col min="4" max="4" width="34.6640625" style="1" customWidth="1"/>
    <col min="5" max="5" width="28.33203125" style="1" customWidth="1"/>
    <col min="6" max="6" width="9.33203125" style="1" customWidth="1"/>
    <col min="7" max="7" width="10.6640625" style="1" customWidth="1" outlineLevel="1"/>
    <col min="8" max="8" width="7" style="1" bestFit="1" customWidth="1" outlineLevel="1"/>
    <col min="9" max="9" width="9.33203125" style="1" customWidth="1"/>
    <col min="10" max="10" width="10.6640625" style="1" customWidth="1" outlineLevel="1"/>
    <col min="11" max="11" width="7" style="1" bestFit="1" customWidth="1" outlineLevel="1"/>
    <col min="12" max="12" width="9.33203125" style="1" customWidth="1"/>
    <col min="13" max="13" width="10.6640625" style="1" customWidth="1" outlineLevel="1"/>
    <col min="14" max="14" width="7" style="1" bestFit="1" customWidth="1" outlineLevel="1"/>
    <col min="15" max="15" width="28.6640625" style="1" customWidth="1"/>
    <col min="16" max="16" width="10.109375" style="1" customWidth="1"/>
    <col min="17" max="17" width="8.109375" style="23" customWidth="1"/>
    <col min="18" max="18" width="7.6640625" style="1" hidden="1" customWidth="1"/>
    <col min="19" max="20" width="9" style="1" customWidth="1"/>
    <col min="21" max="16384" width="9" style="1"/>
  </cols>
  <sheetData>
    <row r="1" spans="1:18" ht="13.95" customHeight="1" thickBot="1"/>
    <row r="2" spans="1:18" s="25" customFormat="1" ht="15" customHeight="1">
      <c r="A2" s="73" t="s">
        <v>353</v>
      </c>
      <c r="B2" s="130" t="s">
        <v>300</v>
      </c>
      <c r="C2" s="131"/>
      <c r="D2" s="131"/>
      <c r="E2" s="132"/>
      <c r="F2" s="63"/>
      <c r="G2" s="57"/>
      <c r="H2" s="9"/>
      <c r="I2" s="63"/>
      <c r="J2" s="57"/>
      <c r="K2" s="9"/>
      <c r="L2" s="63"/>
      <c r="M2" s="57"/>
      <c r="N2" s="9"/>
      <c r="O2" s="9"/>
      <c r="P2" s="9"/>
      <c r="Q2" s="24"/>
      <c r="R2" s="25" t="s">
        <v>344</v>
      </c>
    </row>
    <row r="3" spans="1:18" s="25" customFormat="1" ht="13.95" customHeight="1">
      <c r="A3" s="74" t="s">
        <v>354</v>
      </c>
      <c r="B3" s="127" t="s">
        <v>7284</v>
      </c>
      <c r="C3" s="128"/>
      <c r="D3" s="128"/>
      <c r="E3" s="129"/>
      <c r="F3" s="63"/>
      <c r="G3" s="57"/>
      <c r="H3" s="9"/>
      <c r="I3" s="63"/>
      <c r="J3" s="57"/>
      <c r="K3" s="9"/>
      <c r="L3" s="63"/>
      <c r="M3" s="57"/>
      <c r="N3" s="9"/>
      <c r="O3" s="9"/>
      <c r="P3" s="9"/>
      <c r="Q3" s="24"/>
      <c r="R3" s="25" t="s">
        <v>345</v>
      </c>
    </row>
    <row r="4" spans="1:18" s="25" customFormat="1" ht="18" customHeight="1">
      <c r="A4" s="74" t="s">
        <v>356</v>
      </c>
      <c r="B4" s="127">
        <f>COUNTA(F12:F1000)</f>
        <v>114</v>
      </c>
      <c r="C4" s="128"/>
      <c r="D4" s="128"/>
      <c r="E4" s="129"/>
      <c r="F4" s="63"/>
      <c r="G4" s="57"/>
      <c r="H4" s="9"/>
      <c r="I4" s="63"/>
      <c r="J4" s="57"/>
      <c r="K4" s="9"/>
      <c r="L4" s="63"/>
      <c r="M4" s="57"/>
      <c r="N4" s="9"/>
      <c r="O4" s="9"/>
      <c r="P4" s="9"/>
      <c r="Q4" s="24"/>
      <c r="R4" s="25" t="s">
        <v>346</v>
      </c>
    </row>
    <row r="5" spans="1:18" s="25" customFormat="1" ht="19.5" customHeight="1">
      <c r="A5" s="67" t="s">
        <v>357</v>
      </c>
      <c r="B5" s="65" t="s">
        <v>344</v>
      </c>
      <c r="C5" s="65" t="s">
        <v>345</v>
      </c>
      <c r="D5" s="65" t="s">
        <v>346</v>
      </c>
      <c r="E5" s="68" t="s">
        <v>347</v>
      </c>
      <c r="F5" s="58"/>
      <c r="G5" s="58"/>
      <c r="H5" s="26"/>
      <c r="I5" s="58"/>
      <c r="J5" s="58"/>
      <c r="K5" s="26"/>
      <c r="L5" s="58"/>
      <c r="M5" s="58"/>
      <c r="N5" s="26"/>
      <c r="O5" s="26"/>
      <c r="P5" s="26"/>
      <c r="Q5" s="27"/>
      <c r="R5" s="25" t="s">
        <v>347</v>
      </c>
    </row>
    <row r="6" spans="1:18" s="25" customFormat="1" ht="15" customHeight="1">
      <c r="A6" s="67" t="s">
        <v>358</v>
      </c>
      <c r="B6" s="66">
        <f>COUNTIF($F$10:$F$998,B$5)</f>
        <v>32</v>
      </c>
      <c r="C6" s="66">
        <f>COUNTIF($F$10:$F$998,C$5)</f>
        <v>0</v>
      </c>
      <c r="D6" s="66">
        <f>COUNTIF($F$10:$F$998,D$5)</f>
        <v>82</v>
      </c>
      <c r="E6" s="72">
        <f>COUNTIF($F$10:$F$998,E$5)</f>
        <v>0</v>
      </c>
      <c r="F6" s="59"/>
      <c r="G6" s="59"/>
      <c r="H6" s="26"/>
      <c r="I6" s="59"/>
      <c r="J6" s="59"/>
      <c r="K6" s="26"/>
      <c r="L6" s="59"/>
      <c r="M6" s="59"/>
      <c r="N6" s="26"/>
      <c r="O6" s="26"/>
      <c r="P6" s="26"/>
      <c r="Q6" s="27"/>
    </row>
    <row r="7" spans="1:18" s="25" customFormat="1" ht="15" customHeight="1">
      <c r="A7" s="67" t="s">
        <v>359</v>
      </c>
      <c r="B7" s="66">
        <f>COUNTIF($I$10:$I$998,B$5)</f>
        <v>0</v>
      </c>
      <c r="C7" s="66">
        <f>COUNTIF($I$10:$I$998,C$5)</f>
        <v>0</v>
      </c>
      <c r="D7" s="66">
        <f>COUNTIF($I$10:$I$998,D$5)</f>
        <v>114</v>
      </c>
      <c r="E7" s="72">
        <f>COUNTIF($I$10:$I$998,E$5)</f>
        <v>0</v>
      </c>
      <c r="F7" s="59"/>
      <c r="G7" s="59"/>
      <c r="H7" s="26"/>
      <c r="I7" s="59"/>
      <c r="J7" s="59"/>
      <c r="K7" s="26"/>
      <c r="L7" s="59"/>
      <c r="M7" s="59"/>
      <c r="N7" s="26"/>
      <c r="O7" s="26"/>
      <c r="P7" s="26"/>
      <c r="Q7" s="27"/>
    </row>
    <row r="8" spans="1:18" s="25" customFormat="1" ht="15" customHeight="1" thickBot="1">
      <c r="A8" s="69" t="s">
        <v>360</v>
      </c>
      <c r="B8" s="70">
        <f>COUNTIF($L$10:$L$998,B$5)</f>
        <v>0</v>
      </c>
      <c r="C8" s="70">
        <f>COUNTIF($L$10:$L$998,C$5)</f>
        <v>0</v>
      </c>
      <c r="D8" s="70">
        <f>COUNTIF($L$10:$L$998,D$5)</f>
        <v>114</v>
      </c>
      <c r="E8" s="71">
        <f>COUNTIF($L$10:$L$998,E$5)</f>
        <v>0</v>
      </c>
      <c r="F8" s="59"/>
      <c r="G8" s="59"/>
      <c r="H8" s="26"/>
      <c r="I8" s="59"/>
      <c r="J8" s="59"/>
      <c r="K8" s="26"/>
      <c r="L8" s="59"/>
      <c r="M8" s="59"/>
      <c r="N8" s="26"/>
      <c r="O8" s="26"/>
      <c r="P8" s="26"/>
      <c r="Q8" s="27"/>
    </row>
    <row r="9" spans="1:18" s="25" customFormat="1" ht="15" customHeight="1">
      <c r="A9" s="26"/>
      <c r="B9" s="26"/>
      <c r="C9" s="26"/>
      <c r="D9" s="26"/>
      <c r="E9" s="26"/>
      <c r="F9" s="28"/>
      <c r="G9" s="26"/>
      <c r="H9" s="26"/>
      <c r="I9" s="28"/>
      <c r="J9" s="26"/>
      <c r="K9" s="26"/>
      <c r="L9" s="28"/>
      <c r="M9" s="26"/>
      <c r="N9" s="26"/>
      <c r="O9" s="26"/>
      <c r="P9" s="26"/>
      <c r="Q9" s="27"/>
    </row>
    <row r="10" spans="1:18" s="25" customFormat="1" ht="25.5" customHeight="1">
      <c r="A10" s="64" t="s">
        <v>361</v>
      </c>
      <c r="B10" s="64" t="s">
        <v>362</v>
      </c>
      <c r="C10" s="64" t="s">
        <v>363</v>
      </c>
      <c r="D10" s="64" t="s">
        <v>364</v>
      </c>
      <c r="E10" s="64" t="s">
        <v>365</v>
      </c>
      <c r="F10" s="64" t="s">
        <v>358</v>
      </c>
      <c r="G10" s="64" t="s">
        <v>366</v>
      </c>
      <c r="H10" s="64" t="s">
        <v>367</v>
      </c>
      <c r="I10" s="64" t="s">
        <v>359</v>
      </c>
      <c r="J10" s="64" t="s">
        <v>366</v>
      </c>
      <c r="K10" s="64" t="s">
        <v>367</v>
      </c>
      <c r="L10" s="64" t="s">
        <v>360</v>
      </c>
      <c r="M10" s="64" t="s">
        <v>366</v>
      </c>
      <c r="N10" s="64" t="s">
        <v>367</v>
      </c>
      <c r="O10" s="64" t="s">
        <v>368</v>
      </c>
      <c r="Q10" s="29"/>
    </row>
    <row r="11" spans="1:18" s="25" customFormat="1" ht="15.75" customHeight="1">
      <c r="A11" s="60" t="s">
        <v>299</v>
      </c>
      <c r="B11" s="60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2"/>
      <c r="Q11" s="30"/>
    </row>
    <row r="12" spans="1:18" s="32" customFormat="1" ht="70.05" customHeight="1" outlineLevel="1">
      <c r="A12" s="109" t="s">
        <v>7285</v>
      </c>
      <c r="B12" s="110" t="s">
        <v>7286</v>
      </c>
      <c r="C12" s="110" t="s">
        <v>7287</v>
      </c>
      <c r="D12" s="111" t="s">
        <v>7288</v>
      </c>
      <c r="E12" s="111" t="s">
        <v>7289</v>
      </c>
      <c r="F12" s="109" t="s">
        <v>344</v>
      </c>
      <c r="G12" s="112">
        <v>46300</v>
      </c>
      <c r="H12" s="109" t="s">
        <v>5722</v>
      </c>
      <c r="I12" s="109" t="s">
        <v>346</v>
      </c>
      <c r="J12" s="109"/>
      <c r="K12" s="109"/>
      <c r="L12" s="109" t="s">
        <v>346</v>
      </c>
      <c r="M12" s="109"/>
      <c r="N12" s="109"/>
      <c r="O12" s="113"/>
      <c r="Q12" s="31"/>
    </row>
    <row r="13" spans="1:18" ht="70.05" customHeight="1" outlineLevel="1">
      <c r="A13" s="109" t="s">
        <v>7290</v>
      </c>
      <c r="B13" s="110" t="s">
        <v>7291</v>
      </c>
      <c r="C13" s="110" t="s">
        <v>7292</v>
      </c>
      <c r="D13" s="111" t="s">
        <v>7293</v>
      </c>
      <c r="E13" s="111" t="s">
        <v>7289</v>
      </c>
      <c r="F13" s="109" t="s">
        <v>344</v>
      </c>
      <c r="G13" s="112">
        <v>46300</v>
      </c>
      <c r="H13" s="109" t="s">
        <v>5722</v>
      </c>
      <c r="I13" s="109" t="s">
        <v>346</v>
      </c>
      <c r="J13" s="109"/>
      <c r="K13" s="109"/>
      <c r="L13" s="109" t="s">
        <v>346</v>
      </c>
      <c r="M13" s="109"/>
      <c r="N13" s="109"/>
      <c r="O13" s="113"/>
      <c r="Q13" s="31"/>
    </row>
    <row r="14" spans="1:18" ht="70.05" customHeight="1" outlineLevel="1">
      <c r="A14" s="109" t="s">
        <v>7294</v>
      </c>
      <c r="B14" s="110" t="s">
        <v>7291</v>
      </c>
      <c r="C14" s="110" t="s">
        <v>7292</v>
      </c>
      <c r="D14" s="111" t="s">
        <v>7295</v>
      </c>
      <c r="E14" s="111" t="s">
        <v>7296</v>
      </c>
      <c r="F14" s="109" t="s">
        <v>344</v>
      </c>
      <c r="G14" s="112">
        <v>46300</v>
      </c>
      <c r="H14" s="109" t="s">
        <v>5722</v>
      </c>
      <c r="I14" s="109" t="s">
        <v>346</v>
      </c>
      <c r="J14" s="109"/>
      <c r="K14" s="109"/>
      <c r="L14" s="109" t="s">
        <v>346</v>
      </c>
      <c r="M14" s="109"/>
      <c r="N14" s="109"/>
      <c r="O14" s="113"/>
      <c r="Q14" s="31"/>
    </row>
    <row r="15" spans="1:18" s="25" customFormat="1" ht="70.05" customHeight="1" outlineLevel="1">
      <c r="A15" s="109" t="s">
        <v>7297</v>
      </c>
      <c r="B15" s="110" t="s">
        <v>7286</v>
      </c>
      <c r="C15" s="110" t="s">
        <v>7287</v>
      </c>
      <c r="D15" s="111" t="s">
        <v>7298</v>
      </c>
      <c r="E15" s="111" t="s">
        <v>7296</v>
      </c>
      <c r="F15" s="109" t="s">
        <v>344</v>
      </c>
      <c r="G15" s="112">
        <v>46300</v>
      </c>
      <c r="H15" s="109" t="s">
        <v>5722</v>
      </c>
      <c r="I15" s="109" t="s">
        <v>346</v>
      </c>
      <c r="J15" s="109"/>
      <c r="K15" s="109"/>
      <c r="L15" s="109" t="s">
        <v>346</v>
      </c>
      <c r="M15" s="109"/>
      <c r="N15" s="109"/>
      <c r="O15" s="113"/>
      <c r="Q15" s="30"/>
    </row>
    <row r="16" spans="1:18" ht="70.05" customHeight="1" outlineLevel="1">
      <c r="A16" s="109" t="s">
        <v>7299</v>
      </c>
      <c r="B16" s="110" t="s">
        <v>7286</v>
      </c>
      <c r="C16" s="110" t="s">
        <v>7287</v>
      </c>
      <c r="D16" s="111" t="s">
        <v>7300</v>
      </c>
      <c r="E16" s="111" t="s">
        <v>7301</v>
      </c>
      <c r="F16" s="109" t="s">
        <v>344</v>
      </c>
      <c r="G16" s="112">
        <v>46300</v>
      </c>
      <c r="H16" s="109" t="s">
        <v>5722</v>
      </c>
      <c r="I16" s="109" t="s">
        <v>346</v>
      </c>
      <c r="J16" s="109"/>
      <c r="K16" s="109"/>
      <c r="L16" s="109" t="s">
        <v>346</v>
      </c>
      <c r="M16" s="109"/>
      <c r="N16" s="109"/>
      <c r="O16" s="113"/>
      <c r="Q16" s="31"/>
    </row>
    <row r="17" spans="1:17" ht="70.05" customHeight="1" outlineLevel="1">
      <c r="A17" s="109" t="s">
        <v>7302</v>
      </c>
      <c r="B17" s="110" t="s">
        <v>7286</v>
      </c>
      <c r="C17" s="110" t="s">
        <v>7287</v>
      </c>
      <c r="D17" s="111" t="s">
        <v>7303</v>
      </c>
      <c r="E17" s="111" t="s">
        <v>7296</v>
      </c>
      <c r="F17" s="109" t="s">
        <v>344</v>
      </c>
      <c r="G17" s="112">
        <v>46300</v>
      </c>
      <c r="H17" s="109" t="s">
        <v>5722</v>
      </c>
      <c r="I17" s="109" t="s">
        <v>346</v>
      </c>
      <c r="J17" s="109"/>
      <c r="K17" s="109"/>
      <c r="L17" s="109" t="s">
        <v>346</v>
      </c>
      <c r="M17" s="109"/>
      <c r="N17" s="109"/>
      <c r="O17" s="113"/>
    </row>
    <row r="18" spans="1:17" s="25" customFormat="1" ht="70.05" customHeight="1" outlineLevel="1">
      <c r="A18" s="109" t="s">
        <v>7304</v>
      </c>
      <c r="B18" s="110" t="s">
        <v>7305</v>
      </c>
      <c r="C18" s="110" t="s">
        <v>7306</v>
      </c>
      <c r="D18" s="111" t="s">
        <v>7307</v>
      </c>
      <c r="E18" s="111" t="s">
        <v>7308</v>
      </c>
      <c r="F18" s="109" t="s">
        <v>344</v>
      </c>
      <c r="G18" s="112">
        <v>46300</v>
      </c>
      <c r="H18" s="109" t="s">
        <v>5722</v>
      </c>
      <c r="I18" s="109" t="s">
        <v>346</v>
      </c>
      <c r="J18" s="109"/>
      <c r="K18" s="109"/>
      <c r="L18" s="109" t="s">
        <v>346</v>
      </c>
      <c r="M18" s="109"/>
      <c r="N18" s="109"/>
      <c r="O18" s="113"/>
      <c r="Q18" s="30"/>
    </row>
    <row r="19" spans="1:17" ht="70.05" customHeight="1" outlineLevel="1">
      <c r="A19" s="109" t="s">
        <v>7309</v>
      </c>
      <c r="B19" s="110" t="s">
        <v>7310</v>
      </c>
      <c r="C19" s="110" t="s">
        <v>7311</v>
      </c>
      <c r="D19" s="111" t="s">
        <v>7312</v>
      </c>
      <c r="E19" s="111" t="s">
        <v>7289</v>
      </c>
      <c r="F19" s="109" t="s">
        <v>344</v>
      </c>
      <c r="G19" s="112">
        <v>46300</v>
      </c>
      <c r="H19" s="109" t="s">
        <v>5722</v>
      </c>
      <c r="I19" s="109" t="s">
        <v>346</v>
      </c>
      <c r="J19" s="109"/>
      <c r="K19" s="109"/>
      <c r="L19" s="109" t="s">
        <v>346</v>
      </c>
      <c r="M19" s="109"/>
      <c r="N19" s="109"/>
      <c r="O19" s="113"/>
      <c r="Q19" s="31"/>
    </row>
    <row r="20" spans="1:17" ht="70.05" customHeight="1" outlineLevel="1">
      <c r="A20" s="109" t="s">
        <v>7313</v>
      </c>
      <c r="B20" s="110" t="s">
        <v>7314</v>
      </c>
      <c r="C20" s="110" t="s">
        <v>7315</v>
      </c>
      <c r="D20" s="111" t="s">
        <v>7316</v>
      </c>
      <c r="E20" s="111" t="s">
        <v>7296</v>
      </c>
      <c r="F20" s="109" t="s">
        <v>344</v>
      </c>
      <c r="G20" s="112">
        <v>46300</v>
      </c>
      <c r="H20" s="109" t="s">
        <v>5722</v>
      </c>
      <c r="I20" s="109" t="s">
        <v>346</v>
      </c>
      <c r="J20" s="109"/>
      <c r="K20" s="109"/>
      <c r="L20" s="109" t="s">
        <v>346</v>
      </c>
      <c r="M20" s="109"/>
      <c r="N20" s="109"/>
      <c r="O20" s="113"/>
    </row>
    <row r="21" spans="1:17" ht="70.05" customHeight="1" outlineLevel="1">
      <c r="A21" s="109" t="s">
        <v>7317</v>
      </c>
      <c r="B21" s="110" t="s">
        <v>7318</v>
      </c>
      <c r="C21" s="110" t="s">
        <v>7319</v>
      </c>
      <c r="D21" s="111" t="s">
        <v>7320</v>
      </c>
      <c r="E21" s="111" t="s">
        <v>7296</v>
      </c>
      <c r="F21" s="109" t="s">
        <v>344</v>
      </c>
      <c r="G21" s="112">
        <v>46300</v>
      </c>
      <c r="H21" s="109" t="s">
        <v>5722</v>
      </c>
      <c r="I21" s="109" t="s">
        <v>346</v>
      </c>
      <c r="J21" s="109"/>
      <c r="K21" s="109"/>
      <c r="L21" s="109" t="s">
        <v>346</v>
      </c>
      <c r="M21" s="109"/>
      <c r="N21" s="109"/>
      <c r="O21" s="113"/>
    </row>
    <row r="22" spans="1:17" ht="70.05" customHeight="1" outlineLevel="1">
      <c r="A22" s="109" t="s">
        <v>7321</v>
      </c>
      <c r="B22" s="110" t="s">
        <v>7322</v>
      </c>
      <c r="C22" s="110" t="s">
        <v>7323</v>
      </c>
      <c r="D22" s="111" t="s">
        <v>7324</v>
      </c>
      <c r="E22" s="111" t="s">
        <v>7325</v>
      </c>
      <c r="F22" s="109" t="s">
        <v>344</v>
      </c>
      <c r="G22" s="112">
        <v>46300</v>
      </c>
      <c r="H22" s="109" t="s">
        <v>5722</v>
      </c>
      <c r="I22" s="109" t="s">
        <v>346</v>
      </c>
      <c r="J22" s="109"/>
      <c r="K22" s="109"/>
      <c r="L22" s="109" t="s">
        <v>346</v>
      </c>
      <c r="M22" s="109"/>
      <c r="N22" s="109"/>
      <c r="O22" s="113"/>
    </row>
    <row r="23" spans="1:17" ht="70.05" customHeight="1" outlineLevel="1">
      <c r="A23" s="109" t="s">
        <v>7326</v>
      </c>
      <c r="B23" s="110" t="s">
        <v>7327</v>
      </c>
      <c r="C23" s="110" t="s">
        <v>7328</v>
      </c>
      <c r="D23" s="111" t="s">
        <v>7329</v>
      </c>
      <c r="E23" s="111" t="s">
        <v>7330</v>
      </c>
      <c r="F23" s="109" t="s">
        <v>344</v>
      </c>
      <c r="G23" s="112">
        <v>46300</v>
      </c>
      <c r="H23" s="109" t="s">
        <v>5722</v>
      </c>
      <c r="I23" s="109" t="s">
        <v>346</v>
      </c>
      <c r="J23" s="109"/>
      <c r="K23" s="109"/>
      <c r="L23" s="109" t="s">
        <v>346</v>
      </c>
      <c r="M23" s="109"/>
      <c r="N23" s="109"/>
      <c r="O23" s="113"/>
    </row>
    <row r="24" spans="1:17" ht="70.05" customHeight="1" outlineLevel="1">
      <c r="A24" s="109" t="s">
        <v>7331</v>
      </c>
      <c r="B24" s="110" t="s">
        <v>7332</v>
      </c>
      <c r="C24" s="110" t="s">
        <v>7333</v>
      </c>
      <c r="D24" s="111" t="s">
        <v>7329</v>
      </c>
      <c r="E24" s="111" t="s">
        <v>7330</v>
      </c>
      <c r="F24" s="109" t="s">
        <v>344</v>
      </c>
      <c r="G24" s="112">
        <v>46300</v>
      </c>
      <c r="H24" s="109" t="s">
        <v>5722</v>
      </c>
      <c r="I24" s="109" t="s">
        <v>346</v>
      </c>
      <c r="J24" s="109"/>
      <c r="K24" s="109"/>
      <c r="L24" s="109" t="s">
        <v>346</v>
      </c>
      <c r="M24" s="109"/>
      <c r="N24" s="109"/>
      <c r="O24" s="113"/>
    </row>
    <row r="25" spans="1:17" ht="70.05" customHeight="1" outlineLevel="1">
      <c r="A25" s="109" t="s">
        <v>7334</v>
      </c>
      <c r="B25" s="110" t="s">
        <v>7335</v>
      </c>
      <c r="C25" s="110" t="s">
        <v>7336</v>
      </c>
      <c r="D25" s="111" t="s">
        <v>7329</v>
      </c>
      <c r="E25" s="111" t="s">
        <v>7337</v>
      </c>
      <c r="F25" s="109" t="s">
        <v>344</v>
      </c>
      <c r="G25" s="112">
        <v>46300</v>
      </c>
      <c r="H25" s="109" t="s">
        <v>5722</v>
      </c>
      <c r="I25" s="109" t="s">
        <v>346</v>
      </c>
      <c r="J25" s="109"/>
      <c r="K25" s="109"/>
      <c r="L25" s="109" t="s">
        <v>346</v>
      </c>
      <c r="M25" s="109"/>
      <c r="N25" s="109"/>
      <c r="O25" s="113"/>
    </row>
    <row r="26" spans="1:17" ht="70.05" customHeight="1" outlineLevel="1">
      <c r="A26" s="109" t="s">
        <v>7338</v>
      </c>
      <c r="B26" s="110" t="s">
        <v>7339</v>
      </c>
      <c r="C26" s="110" t="s">
        <v>7287</v>
      </c>
      <c r="D26" s="111" t="s">
        <v>7340</v>
      </c>
      <c r="E26" s="111" t="s">
        <v>7341</v>
      </c>
      <c r="F26" s="109" t="s">
        <v>344</v>
      </c>
      <c r="G26" s="112">
        <v>46300</v>
      </c>
      <c r="H26" s="109" t="s">
        <v>5722</v>
      </c>
      <c r="I26" s="109" t="s">
        <v>346</v>
      </c>
      <c r="J26" s="109"/>
      <c r="K26" s="109"/>
      <c r="L26" s="109" t="s">
        <v>346</v>
      </c>
      <c r="M26" s="109"/>
      <c r="N26" s="109"/>
      <c r="O26" s="113"/>
    </row>
    <row r="27" spans="1:17" ht="70.05" customHeight="1" outlineLevel="1">
      <c r="A27" s="109" t="s">
        <v>7342</v>
      </c>
      <c r="B27" s="110" t="s">
        <v>7343</v>
      </c>
      <c r="C27" s="110" t="s">
        <v>7344</v>
      </c>
      <c r="D27" s="111" t="s">
        <v>7345</v>
      </c>
      <c r="E27" s="111" t="s">
        <v>7289</v>
      </c>
      <c r="F27" s="109" t="s">
        <v>344</v>
      </c>
      <c r="G27" s="112">
        <v>46300</v>
      </c>
      <c r="H27" s="109" t="s">
        <v>5722</v>
      </c>
      <c r="I27" s="109" t="s">
        <v>346</v>
      </c>
      <c r="J27" s="109"/>
      <c r="K27" s="109"/>
      <c r="L27" s="109" t="s">
        <v>346</v>
      </c>
      <c r="M27" s="109"/>
      <c r="N27" s="109"/>
      <c r="O27" s="113"/>
    </row>
    <row r="28" spans="1:17" ht="15.75" customHeight="1">
      <c r="A28" s="60" t="s">
        <v>303</v>
      </c>
      <c r="B28" s="60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2"/>
    </row>
    <row r="29" spans="1:17" ht="70.05" customHeight="1" outlineLevel="1">
      <c r="A29" s="109" t="s">
        <v>7346</v>
      </c>
      <c r="B29" s="110" t="s">
        <v>7347</v>
      </c>
      <c r="C29" s="110" t="s">
        <v>7348</v>
      </c>
      <c r="D29" s="111" t="s">
        <v>7349</v>
      </c>
      <c r="E29" s="111" t="s">
        <v>7350</v>
      </c>
      <c r="F29" s="109" t="s">
        <v>344</v>
      </c>
      <c r="G29" s="112">
        <v>46300</v>
      </c>
      <c r="H29" s="109" t="s">
        <v>5722</v>
      </c>
      <c r="I29" s="109" t="s">
        <v>346</v>
      </c>
      <c r="J29" s="109"/>
      <c r="K29" s="109"/>
      <c r="L29" s="109" t="s">
        <v>346</v>
      </c>
      <c r="M29" s="109"/>
      <c r="N29" s="109"/>
      <c r="O29" s="113"/>
    </row>
    <row r="30" spans="1:17" ht="70.05" customHeight="1" outlineLevel="1">
      <c r="A30" s="109" t="s">
        <v>7351</v>
      </c>
      <c r="B30" s="110" t="s">
        <v>7352</v>
      </c>
      <c r="C30" s="110" t="s">
        <v>7353</v>
      </c>
      <c r="D30" s="111" t="s">
        <v>7354</v>
      </c>
      <c r="E30" s="111" t="s">
        <v>7350</v>
      </c>
      <c r="F30" s="109" t="s">
        <v>344</v>
      </c>
      <c r="G30" s="112">
        <v>46300</v>
      </c>
      <c r="H30" s="109" t="s">
        <v>5722</v>
      </c>
      <c r="I30" s="109" t="s">
        <v>346</v>
      </c>
      <c r="J30" s="109"/>
      <c r="K30" s="109"/>
      <c r="L30" s="109" t="s">
        <v>346</v>
      </c>
      <c r="M30" s="109"/>
      <c r="N30" s="109"/>
      <c r="O30" s="113"/>
    </row>
    <row r="31" spans="1:17" ht="70.05" customHeight="1" outlineLevel="1">
      <c r="A31" s="109" t="s">
        <v>7355</v>
      </c>
      <c r="B31" s="110" t="s">
        <v>7347</v>
      </c>
      <c r="C31" s="110" t="s">
        <v>7348</v>
      </c>
      <c r="D31" s="111" t="s">
        <v>7356</v>
      </c>
      <c r="E31" s="111" t="s">
        <v>7350</v>
      </c>
      <c r="F31" s="109" t="s">
        <v>344</v>
      </c>
      <c r="G31" s="112">
        <v>46300</v>
      </c>
      <c r="H31" s="109" t="s">
        <v>5722</v>
      </c>
      <c r="I31" s="109" t="s">
        <v>346</v>
      </c>
      <c r="J31" s="109"/>
      <c r="K31" s="109"/>
      <c r="L31" s="109" t="s">
        <v>346</v>
      </c>
      <c r="M31" s="109"/>
      <c r="N31" s="109"/>
      <c r="O31" s="113"/>
    </row>
    <row r="32" spans="1:17" ht="70.05" customHeight="1" outlineLevel="1">
      <c r="A32" s="109" t="s">
        <v>7357</v>
      </c>
      <c r="B32" s="110" t="s">
        <v>7358</v>
      </c>
      <c r="C32" s="110" t="s">
        <v>7359</v>
      </c>
      <c r="D32" s="111" t="s">
        <v>7360</v>
      </c>
      <c r="E32" s="111" t="s">
        <v>7361</v>
      </c>
      <c r="F32" s="109" t="s">
        <v>344</v>
      </c>
      <c r="G32" s="112">
        <v>46300</v>
      </c>
      <c r="H32" s="109" t="s">
        <v>5722</v>
      </c>
      <c r="I32" s="109" t="s">
        <v>346</v>
      </c>
      <c r="J32" s="109"/>
      <c r="K32" s="109"/>
      <c r="L32" s="109" t="s">
        <v>346</v>
      </c>
      <c r="M32" s="109"/>
      <c r="N32" s="109"/>
      <c r="O32" s="113"/>
    </row>
    <row r="33" spans="1:15" ht="70.05" customHeight="1" outlineLevel="1">
      <c r="A33" s="109" t="s">
        <v>7362</v>
      </c>
      <c r="B33" s="110" t="s">
        <v>7363</v>
      </c>
      <c r="C33" s="110" t="s">
        <v>7364</v>
      </c>
      <c r="D33" s="111" t="s">
        <v>7365</v>
      </c>
      <c r="E33" s="111" t="s">
        <v>7350</v>
      </c>
      <c r="F33" s="109" t="s">
        <v>344</v>
      </c>
      <c r="G33" s="112">
        <v>46300</v>
      </c>
      <c r="H33" s="109" t="s">
        <v>5722</v>
      </c>
      <c r="I33" s="109" t="s">
        <v>346</v>
      </c>
      <c r="J33" s="109"/>
      <c r="K33" s="109"/>
      <c r="L33" s="109" t="s">
        <v>346</v>
      </c>
      <c r="M33" s="109"/>
      <c r="N33" s="109"/>
      <c r="O33" s="113"/>
    </row>
    <row r="34" spans="1:15" ht="70.05" customHeight="1" outlineLevel="1">
      <c r="A34" s="109" t="s">
        <v>7366</v>
      </c>
      <c r="B34" s="110" t="s">
        <v>7363</v>
      </c>
      <c r="C34" s="110" t="s">
        <v>7364</v>
      </c>
      <c r="D34" s="111" t="s">
        <v>7367</v>
      </c>
      <c r="E34" s="111" t="s">
        <v>7350</v>
      </c>
      <c r="F34" s="109" t="s">
        <v>344</v>
      </c>
      <c r="G34" s="112">
        <v>46300</v>
      </c>
      <c r="H34" s="109" t="s">
        <v>5722</v>
      </c>
      <c r="I34" s="109" t="s">
        <v>346</v>
      </c>
      <c r="J34" s="109"/>
      <c r="K34" s="109"/>
      <c r="L34" s="109" t="s">
        <v>346</v>
      </c>
      <c r="M34" s="109"/>
      <c r="N34" s="109"/>
      <c r="O34" s="113"/>
    </row>
    <row r="35" spans="1:15" ht="70.05" customHeight="1" outlineLevel="1">
      <c r="A35" s="109" t="s">
        <v>7368</v>
      </c>
      <c r="B35" s="110" t="s">
        <v>7363</v>
      </c>
      <c r="C35" s="110" t="s">
        <v>7364</v>
      </c>
      <c r="D35" s="111" t="s">
        <v>7369</v>
      </c>
      <c r="E35" s="111" t="s">
        <v>7370</v>
      </c>
      <c r="F35" s="109" t="s">
        <v>344</v>
      </c>
      <c r="G35" s="112">
        <v>46300</v>
      </c>
      <c r="H35" s="109" t="s">
        <v>5722</v>
      </c>
      <c r="I35" s="109" t="s">
        <v>346</v>
      </c>
      <c r="J35" s="109"/>
      <c r="K35" s="109"/>
      <c r="L35" s="109" t="s">
        <v>346</v>
      </c>
      <c r="M35" s="109"/>
      <c r="N35" s="109"/>
      <c r="O35" s="113"/>
    </row>
    <row r="36" spans="1:15" ht="70.05" customHeight="1" outlineLevel="1">
      <c r="A36" s="109" t="s">
        <v>7371</v>
      </c>
      <c r="B36" s="110" t="s">
        <v>7372</v>
      </c>
      <c r="C36" s="110" t="s">
        <v>7373</v>
      </c>
      <c r="D36" s="111" t="s">
        <v>7374</v>
      </c>
      <c r="E36" s="111" t="s">
        <v>7350</v>
      </c>
      <c r="F36" s="109" t="s">
        <v>344</v>
      </c>
      <c r="G36" s="112">
        <v>46300</v>
      </c>
      <c r="H36" s="109" t="s">
        <v>5722</v>
      </c>
      <c r="I36" s="109" t="s">
        <v>346</v>
      </c>
      <c r="J36" s="109"/>
      <c r="K36" s="109"/>
      <c r="L36" s="109" t="s">
        <v>346</v>
      </c>
      <c r="M36" s="109"/>
      <c r="N36" s="109"/>
      <c r="O36" s="113"/>
    </row>
    <row r="37" spans="1:15" ht="70.05" customHeight="1" outlineLevel="1">
      <c r="A37" s="109" t="s">
        <v>7375</v>
      </c>
      <c r="B37" s="110" t="s">
        <v>7376</v>
      </c>
      <c r="C37" s="110" t="s">
        <v>7377</v>
      </c>
      <c r="D37" s="111" t="s">
        <v>7374</v>
      </c>
      <c r="E37" s="111" t="s">
        <v>7350</v>
      </c>
      <c r="F37" s="109" t="s">
        <v>344</v>
      </c>
      <c r="G37" s="112">
        <v>46300</v>
      </c>
      <c r="H37" s="109" t="s">
        <v>5722</v>
      </c>
      <c r="I37" s="109" t="s">
        <v>346</v>
      </c>
      <c r="J37" s="109"/>
      <c r="K37" s="109"/>
      <c r="L37" s="109" t="s">
        <v>346</v>
      </c>
      <c r="M37" s="109"/>
      <c r="N37" s="109"/>
      <c r="O37" s="113"/>
    </row>
    <row r="38" spans="1:15" ht="70.05" customHeight="1" outlineLevel="1">
      <c r="A38" s="109" t="s">
        <v>7378</v>
      </c>
      <c r="B38" s="110" t="s">
        <v>7379</v>
      </c>
      <c r="C38" s="110" t="s">
        <v>7380</v>
      </c>
      <c r="D38" s="111" t="s">
        <v>7381</v>
      </c>
      <c r="E38" s="111" t="s">
        <v>7382</v>
      </c>
      <c r="F38" s="109" t="s">
        <v>344</v>
      </c>
      <c r="G38" s="112">
        <v>46300</v>
      </c>
      <c r="H38" s="109" t="s">
        <v>5722</v>
      </c>
      <c r="I38" s="109" t="s">
        <v>346</v>
      </c>
      <c r="J38" s="109"/>
      <c r="K38" s="109"/>
      <c r="L38" s="109" t="s">
        <v>346</v>
      </c>
      <c r="M38" s="109"/>
      <c r="N38" s="109"/>
      <c r="O38" s="113"/>
    </row>
    <row r="39" spans="1:15" ht="70.05" customHeight="1" outlineLevel="1">
      <c r="A39" s="109" t="s">
        <v>7383</v>
      </c>
      <c r="B39" s="110" t="s">
        <v>7384</v>
      </c>
      <c r="C39" s="110" t="s">
        <v>7385</v>
      </c>
      <c r="D39" s="111" t="s">
        <v>7386</v>
      </c>
      <c r="E39" s="111" t="s">
        <v>7382</v>
      </c>
      <c r="F39" s="109" t="s">
        <v>344</v>
      </c>
      <c r="G39" s="112">
        <v>46300</v>
      </c>
      <c r="H39" s="109" t="s">
        <v>5722</v>
      </c>
      <c r="I39" s="109" t="s">
        <v>346</v>
      </c>
      <c r="J39" s="109"/>
      <c r="K39" s="109"/>
      <c r="L39" s="109" t="s">
        <v>346</v>
      </c>
      <c r="M39" s="109"/>
      <c r="N39" s="109"/>
      <c r="O39" s="113"/>
    </row>
    <row r="40" spans="1:15" ht="70.05" customHeight="1" outlineLevel="1">
      <c r="A40" s="109" t="s">
        <v>7387</v>
      </c>
      <c r="B40" s="110" t="s">
        <v>7388</v>
      </c>
      <c r="C40" s="110" t="s">
        <v>7389</v>
      </c>
      <c r="D40" s="111" t="s">
        <v>7390</v>
      </c>
      <c r="E40" s="111" t="s">
        <v>7391</v>
      </c>
      <c r="F40" s="109" t="s">
        <v>344</v>
      </c>
      <c r="G40" s="112">
        <v>46300</v>
      </c>
      <c r="H40" s="109" t="s">
        <v>5722</v>
      </c>
      <c r="I40" s="109" t="s">
        <v>346</v>
      </c>
      <c r="J40" s="109"/>
      <c r="K40" s="109"/>
      <c r="L40" s="109" t="s">
        <v>346</v>
      </c>
      <c r="M40" s="109"/>
      <c r="N40" s="109"/>
      <c r="O40" s="113"/>
    </row>
    <row r="41" spans="1:15" ht="70.05" customHeight="1" outlineLevel="1">
      <c r="A41" s="109" t="s">
        <v>7392</v>
      </c>
      <c r="B41" s="110" t="s">
        <v>7393</v>
      </c>
      <c r="C41" s="110" t="s">
        <v>7394</v>
      </c>
      <c r="D41" s="111" t="s">
        <v>7395</v>
      </c>
      <c r="E41" s="111" t="s">
        <v>7396</v>
      </c>
      <c r="F41" s="109" t="s">
        <v>344</v>
      </c>
      <c r="G41" s="112">
        <v>46300</v>
      </c>
      <c r="H41" s="109" t="s">
        <v>5722</v>
      </c>
      <c r="I41" s="109" t="s">
        <v>346</v>
      </c>
      <c r="J41" s="109"/>
      <c r="K41" s="109"/>
      <c r="L41" s="109" t="s">
        <v>346</v>
      </c>
      <c r="M41" s="109"/>
      <c r="N41" s="109"/>
      <c r="O41" s="113"/>
    </row>
    <row r="42" spans="1:15" ht="70.05" customHeight="1" outlineLevel="1">
      <c r="A42" s="109" t="s">
        <v>7397</v>
      </c>
      <c r="B42" s="110" t="s">
        <v>7398</v>
      </c>
      <c r="C42" s="110" t="s">
        <v>7399</v>
      </c>
      <c r="D42" s="111" t="s">
        <v>7390</v>
      </c>
      <c r="E42" s="111" t="s">
        <v>7391</v>
      </c>
      <c r="F42" s="109" t="s">
        <v>344</v>
      </c>
      <c r="G42" s="112">
        <v>46300</v>
      </c>
      <c r="H42" s="109" t="s">
        <v>5722</v>
      </c>
      <c r="I42" s="109" t="s">
        <v>346</v>
      </c>
      <c r="J42" s="109"/>
      <c r="K42" s="109"/>
      <c r="L42" s="109" t="s">
        <v>346</v>
      </c>
      <c r="M42" s="109"/>
      <c r="N42" s="109"/>
      <c r="O42" s="113"/>
    </row>
    <row r="43" spans="1:15" ht="70.05" customHeight="1" outlineLevel="1">
      <c r="A43" s="109" t="s">
        <v>7400</v>
      </c>
      <c r="B43" s="110" t="s">
        <v>7401</v>
      </c>
      <c r="C43" s="110" t="s">
        <v>7402</v>
      </c>
      <c r="D43" s="111" t="s">
        <v>7403</v>
      </c>
      <c r="E43" s="111" t="s">
        <v>7404</v>
      </c>
      <c r="F43" s="109" t="s">
        <v>344</v>
      </c>
      <c r="G43" s="112">
        <v>46300</v>
      </c>
      <c r="H43" s="109" t="s">
        <v>5722</v>
      </c>
      <c r="I43" s="109" t="s">
        <v>346</v>
      </c>
      <c r="J43" s="109"/>
      <c r="K43" s="109"/>
      <c r="L43" s="109" t="s">
        <v>346</v>
      </c>
      <c r="M43" s="109"/>
      <c r="N43" s="109"/>
      <c r="O43" s="113"/>
    </row>
    <row r="44" spans="1:15" ht="70.05" customHeight="1" outlineLevel="1">
      <c r="A44" s="109" t="s">
        <v>7405</v>
      </c>
      <c r="B44" s="110" t="s">
        <v>7406</v>
      </c>
      <c r="C44" s="110" t="s">
        <v>7407</v>
      </c>
      <c r="D44" s="111" t="s">
        <v>7340</v>
      </c>
      <c r="E44" s="111" t="s">
        <v>7341</v>
      </c>
      <c r="F44" s="109" t="s">
        <v>344</v>
      </c>
      <c r="G44" s="112">
        <v>46300</v>
      </c>
      <c r="H44" s="109" t="s">
        <v>5722</v>
      </c>
      <c r="I44" s="109" t="s">
        <v>346</v>
      </c>
      <c r="J44" s="109"/>
      <c r="K44" s="109"/>
      <c r="L44" s="109" t="s">
        <v>346</v>
      </c>
      <c r="M44" s="109"/>
      <c r="N44" s="109"/>
      <c r="O44" s="113"/>
    </row>
    <row r="45" spans="1:15" ht="15.75" customHeight="1">
      <c r="A45" s="60" t="s">
        <v>305</v>
      </c>
      <c r="B45" s="60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2"/>
    </row>
    <row r="46" spans="1:15" ht="70.05" customHeight="1" outlineLevel="1">
      <c r="A46" s="109" t="s">
        <v>7408</v>
      </c>
      <c r="B46" s="110" t="s">
        <v>7409</v>
      </c>
      <c r="C46" s="110" t="s">
        <v>7410</v>
      </c>
      <c r="D46" s="111" t="s">
        <v>7411</v>
      </c>
      <c r="E46" s="111" t="s">
        <v>7412</v>
      </c>
      <c r="F46" s="109" t="s">
        <v>346</v>
      </c>
      <c r="G46" s="109"/>
      <c r="H46" s="109"/>
      <c r="I46" s="109" t="s">
        <v>346</v>
      </c>
      <c r="J46" s="109"/>
      <c r="K46" s="109"/>
      <c r="L46" s="109" t="s">
        <v>346</v>
      </c>
      <c r="M46" s="109"/>
      <c r="N46" s="109"/>
      <c r="O46" s="113" t="s">
        <v>2816</v>
      </c>
    </row>
    <row r="47" spans="1:15" ht="70.05" customHeight="1" outlineLevel="1">
      <c r="A47" s="109" t="s">
        <v>7413</v>
      </c>
      <c r="B47" s="110" t="s">
        <v>7414</v>
      </c>
      <c r="C47" s="110" t="s">
        <v>7415</v>
      </c>
      <c r="D47" s="111" t="s">
        <v>7411</v>
      </c>
      <c r="E47" s="111" t="s">
        <v>7330</v>
      </c>
      <c r="F47" s="109" t="s">
        <v>346</v>
      </c>
      <c r="G47" s="109"/>
      <c r="H47" s="109"/>
      <c r="I47" s="109" t="s">
        <v>346</v>
      </c>
      <c r="J47" s="109"/>
      <c r="K47" s="109"/>
      <c r="L47" s="109" t="s">
        <v>346</v>
      </c>
      <c r="M47" s="109"/>
      <c r="N47" s="109"/>
      <c r="O47" s="113" t="s">
        <v>2816</v>
      </c>
    </row>
    <row r="48" spans="1:15" ht="70.05" customHeight="1" outlineLevel="1">
      <c r="A48" s="109" t="s">
        <v>7416</v>
      </c>
      <c r="B48" s="110" t="s">
        <v>7417</v>
      </c>
      <c r="C48" s="110" t="s">
        <v>7418</v>
      </c>
      <c r="D48" s="111" t="s">
        <v>7419</v>
      </c>
      <c r="E48" s="111" t="s">
        <v>7412</v>
      </c>
      <c r="F48" s="109" t="s">
        <v>346</v>
      </c>
      <c r="G48" s="109"/>
      <c r="H48" s="109"/>
      <c r="I48" s="109" t="s">
        <v>346</v>
      </c>
      <c r="J48" s="109"/>
      <c r="K48" s="109"/>
      <c r="L48" s="109" t="s">
        <v>346</v>
      </c>
      <c r="M48" s="109"/>
      <c r="N48" s="109"/>
      <c r="O48" s="113" t="s">
        <v>2816</v>
      </c>
    </row>
    <row r="49" spans="1:15" ht="70.05" customHeight="1" outlineLevel="1">
      <c r="A49" s="109" t="s">
        <v>7420</v>
      </c>
      <c r="B49" s="110" t="s">
        <v>7421</v>
      </c>
      <c r="C49" s="110" t="s">
        <v>7422</v>
      </c>
      <c r="D49" s="111" t="s">
        <v>7423</v>
      </c>
      <c r="E49" s="111" t="s">
        <v>7424</v>
      </c>
      <c r="F49" s="109" t="s">
        <v>346</v>
      </c>
      <c r="G49" s="109"/>
      <c r="H49" s="109"/>
      <c r="I49" s="109" t="s">
        <v>346</v>
      </c>
      <c r="J49" s="109"/>
      <c r="K49" s="109"/>
      <c r="L49" s="109" t="s">
        <v>346</v>
      </c>
      <c r="M49" s="109"/>
      <c r="N49" s="109"/>
      <c r="O49" s="113" t="s">
        <v>2816</v>
      </c>
    </row>
    <row r="50" spans="1:15" ht="70.05" customHeight="1" outlineLevel="1">
      <c r="A50" s="109" t="s">
        <v>7425</v>
      </c>
      <c r="B50" s="110" t="s">
        <v>7426</v>
      </c>
      <c r="C50" s="110" t="s">
        <v>7427</v>
      </c>
      <c r="D50" s="111" t="s">
        <v>7428</v>
      </c>
      <c r="E50" s="111" t="s">
        <v>7424</v>
      </c>
      <c r="F50" s="109" t="s">
        <v>346</v>
      </c>
      <c r="G50" s="109"/>
      <c r="H50" s="109"/>
      <c r="I50" s="109" t="s">
        <v>346</v>
      </c>
      <c r="J50" s="109"/>
      <c r="K50" s="109"/>
      <c r="L50" s="109" t="s">
        <v>346</v>
      </c>
      <c r="M50" s="109"/>
      <c r="N50" s="109"/>
      <c r="O50" s="113" t="s">
        <v>2816</v>
      </c>
    </row>
    <row r="51" spans="1:15" ht="70.05" customHeight="1" outlineLevel="1">
      <c r="A51" s="109" t="s">
        <v>7429</v>
      </c>
      <c r="B51" s="110" t="s">
        <v>7430</v>
      </c>
      <c r="C51" s="110" t="s">
        <v>7431</v>
      </c>
      <c r="D51" s="111" t="s">
        <v>7432</v>
      </c>
      <c r="E51" s="111" t="s">
        <v>7433</v>
      </c>
      <c r="F51" s="109" t="s">
        <v>346</v>
      </c>
      <c r="G51" s="109"/>
      <c r="H51" s="109"/>
      <c r="I51" s="109" t="s">
        <v>346</v>
      </c>
      <c r="J51" s="109"/>
      <c r="K51" s="109"/>
      <c r="L51" s="109" t="s">
        <v>346</v>
      </c>
      <c r="M51" s="109"/>
      <c r="N51" s="109"/>
      <c r="O51" s="113" t="s">
        <v>2816</v>
      </c>
    </row>
    <row r="52" spans="1:15" ht="70.05" customHeight="1" outlineLevel="1">
      <c r="A52" s="109" t="s">
        <v>7434</v>
      </c>
      <c r="B52" s="110" t="s">
        <v>7435</v>
      </c>
      <c r="C52" s="110" t="s">
        <v>7436</v>
      </c>
      <c r="D52" s="111" t="s">
        <v>7437</v>
      </c>
      <c r="E52" s="111" t="s">
        <v>7438</v>
      </c>
      <c r="F52" s="109" t="s">
        <v>346</v>
      </c>
      <c r="G52" s="109"/>
      <c r="H52" s="109"/>
      <c r="I52" s="109" t="s">
        <v>346</v>
      </c>
      <c r="J52" s="109"/>
      <c r="K52" s="109"/>
      <c r="L52" s="109" t="s">
        <v>346</v>
      </c>
      <c r="M52" s="109"/>
      <c r="N52" s="109"/>
      <c r="O52" s="113" t="s">
        <v>2816</v>
      </c>
    </row>
    <row r="53" spans="1:15" ht="70.05" customHeight="1" outlineLevel="1">
      <c r="A53" s="109" t="s">
        <v>7439</v>
      </c>
      <c r="B53" s="110" t="s">
        <v>7440</v>
      </c>
      <c r="C53" s="110" t="s">
        <v>7441</v>
      </c>
      <c r="D53" s="111" t="s">
        <v>7442</v>
      </c>
      <c r="E53" s="111" t="s">
        <v>7330</v>
      </c>
      <c r="F53" s="109" t="s">
        <v>346</v>
      </c>
      <c r="G53" s="109"/>
      <c r="H53" s="109"/>
      <c r="I53" s="109" t="s">
        <v>346</v>
      </c>
      <c r="J53" s="109"/>
      <c r="K53" s="109"/>
      <c r="L53" s="109" t="s">
        <v>346</v>
      </c>
      <c r="M53" s="109"/>
      <c r="N53" s="109"/>
      <c r="O53" s="113" t="s">
        <v>2816</v>
      </c>
    </row>
    <row r="54" spans="1:15" ht="70.05" customHeight="1" outlineLevel="1">
      <c r="A54" s="109" t="s">
        <v>7443</v>
      </c>
      <c r="B54" s="110" t="s">
        <v>7444</v>
      </c>
      <c r="C54" s="110" t="s">
        <v>7445</v>
      </c>
      <c r="D54" s="111" t="s">
        <v>7446</v>
      </c>
      <c r="E54" s="111" t="s">
        <v>7412</v>
      </c>
      <c r="F54" s="109" t="s">
        <v>346</v>
      </c>
      <c r="G54" s="109"/>
      <c r="H54" s="109"/>
      <c r="I54" s="109" t="s">
        <v>346</v>
      </c>
      <c r="J54" s="109"/>
      <c r="K54" s="109"/>
      <c r="L54" s="109" t="s">
        <v>346</v>
      </c>
      <c r="M54" s="109"/>
      <c r="N54" s="109"/>
      <c r="O54" s="113" t="s">
        <v>2816</v>
      </c>
    </row>
    <row r="55" spans="1:15" ht="70.05" customHeight="1" outlineLevel="1">
      <c r="A55" s="109" t="s">
        <v>7447</v>
      </c>
      <c r="B55" s="110" t="s">
        <v>7448</v>
      </c>
      <c r="C55" s="110" t="s">
        <v>7449</v>
      </c>
      <c r="D55" s="111" t="s">
        <v>7450</v>
      </c>
      <c r="E55" s="111" t="s">
        <v>7424</v>
      </c>
      <c r="F55" s="109" t="s">
        <v>346</v>
      </c>
      <c r="G55" s="109"/>
      <c r="H55" s="109"/>
      <c r="I55" s="109" t="s">
        <v>346</v>
      </c>
      <c r="J55" s="109"/>
      <c r="K55" s="109"/>
      <c r="L55" s="109" t="s">
        <v>346</v>
      </c>
      <c r="M55" s="109"/>
      <c r="N55" s="109"/>
      <c r="O55" s="113" t="s">
        <v>2816</v>
      </c>
    </row>
    <row r="56" spans="1:15" ht="70.05" customHeight="1" outlineLevel="1">
      <c r="A56" s="109" t="s">
        <v>7451</v>
      </c>
      <c r="B56" s="110" t="s">
        <v>7452</v>
      </c>
      <c r="C56" s="110" t="s">
        <v>7453</v>
      </c>
      <c r="D56" s="111" t="s">
        <v>7454</v>
      </c>
      <c r="E56" s="111" t="s">
        <v>7330</v>
      </c>
      <c r="F56" s="109" t="s">
        <v>346</v>
      </c>
      <c r="G56" s="109"/>
      <c r="H56" s="109"/>
      <c r="I56" s="109" t="s">
        <v>346</v>
      </c>
      <c r="J56" s="109"/>
      <c r="K56" s="109"/>
      <c r="L56" s="109" t="s">
        <v>346</v>
      </c>
      <c r="M56" s="109"/>
      <c r="N56" s="109"/>
      <c r="O56" s="113" t="s">
        <v>2816</v>
      </c>
    </row>
    <row r="57" spans="1:15" ht="70.05" customHeight="1" outlineLevel="1">
      <c r="A57" s="109" t="s">
        <v>7455</v>
      </c>
      <c r="B57" s="110" t="s">
        <v>7456</v>
      </c>
      <c r="C57" s="110" t="s">
        <v>7457</v>
      </c>
      <c r="D57" s="111" t="s">
        <v>7458</v>
      </c>
      <c r="E57" s="111" t="s">
        <v>7330</v>
      </c>
      <c r="F57" s="109" t="s">
        <v>346</v>
      </c>
      <c r="G57" s="109"/>
      <c r="H57" s="109"/>
      <c r="I57" s="109" t="s">
        <v>346</v>
      </c>
      <c r="J57" s="109"/>
      <c r="K57" s="109"/>
      <c r="L57" s="109" t="s">
        <v>346</v>
      </c>
      <c r="M57" s="109"/>
      <c r="N57" s="109"/>
      <c r="O57" s="113" t="s">
        <v>2816</v>
      </c>
    </row>
    <row r="58" spans="1:15" ht="70.05" customHeight="1" outlineLevel="1">
      <c r="A58" s="109" t="s">
        <v>7459</v>
      </c>
      <c r="B58" s="110" t="s">
        <v>7460</v>
      </c>
      <c r="C58" s="110" t="s">
        <v>7461</v>
      </c>
      <c r="D58" s="111" t="s">
        <v>7329</v>
      </c>
      <c r="E58" s="111" t="s">
        <v>7330</v>
      </c>
      <c r="F58" s="109" t="s">
        <v>346</v>
      </c>
      <c r="G58" s="109"/>
      <c r="H58" s="109"/>
      <c r="I58" s="109" t="s">
        <v>346</v>
      </c>
      <c r="J58" s="109"/>
      <c r="K58" s="109"/>
      <c r="L58" s="109" t="s">
        <v>346</v>
      </c>
      <c r="M58" s="109"/>
      <c r="N58" s="109"/>
      <c r="O58" s="113" t="s">
        <v>2816</v>
      </c>
    </row>
    <row r="59" spans="1:15" ht="70.05" customHeight="1" outlineLevel="1">
      <c r="A59" s="109" t="s">
        <v>7462</v>
      </c>
      <c r="B59" s="110" t="s">
        <v>7463</v>
      </c>
      <c r="C59" s="110" t="s">
        <v>7464</v>
      </c>
      <c r="D59" s="111" t="s">
        <v>7465</v>
      </c>
      <c r="E59" s="111" t="s">
        <v>7466</v>
      </c>
      <c r="F59" s="109" t="s">
        <v>346</v>
      </c>
      <c r="G59" s="109"/>
      <c r="H59" s="109"/>
      <c r="I59" s="109" t="s">
        <v>346</v>
      </c>
      <c r="J59" s="109"/>
      <c r="K59" s="109"/>
      <c r="L59" s="109" t="s">
        <v>346</v>
      </c>
      <c r="M59" s="109"/>
      <c r="N59" s="109"/>
      <c r="O59" s="113" t="s">
        <v>2816</v>
      </c>
    </row>
    <row r="60" spans="1:15" ht="70.05" customHeight="1" outlineLevel="1">
      <c r="A60" s="109" t="s">
        <v>7467</v>
      </c>
      <c r="B60" s="110" t="s">
        <v>7468</v>
      </c>
      <c r="C60" s="110" t="s">
        <v>7469</v>
      </c>
      <c r="D60" s="111" t="s">
        <v>7470</v>
      </c>
      <c r="E60" s="111" t="s">
        <v>7330</v>
      </c>
      <c r="F60" s="109" t="s">
        <v>346</v>
      </c>
      <c r="G60" s="109"/>
      <c r="H60" s="109"/>
      <c r="I60" s="109" t="s">
        <v>346</v>
      </c>
      <c r="J60" s="109"/>
      <c r="K60" s="109"/>
      <c r="L60" s="109" t="s">
        <v>346</v>
      </c>
      <c r="M60" s="109"/>
      <c r="N60" s="109"/>
      <c r="O60" s="113" t="s">
        <v>2816</v>
      </c>
    </row>
    <row r="61" spans="1:15" ht="70.05" customHeight="1" outlineLevel="1">
      <c r="A61" s="109" t="s">
        <v>7471</v>
      </c>
      <c r="B61" s="110" t="s">
        <v>7472</v>
      </c>
      <c r="C61" s="110" t="s">
        <v>7473</v>
      </c>
      <c r="D61" s="111" t="s">
        <v>7474</v>
      </c>
      <c r="E61" s="111" t="s">
        <v>7424</v>
      </c>
      <c r="F61" s="109" t="s">
        <v>346</v>
      </c>
      <c r="G61" s="109"/>
      <c r="H61" s="109"/>
      <c r="I61" s="109" t="s">
        <v>346</v>
      </c>
      <c r="J61" s="109"/>
      <c r="K61" s="109"/>
      <c r="L61" s="109" t="s">
        <v>346</v>
      </c>
      <c r="M61" s="109"/>
      <c r="N61" s="109"/>
      <c r="O61" s="113" t="s">
        <v>2816</v>
      </c>
    </row>
    <row r="62" spans="1:15" ht="70.05" customHeight="1" outlineLevel="1">
      <c r="A62" s="109" t="s">
        <v>7475</v>
      </c>
      <c r="B62" s="110" t="s">
        <v>7476</v>
      </c>
      <c r="C62" s="110" t="s">
        <v>7410</v>
      </c>
      <c r="D62" s="111" t="s">
        <v>7340</v>
      </c>
      <c r="E62" s="111" t="s">
        <v>7341</v>
      </c>
      <c r="F62" s="109" t="s">
        <v>346</v>
      </c>
      <c r="G62" s="109"/>
      <c r="H62" s="109"/>
      <c r="I62" s="109" t="s">
        <v>346</v>
      </c>
      <c r="J62" s="109"/>
      <c r="K62" s="109"/>
      <c r="L62" s="109" t="s">
        <v>346</v>
      </c>
      <c r="M62" s="109"/>
      <c r="N62" s="109"/>
      <c r="O62" s="113" t="s">
        <v>2816</v>
      </c>
    </row>
    <row r="63" spans="1:15" ht="15.75" customHeight="1">
      <c r="A63" s="60" t="s">
        <v>307</v>
      </c>
      <c r="B63" s="60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2"/>
    </row>
    <row r="64" spans="1:15" ht="70.05" customHeight="1" outlineLevel="1">
      <c r="A64" s="109" t="s">
        <v>7477</v>
      </c>
      <c r="B64" s="110" t="s">
        <v>7478</v>
      </c>
      <c r="C64" s="110" t="s">
        <v>7479</v>
      </c>
      <c r="D64" s="111" t="s">
        <v>7480</v>
      </c>
      <c r="E64" s="111" t="s">
        <v>7481</v>
      </c>
      <c r="F64" s="109" t="s">
        <v>346</v>
      </c>
      <c r="G64" s="109"/>
      <c r="H64" s="109"/>
      <c r="I64" s="109" t="s">
        <v>346</v>
      </c>
      <c r="J64" s="109"/>
      <c r="K64" s="109"/>
      <c r="L64" s="109" t="s">
        <v>346</v>
      </c>
      <c r="M64" s="109"/>
      <c r="N64" s="109"/>
      <c r="O64" s="113" t="s">
        <v>2816</v>
      </c>
    </row>
    <row r="65" spans="1:15" ht="70.05" customHeight="1" outlineLevel="1">
      <c r="A65" s="109" t="s">
        <v>7482</v>
      </c>
      <c r="B65" s="110" t="s">
        <v>7483</v>
      </c>
      <c r="C65" s="110" t="s">
        <v>7484</v>
      </c>
      <c r="D65" s="111" t="s">
        <v>7485</v>
      </c>
      <c r="E65" s="111" t="s">
        <v>7481</v>
      </c>
      <c r="F65" s="109" t="s">
        <v>346</v>
      </c>
      <c r="G65" s="109"/>
      <c r="H65" s="109"/>
      <c r="I65" s="109" t="s">
        <v>346</v>
      </c>
      <c r="J65" s="109"/>
      <c r="K65" s="109"/>
      <c r="L65" s="109" t="s">
        <v>346</v>
      </c>
      <c r="M65" s="109"/>
      <c r="N65" s="109"/>
      <c r="O65" s="113" t="s">
        <v>2816</v>
      </c>
    </row>
    <row r="66" spans="1:15" ht="70.05" customHeight="1" outlineLevel="1">
      <c r="A66" s="109" t="s">
        <v>7486</v>
      </c>
      <c r="B66" s="110" t="s">
        <v>7487</v>
      </c>
      <c r="C66" s="110" t="s">
        <v>7488</v>
      </c>
      <c r="D66" s="111" t="s">
        <v>7489</v>
      </c>
      <c r="E66" s="111" t="s">
        <v>7481</v>
      </c>
      <c r="F66" s="109" t="s">
        <v>346</v>
      </c>
      <c r="G66" s="109"/>
      <c r="H66" s="109"/>
      <c r="I66" s="109" t="s">
        <v>346</v>
      </c>
      <c r="J66" s="109"/>
      <c r="K66" s="109"/>
      <c r="L66" s="109" t="s">
        <v>346</v>
      </c>
      <c r="M66" s="109"/>
      <c r="N66" s="109"/>
      <c r="O66" s="113" t="s">
        <v>2816</v>
      </c>
    </row>
    <row r="67" spans="1:15" ht="70.05" customHeight="1" outlineLevel="1">
      <c r="A67" s="109" t="s">
        <v>7490</v>
      </c>
      <c r="B67" s="110" t="s">
        <v>7491</v>
      </c>
      <c r="C67" s="110" t="s">
        <v>7492</v>
      </c>
      <c r="D67" s="111" t="s">
        <v>7493</v>
      </c>
      <c r="E67" s="111" t="s">
        <v>7481</v>
      </c>
      <c r="F67" s="109" t="s">
        <v>346</v>
      </c>
      <c r="G67" s="109"/>
      <c r="H67" s="109"/>
      <c r="I67" s="109" t="s">
        <v>346</v>
      </c>
      <c r="J67" s="109"/>
      <c r="K67" s="109"/>
      <c r="L67" s="109" t="s">
        <v>346</v>
      </c>
      <c r="M67" s="109"/>
      <c r="N67" s="109"/>
      <c r="O67" s="113" t="s">
        <v>2816</v>
      </c>
    </row>
    <row r="68" spans="1:15" ht="70.05" customHeight="1" outlineLevel="1">
      <c r="A68" s="109" t="s">
        <v>7494</v>
      </c>
      <c r="B68" s="110" t="s">
        <v>7495</v>
      </c>
      <c r="C68" s="110" t="s">
        <v>7496</v>
      </c>
      <c r="D68" s="111" t="s">
        <v>7497</v>
      </c>
      <c r="E68" s="111" t="s">
        <v>7481</v>
      </c>
      <c r="F68" s="109" t="s">
        <v>346</v>
      </c>
      <c r="G68" s="109"/>
      <c r="H68" s="109"/>
      <c r="I68" s="109" t="s">
        <v>346</v>
      </c>
      <c r="J68" s="109"/>
      <c r="K68" s="109"/>
      <c r="L68" s="109" t="s">
        <v>346</v>
      </c>
      <c r="M68" s="109"/>
      <c r="N68" s="109"/>
      <c r="O68" s="113" t="s">
        <v>2816</v>
      </c>
    </row>
    <row r="69" spans="1:15" ht="70.05" customHeight="1" outlineLevel="1">
      <c r="A69" s="109" t="s">
        <v>7498</v>
      </c>
      <c r="B69" s="110" t="s">
        <v>7499</v>
      </c>
      <c r="C69" s="110" t="s">
        <v>7500</v>
      </c>
      <c r="D69" s="111" t="s">
        <v>7501</v>
      </c>
      <c r="E69" s="111" t="s">
        <v>7481</v>
      </c>
      <c r="F69" s="109" t="s">
        <v>346</v>
      </c>
      <c r="G69" s="109"/>
      <c r="H69" s="109"/>
      <c r="I69" s="109" t="s">
        <v>346</v>
      </c>
      <c r="J69" s="109"/>
      <c r="K69" s="109"/>
      <c r="L69" s="109" t="s">
        <v>346</v>
      </c>
      <c r="M69" s="109"/>
      <c r="N69" s="109"/>
      <c r="O69" s="113" t="s">
        <v>2816</v>
      </c>
    </row>
    <row r="70" spans="1:15" ht="70.05" customHeight="1" outlineLevel="1">
      <c r="A70" s="109" t="s">
        <v>7502</v>
      </c>
      <c r="B70" s="110" t="s">
        <v>7503</v>
      </c>
      <c r="C70" s="110" t="s">
        <v>7504</v>
      </c>
      <c r="D70" s="111" t="s">
        <v>7505</v>
      </c>
      <c r="E70" s="111" t="s">
        <v>7506</v>
      </c>
      <c r="F70" s="109" t="s">
        <v>346</v>
      </c>
      <c r="G70" s="109"/>
      <c r="H70" s="109"/>
      <c r="I70" s="109" t="s">
        <v>346</v>
      </c>
      <c r="J70" s="109"/>
      <c r="K70" s="109"/>
      <c r="L70" s="109" t="s">
        <v>346</v>
      </c>
      <c r="M70" s="109"/>
      <c r="N70" s="109"/>
      <c r="O70" s="113" t="s">
        <v>2816</v>
      </c>
    </row>
    <row r="71" spans="1:15" ht="70.05" customHeight="1" outlineLevel="1">
      <c r="A71" s="109" t="s">
        <v>7507</v>
      </c>
      <c r="B71" s="110" t="s">
        <v>7508</v>
      </c>
      <c r="C71" s="110" t="s">
        <v>7509</v>
      </c>
      <c r="D71" s="111" t="s">
        <v>3478</v>
      </c>
      <c r="E71" s="111" t="s">
        <v>7510</v>
      </c>
      <c r="F71" s="109" t="s">
        <v>346</v>
      </c>
      <c r="G71" s="109"/>
      <c r="H71" s="109"/>
      <c r="I71" s="109" t="s">
        <v>346</v>
      </c>
      <c r="J71" s="109"/>
      <c r="K71" s="109"/>
      <c r="L71" s="109" t="s">
        <v>346</v>
      </c>
      <c r="M71" s="109"/>
      <c r="N71" s="109"/>
      <c r="O71" s="113" t="s">
        <v>2816</v>
      </c>
    </row>
    <row r="72" spans="1:15" ht="70.05" customHeight="1" outlineLevel="1">
      <c r="A72" s="109" t="s">
        <v>7511</v>
      </c>
      <c r="B72" s="110" t="s">
        <v>7512</v>
      </c>
      <c r="C72" s="110" t="s">
        <v>7513</v>
      </c>
      <c r="D72" s="111" t="s">
        <v>7514</v>
      </c>
      <c r="E72" s="111" t="s">
        <v>7481</v>
      </c>
      <c r="F72" s="109" t="s">
        <v>346</v>
      </c>
      <c r="G72" s="109"/>
      <c r="H72" s="109"/>
      <c r="I72" s="109" t="s">
        <v>346</v>
      </c>
      <c r="J72" s="109"/>
      <c r="K72" s="109"/>
      <c r="L72" s="109" t="s">
        <v>346</v>
      </c>
      <c r="M72" s="109"/>
      <c r="N72" s="109"/>
      <c r="O72" s="113" t="s">
        <v>2816</v>
      </c>
    </row>
    <row r="73" spans="1:15" ht="70.05" customHeight="1" outlineLevel="1">
      <c r="A73" s="109" t="s">
        <v>7515</v>
      </c>
      <c r="B73" s="110" t="s">
        <v>7516</v>
      </c>
      <c r="C73" s="110" t="s">
        <v>7517</v>
      </c>
      <c r="D73" s="111" t="s">
        <v>7518</v>
      </c>
      <c r="E73" s="111" t="s">
        <v>7481</v>
      </c>
      <c r="F73" s="109" t="s">
        <v>346</v>
      </c>
      <c r="G73" s="109"/>
      <c r="H73" s="109"/>
      <c r="I73" s="109" t="s">
        <v>346</v>
      </c>
      <c r="J73" s="109"/>
      <c r="K73" s="109"/>
      <c r="L73" s="109" t="s">
        <v>346</v>
      </c>
      <c r="M73" s="109"/>
      <c r="N73" s="109"/>
      <c r="O73" s="113" t="s">
        <v>2816</v>
      </c>
    </row>
    <row r="74" spans="1:15" ht="70.05" customHeight="1" outlineLevel="1">
      <c r="A74" s="109" t="s">
        <v>7519</v>
      </c>
      <c r="B74" s="110" t="s">
        <v>7520</v>
      </c>
      <c r="C74" s="110" t="s">
        <v>7521</v>
      </c>
      <c r="D74" s="111" t="s">
        <v>7522</v>
      </c>
      <c r="E74" s="111" t="s">
        <v>7481</v>
      </c>
      <c r="F74" s="109" t="s">
        <v>346</v>
      </c>
      <c r="G74" s="109"/>
      <c r="H74" s="109"/>
      <c r="I74" s="109" t="s">
        <v>346</v>
      </c>
      <c r="J74" s="109"/>
      <c r="K74" s="109"/>
      <c r="L74" s="109" t="s">
        <v>346</v>
      </c>
      <c r="M74" s="109"/>
      <c r="N74" s="109"/>
      <c r="O74" s="113" t="s">
        <v>2816</v>
      </c>
    </row>
    <row r="75" spans="1:15" ht="70.05" customHeight="1" outlineLevel="1">
      <c r="A75" s="109" t="s">
        <v>7523</v>
      </c>
      <c r="B75" s="110" t="s">
        <v>7524</v>
      </c>
      <c r="C75" s="110" t="s">
        <v>7525</v>
      </c>
      <c r="D75" s="111" t="s">
        <v>7470</v>
      </c>
      <c r="E75" s="111" t="s">
        <v>7382</v>
      </c>
      <c r="F75" s="109" t="s">
        <v>346</v>
      </c>
      <c r="G75" s="109"/>
      <c r="H75" s="109"/>
      <c r="I75" s="109" t="s">
        <v>346</v>
      </c>
      <c r="J75" s="109"/>
      <c r="K75" s="109"/>
      <c r="L75" s="109" t="s">
        <v>346</v>
      </c>
      <c r="M75" s="109"/>
      <c r="N75" s="109"/>
      <c r="O75" s="113" t="s">
        <v>2816</v>
      </c>
    </row>
    <row r="76" spans="1:15" ht="70.05" customHeight="1" outlineLevel="1">
      <c r="A76" s="109" t="s">
        <v>7526</v>
      </c>
      <c r="B76" s="110" t="s">
        <v>7527</v>
      </c>
      <c r="C76" s="110" t="s">
        <v>7528</v>
      </c>
      <c r="D76" s="111" t="s">
        <v>7529</v>
      </c>
      <c r="E76" s="111" t="s">
        <v>7382</v>
      </c>
      <c r="F76" s="109" t="s">
        <v>346</v>
      </c>
      <c r="G76" s="109"/>
      <c r="H76" s="109"/>
      <c r="I76" s="109" t="s">
        <v>346</v>
      </c>
      <c r="J76" s="109"/>
      <c r="K76" s="109"/>
      <c r="L76" s="109" t="s">
        <v>346</v>
      </c>
      <c r="M76" s="109"/>
      <c r="N76" s="109"/>
      <c r="O76" s="113" t="s">
        <v>2816</v>
      </c>
    </row>
    <row r="77" spans="1:15" ht="70.05" customHeight="1" outlineLevel="1">
      <c r="A77" s="109" t="s">
        <v>7530</v>
      </c>
      <c r="B77" s="110" t="s">
        <v>7531</v>
      </c>
      <c r="C77" s="110" t="s">
        <v>7532</v>
      </c>
      <c r="D77" s="111" t="s">
        <v>7533</v>
      </c>
      <c r="E77" s="111" t="s">
        <v>7534</v>
      </c>
      <c r="F77" s="109" t="s">
        <v>346</v>
      </c>
      <c r="G77" s="109"/>
      <c r="H77" s="109"/>
      <c r="I77" s="109" t="s">
        <v>346</v>
      </c>
      <c r="J77" s="109"/>
      <c r="K77" s="109"/>
      <c r="L77" s="109" t="s">
        <v>346</v>
      </c>
      <c r="M77" s="109"/>
      <c r="N77" s="109"/>
      <c r="O77" s="113" t="s">
        <v>2816</v>
      </c>
    </row>
    <row r="78" spans="1:15" ht="70.05" customHeight="1" outlineLevel="1">
      <c r="A78" s="109" t="s">
        <v>7535</v>
      </c>
      <c r="B78" s="110" t="s">
        <v>7536</v>
      </c>
      <c r="C78" s="110" t="s">
        <v>7537</v>
      </c>
      <c r="D78" s="111" t="s">
        <v>7538</v>
      </c>
      <c r="E78" s="111" t="s">
        <v>7539</v>
      </c>
      <c r="F78" s="109" t="s">
        <v>346</v>
      </c>
      <c r="G78" s="109"/>
      <c r="H78" s="109"/>
      <c r="I78" s="109" t="s">
        <v>346</v>
      </c>
      <c r="J78" s="109"/>
      <c r="K78" s="109"/>
      <c r="L78" s="109" t="s">
        <v>346</v>
      </c>
      <c r="M78" s="109"/>
      <c r="N78" s="109"/>
      <c r="O78" s="113" t="s">
        <v>2816</v>
      </c>
    </row>
    <row r="79" spans="1:15" ht="70.05" customHeight="1" outlineLevel="1">
      <c r="A79" s="109" t="s">
        <v>7540</v>
      </c>
      <c r="B79" s="110" t="s">
        <v>7541</v>
      </c>
      <c r="C79" s="110" t="s">
        <v>7542</v>
      </c>
      <c r="D79" s="111" t="s">
        <v>7340</v>
      </c>
      <c r="E79" s="111" t="s">
        <v>7341</v>
      </c>
      <c r="F79" s="109" t="s">
        <v>346</v>
      </c>
      <c r="G79" s="109"/>
      <c r="H79" s="109"/>
      <c r="I79" s="109" t="s">
        <v>346</v>
      </c>
      <c r="J79" s="109"/>
      <c r="K79" s="109"/>
      <c r="L79" s="109" t="s">
        <v>346</v>
      </c>
      <c r="M79" s="109"/>
      <c r="N79" s="109"/>
      <c r="O79" s="113" t="s">
        <v>2816</v>
      </c>
    </row>
    <row r="80" spans="1:15" ht="15.75" customHeight="1">
      <c r="A80" s="60" t="s">
        <v>309</v>
      </c>
      <c r="B80" s="60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2"/>
    </row>
    <row r="81" spans="1:15" ht="70.05" customHeight="1" outlineLevel="1">
      <c r="A81" s="109" t="s">
        <v>7543</v>
      </c>
      <c r="B81" s="110" t="s">
        <v>7544</v>
      </c>
      <c r="C81" s="110" t="s">
        <v>7545</v>
      </c>
      <c r="D81" s="111" t="s">
        <v>7546</v>
      </c>
      <c r="E81" s="111" t="s">
        <v>7547</v>
      </c>
      <c r="F81" s="109" t="s">
        <v>346</v>
      </c>
      <c r="G81" s="109"/>
      <c r="H81" s="109"/>
      <c r="I81" s="109" t="s">
        <v>346</v>
      </c>
      <c r="J81" s="109"/>
      <c r="K81" s="109"/>
      <c r="L81" s="109" t="s">
        <v>346</v>
      </c>
      <c r="M81" s="109"/>
      <c r="N81" s="109"/>
      <c r="O81" s="113" t="s">
        <v>2816</v>
      </c>
    </row>
    <row r="82" spans="1:15" ht="70.05" customHeight="1" outlineLevel="1">
      <c r="A82" s="109" t="s">
        <v>7548</v>
      </c>
      <c r="B82" s="110" t="s">
        <v>7549</v>
      </c>
      <c r="C82" s="110" t="s">
        <v>7550</v>
      </c>
      <c r="D82" s="111" t="s">
        <v>7551</v>
      </c>
      <c r="E82" s="111" t="s">
        <v>7552</v>
      </c>
      <c r="F82" s="109" t="s">
        <v>346</v>
      </c>
      <c r="G82" s="109"/>
      <c r="H82" s="109"/>
      <c r="I82" s="109" t="s">
        <v>346</v>
      </c>
      <c r="J82" s="109"/>
      <c r="K82" s="109"/>
      <c r="L82" s="109" t="s">
        <v>346</v>
      </c>
      <c r="M82" s="109"/>
      <c r="N82" s="109"/>
      <c r="O82" s="113" t="s">
        <v>2816</v>
      </c>
    </row>
    <row r="83" spans="1:15" ht="70.05" customHeight="1" outlineLevel="1">
      <c r="A83" s="109" t="s">
        <v>7553</v>
      </c>
      <c r="B83" s="110" t="s">
        <v>7544</v>
      </c>
      <c r="C83" s="110" t="s">
        <v>7554</v>
      </c>
      <c r="D83" s="111" t="s">
        <v>7555</v>
      </c>
      <c r="E83" s="111" t="s">
        <v>7547</v>
      </c>
      <c r="F83" s="109" t="s">
        <v>346</v>
      </c>
      <c r="G83" s="109"/>
      <c r="H83" s="109"/>
      <c r="I83" s="109" t="s">
        <v>346</v>
      </c>
      <c r="J83" s="109"/>
      <c r="K83" s="109"/>
      <c r="L83" s="109" t="s">
        <v>346</v>
      </c>
      <c r="M83" s="109"/>
      <c r="N83" s="109"/>
      <c r="O83" s="113" t="s">
        <v>2816</v>
      </c>
    </row>
    <row r="84" spans="1:15" ht="70.05" customHeight="1" outlineLevel="1">
      <c r="A84" s="109" t="s">
        <v>7556</v>
      </c>
      <c r="B84" s="110" t="s">
        <v>7557</v>
      </c>
      <c r="C84" s="110" t="s">
        <v>7558</v>
      </c>
      <c r="D84" s="111" t="s">
        <v>7559</v>
      </c>
      <c r="E84" s="111" t="s">
        <v>7552</v>
      </c>
      <c r="F84" s="109" t="s">
        <v>346</v>
      </c>
      <c r="G84" s="109"/>
      <c r="H84" s="109"/>
      <c r="I84" s="109" t="s">
        <v>346</v>
      </c>
      <c r="J84" s="109"/>
      <c r="K84" s="109"/>
      <c r="L84" s="109" t="s">
        <v>346</v>
      </c>
      <c r="M84" s="109"/>
      <c r="N84" s="109"/>
      <c r="O84" s="113" t="s">
        <v>2816</v>
      </c>
    </row>
    <row r="85" spans="1:15" ht="70.05" customHeight="1" outlineLevel="1">
      <c r="A85" s="109" t="s">
        <v>7560</v>
      </c>
      <c r="B85" s="110" t="s">
        <v>7561</v>
      </c>
      <c r="C85" s="110" t="s">
        <v>7562</v>
      </c>
      <c r="D85" s="111" t="s">
        <v>7563</v>
      </c>
      <c r="E85" s="111" t="s">
        <v>7552</v>
      </c>
      <c r="F85" s="109" t="s">
        <v>346</v>
      </c>
      <c r="G85" s="109"/>
      <c r="H85" s="109"/>
      <c r="I85" s="109" t="s">
        <v>346</v>
      </c>
      <c r="J85" s="109"/>
      <c r="K85" s="109"/>
      <c r="L85" s="109" t="s">
        <v>346</v>
      </c>
      <c r="M85" s="109"/>
      <c r="N85" s="109"/>
      <c r="O85" s="113" t="s">
        <v>2816</v>
      </c>
    </row>
    <row r="86" spans="1:15" ht="70.05" customHeight="1" outlineLevel="1">
      <c r="A86" s="109" t="s">
        <v>7564</v>
      </c>
      <c r="B86" s="110" t="s">
        <v>7549</v>
      </c>
      <c r="C86" s="110" t="s">
        <v>7565</v>
      </c>
      <c r="D86" s="111" t="s">
        <v>7566</v>
      </c>
      <c r="E86" s="111" t="s">
        <v>7552</v>
      </c>
      <c r="F86" s="109" t="s">
        <v>346</v>
      </c>
      <c r="G86" s="109"/>
      <c r="H86" s="109"/>
      <c r="I86" s="109" t="s">
        <v>346</v>
      </c>
      <c r="J86" s="109"/>
      <c r="K86" s="109"/>
      <c r="L86" s="109" t="s">
        <v>346</v>
      </c>
      <c r="M86" s="109"/>
      <c r="N86" s="109"/>
      <c r="O86" s="113" t="s">
        <v>2816</v>
      </c>
    </row>
    <row r="87" spans="1:15" ht="70.05" customHeight="1" outlineLevel="1">
      <c r="A87" s="109" t="s">
        <v>7567</v>
      </c>
      <c r="B87" s="110" t="s">
        <v>7568</v>
      </c>
      <c r="C87" s="110" t="s">
        <v>7569</v>
      </c>
      <c r="D87" s="111" t="s">
        <v>7570</v>
      </c>
      <c r="E87" s="111" t="s">
        <v>7547</v>
      </c>
      <c r="F87" s="109" t="s">
        <v>346</v>
      </c>
      <c r="G87" s="109"/>
      <c r="H87" s="109"/>
      <c r="I87" s="109" t="s">
        <v>346</v>
      </c>
      <c r="J87" s="109"/>
      <c r="K87" s="109"/>
      <c r="L87" s="109" t="s">
        <v>346</v>
      </c>
      <c r="M87" s="109"/>
      <c r="N87" s="109"/>
      <c r="O87" s="113" t="s">
        <v>2816</v>
      </c>
    </row>
    <row r="88" spans="1:15" ht="70.05" customHeight="1" outlineLevel="1">
      <c r="A88" s="109" t="s">
        <v>7571</v>
      </c>
      <c r="B88" s="110" t="s">
        <v>7568</v>
      </c>
      <c r="C88" s="110" t="s">
        <v>7572</v>
      </c>
      <c r="D88" s="111" t="s">
        <v>7573</v>
      </c>
      <c r="E88" s="111" t="s">
        <v>7547</v>
      </c>
      <c r="F88" s="109" t="s">
        <v>346</v>
      </c>
      <c r="G88" s="109"/>
      <c r="H88" s="109"/>
      <c r="I88" s="109" t="s">
        <v>346</v>
      </c>
      <c r="J88" s="109"/>
      <c r="K88" s="109"/>
      <c r="L88" s="109" t="s">
        <v>346</v>
      </c>
      <c r="M88" s="109"/>
      <c r="N88" s="109"/>
      <c r="O88" s="113" t="s">
        <v>2816</v>
      </c>
    </row>
    <row r="89" spans="1:15" ht="70.05" customHeight="1" outlineLevel="1">
      <c r="A89" s="109" t="s">
        <v>7574</v>
      </c>
      <c r="B89" s="110" t="s">
        <v>7575</v>
      </c>
      <c r="C89" s="110" t="s">
        <v>7576</v>
      </c>
      <c r="D89" s="111" t="s">
        <v>7577</v>
      </c>
      <c r="E89" s="111" t="s">
        <v>7547</v>
      </c>
      <c r="F89" s="109" t="s">
        <v>346</v>
      </c>
      <c r="G89" s="109"/>
      <c r="H89" s="109"/>
      <c r="I89" s="109" t="s">
        <v>346</v>
      </c>
      <c r="J89" s="109"/>
      <c r="K89" s="109"/>
      <c r="L89" s="109" t="s">
        <v>346</v>
      </c>
      <c r="M89" s="109"/>
      <c r="N89" s="109"/>
      <c r="O89" s="113" t="s">
        <v>2816</v>
      </c>
    </row>
    <row r="90" spans="1:15" ht="70.05" customHeight="1" outlineLevel="1">
      <c r="A90" s="109" t="s">
        <v>7578</v>
      </c>
      <c r="B90" s="110" t="s">
        <v>7579</v>
      </c>
      <c r="C90" s="110" t="s">
        <v>7580</v>
      </c>
      <c r="D90" s="111" t="s">
        <v>7581</v>
      </c>
      <c r="E90" s="111" t="s">
        <v>7552</v>
      </c>
      <c r="F90" s="109" t="s">
        <v>346</v>
      </c>
      <c r="G90" s="109"/>
      <c r="H90" s="109"/>
      <c r="I90" s="109" t="s">
        <v>346</v>
      </c>
      <c r="J90" s="109"/>
      <c r="K90" s="109"/>
      <c r="L90" s="109" t="s">
        <v>346</v>
      </c>
      <c r="M90" s="109"/>
      <c r="N90" s="109"/>
      <c r="O90" s="113" t="s">
        <v>2816</v>
      </c>
    </row>
    <row r="91" spans="1:15" ht="70.05" customHeight="1" outlineLevel="1">
      <c r="A91" s="109" t="s">
        <v>7582</v>
      </c>
      <c r="B91" s="110" t="s">
        <v>7583</v>
      </c>
      <c r="C91" s="110" t="s">
        <v>7550</v>
      </c>
      <c r="D91" s="111" t="s">
        <v>7514</v>
      </c>
      <c r="E91" s="111" t="s">
        <v>7584</v>
      </c>
      <c r="F91" s="109" t="s">
        <v>346</v>
      </c>
      <c r="G91" s="109"/>
      <c r="H91" s="109"/>
      <c r="I91" s="109" t="s">
        <v>346</v>
      </c>
      <c r="J91" s="109"/>
      <c r="K91" s="109"/>
      <c r="L91" s="109" t="s">
        <v>346</v>
      </c>
      <c r="M91" s="109"/>
      <c r="N91" s="109"/>
      <c r="O91" s="113" t="s">
        <v>2816</v>
      </c>
    </row>
    <row r="92" spans="1:15" ht="70.05" customHeight="1" outlineLevel="1">
      <c r="A92" s="109" t="s">
        <v>7585</v>
      </c>
      <c r="B92" s="110" t="s">
        <v>7586</v>
      </c>
      <c r="C92" s="110" t="s">
        <v>7587</v>
      </c>
      <c r="D92" s="111" t="s">
        <v>7588</v>
      </c>
      <c r="E92" s="111" t="s">
        <v>7547</v>
      </c>
      <c r="F92" s="109" t="s">
        <v>346</v>
      </c>
      <c r="G92" s="109"/>
      <c r="H92" s="109"/>
      <c r="I92" s="109" t="s">
        <v>346</v>
      </c>
      <c r="J92" s="109"/>
      <c r="K92" s="109"/>
      <c r="L92" s="109" t="s">
        <v>346</v>
      </c>
      <c r="M92" s="109"/>
      <c r="N92" s="109"/>
      <c r="O92" s="113" t="s">
        <v>2816</v>
      </c>
    </row>
    <row r="93" spans="1:15" ht="70.05" customHeight="1" outlineLevel="1">
      <c r="A93" s="109" t="s">
        <v>7589</v>
      </c>
      <c r="B93" s="110" t="s">
        <v>7590</v>
      </c>
      <c r="C93" s="110" t="s">
        <v>7591</v>
      </c>
      <c r="D93" s="111" t="s">
        <v>7592</v>
      </c>
      <c r="E93" s="111" t="s">
        <v>7547</v>
      </c>
      <c r="F93" s="109" t="s">
        <v>346</v>
      </c>
      <c r="G93" s="109"/>
      <c r="H93" s="109"/>
      <c r="I93" s="109" t="s">
        <v>346</v>
      </c>
      <c r="J93" s="109"/>
      <c r="K93" s="109"/>
      <c r="L93" s="109" t="s">
        <v>346</v>
      </c>
      <c r="M93" s="109"/>
      <c r="N93" s="109"/>
      <c r="O93" s="113" t="s">
        <v>2816</v>
      </c>
    </row>
    <row r="94" spans="1:15" ht="70.05" customHeight="1" outlineLevel="1">
      <c r="A94" s="109" t="s">
        <v>7593</v>
      </c>
      <c r="B94" s="110" t="s">
        <v>7594</v>
      </c>
      <c r="C94" s="110" t="s">
        <v>7595</v>
      </c>
      <c r="D94" s="111" t="s">
        <v>7596</v>
      </c>
      <c r="E94" s="111" t="s">
        <v>7382</v>
      </c>
      <c r="F94" s="109" t="s">
        <v>346</v>
      </c>
      <c r="G94" s="109"/>
      <c r="H94" s="109"/>
      <c r="I94" s="109" t="s">
        <v>346</v>
      </c>
      <c r="J94" s="109"/>
      <c r="K94" s="109"/>
      <c r="L94" s="109" t="s">
        <v>346</v>
      </c>
      <c r="M94" s="109"/>
      <c r="N94" s="109"/>
      <c r="O94" s="113" t="s">
        <v>2816</v>
      </c>
    </row>
    <row r="95" spans="1:15" ht="70.05" customHeight="1" outlineLevel="1">
      <c r="A95" s="109" t="s">
        <v>7597</v>
      </c>
      <c r="B95" s="110" t="s">
        <v>7598</v>
      </c>
      <c r="C95" s="110" t="s">
        <v>7599</v>
      </c>
      <c r="D95" s="111" t="s">
        <v>7600</v>
      </c>
      <c r="E95" s="111" t="s">
        <v>7601</v>
      </c>
      <c r="F95" s="109" t="s">
        <v>346</v>
      </c>
      <c r="G95" s="109"/>
      <c r="H95" s="109"/>
      <c r="I95" s="109" t="s">
        <v>346</v>
      </c>
      <c r="J95" s="109"/>
      <c r="K95" s="109"/>
      <c r="L95" s="109" t="s">
        <v>346</v>
      </c>
      <c r="M95" s="109"/>
      <c r="N95" s="109"/>
      <c r="O95" s="113" t="s">
        <v>2816</v>
      </c>
    </row>
    <row r="96" spans="1:15" ht="70.05" customHeight="1" outlineLevel="1">
      <c r="A96" s="109" t="s">
        <v>7602</v>
      </c>
      <c r="B96" s="110" t="s">
        <v>7603</v>
      </c>
      <c r="C96" s="110" t="s">
        <v>7604</v>
      </c>
      <c r="D96" s="111" t="s">
        <v>7340</v>
      </c>
      <c r="E96" s="111" t="s">
        <v>7341</v>
      </c>
      <c r="F96" s="109" t="s">
        <v>346</v>
      </c>
      <c r="G96" s="109"/>
      <c r="H96" s="109"/>
      <c r="I96" s="109" t="s">
        <v>346</v>
      </c>
      <c r="J96" s="109"/>
      <c r="K96" s="109"/>
      <c r="L96" s="109" t="s">
        <v>346</v>
      </c>
      <c r="M96" s="109"/>
      <c r="N96" s="109"/>
      <c r="O96" s="113" t="s">
        <v>2816</v>
      </c>
    </row>
    <row r="97" spans="1:15" ht="15.75" customHeight="1">
      <c r="A97" s="60" t="s">
        <v>311</v>
      </c>
      <c r="B97" s="60"/>
      <c r="C97" s="61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2"/>
    </row>
    <row r="98" spans="1:15" ht="70.05" customHeight="1" outlineLevel="1">
      <c r="A98" s="109" t="s">
        <v>7605</v>
      </c>
      <c r="B98" s="110" t="s">
        <v>7606</v>
      </c>
      <c r="C98" s="110" t="s">
        <v>7607</v>
      </c>
      <c r="D98" s="111" t="s">
        <v>7411</v>
      </c>
      <c r="E98" s="111" t="s">
        <v>7608</v>
      </c>
      <c r="F98" s="109" t="s">
        <v>346</v>
      </c>
      <c r="G98" s="109"/>
      <c r="H98" s="109"/>
      <c r="I98" s="109" t="s">
        <v>346</v>
      </c>
      <c r="J98" s="109"/>
      <c r="K98" s="109"/>
      <c r="L98" s="109" t="s">
        <v>346</v>
      </c>
      <c r="M98" s="109"/>
      <c r="N98" s="109"/>
      <c r="O98" s="113" t="s">
        <v>2816</v>
      </c>
    </row>
    <row r="99" spans="1:15" ht="70.05" customHeight="1" outlineLevel="1">
      <c r="A99" s="109" t="s">
        <v>7609</v>
      </c>
      <c r="B99" s="110" t="s">
        <v>7610</v>
      </c>
      <c r="C99" s="110" t="s">
        <v>7611</v>
      </c>
      <c r="D99" s="111" t="s">
        <v>7411</v>
      </c>
      <c r="E99" s="111" t="s">
        <v>7612</v>
      </c>
      <c r="F99" s="109" t="s">
        <v>346</v>
      </c>
      <c r="G99" s="109"/>
      <c r="H99" s="109"/>
      <c r="I99" s="109" t="s">
        <v>346</v>
      </c>
      <c r="J99" s="109"/>
      <c r="K99" s="109"/>
      <c r="L99" s="109" t="s">
        <v>346</v>
      </c>
      <c r="M99" s="109"/>
      <c r="N99" s="109"/>
      <c r="O99" s="113" t="s">
        <v>2816</v>
      </c>
    </row>
    <row r="100" spans="1:15" ht="70.05" customHeight="1" outlineLevel="1">
      <c r="A100" s="109" t="s">
        <v>7613</v>
      </c>
      <c r="B100" s="110" t="s">
        <v>7614</v>
      </c>
      <c r="C100" s="110" t="s">
        <v>7615</v>
      </c>
      <c r="D100" s="111" t="s">
        <v>7616</v>
      </c>
      <c r="E100" s="111" t="s">
        <v>7608</v>
      </c>
      <c r="F100" s="109" t="s">
        <v>346</v>
      </c>
      <c r="G100" s="109"/>
      <c r="H100" s="109"/>
      <c r="I100" s="109" t="s">
        <v>346</v>
      </c>
      <c r="J100" s="109"/>
      <c r="K100" s="109"/>
      <c r="L100" s="109" t="s">
        <v>346</v>
      </c>
      <c r="M100" s="109"/>
      <c r="N100" s="109"/>
      <c r="O100" s="113" t="s">
        <v>2816</v>
      </c>
    </row>
    <row r="101" spans="1:15" ht="70.05" customHeight="1" outlineLevel="1">
      <c r="A101" s="109" t="s">
        <v>7617</v>
      </c>
      <c r="B101" s="110" t="s">
        <v>7618</v>
      </c>
      <c r="C101" s="110" t="s">
        <v>7619</v>
      </c>
      <c r="D101" s="111" t="s">
        <v>7620</v>
      </c>
      <c r="E101" s="111" t="s">
        <v>7424</v>
      </c>
      <c r="F101" s="109" t="s">
        <v>346</v>
      </c>
      <c r="G101" s="109"/>
      <c r="H101" s="109"/>
      <c r="I101" s="109" t="s">
        <v>346</v>
      </c>
      <c r="J101" s="109"/>
      <c r="K101" s="109"/>
      <c r="L101" s="109" t="s">
        <v>346</v>
      </c>
      <c r="M101" s="109"/>
      <c r="N101" s="109"/>
      <c r="O101" s="113" t="s">
        <v>2816</v>
      </c>
    </row>
    <row r="102" spans="1:15" ht="70.05" customHeight="1" outlineLevel="1">
      <c r="A102" s="109" t="s">
        <v>7621</v>
      </c>
      <c r="B102" s="110" t="s">
        <v>7622</v>
      </c>
      <c r="C102" s="110" t="s">
        <v>7623</v>
      </c>
      <c r="D102" s="111" t="s">
        <v>7624</v>
      </c>
      <c r="E102" s="111" t="s">
        <v>7424</v>
      </c>
      <c r="F102" s="109" t="s">
        <v>346</v>
      </c>
      <c r="G102" s="109"/>
      <c r="H102" s="109"/>
      <c r="I102" s="109" t="s">
        <v>346</v>
      </c>
      <c r="J102" s="109"/>
      <c r="K102" s="109"/>
      <c r="L102" s="109" t="s">
        <v>346</v>
      </c>
      <c r="M102" s="109"/>
      <c r="N102" s="109"/>
      <c r="O102" s="113" t="s">
        <v>2816</v>
      </c>
    </row>
    <row r="103" spans="1:15" ht="70.05" customHeight="1" outlineLevel="1">
      <c r="A103" s="109" t="s">
        <v>7625</v>
      </c>
      <c r="B103" s="110" t="s">
        <v>7626</v>
      </c>
      <c r="C103" s="110" t="s">
        <v>7627</v>
      </c>
      <c r="D103" s="111" t="s">
        <v>7628</v>
      </c>
      <c r="E103" s="111" t="s">
        <v>7438</v>
      </c>
      <c r="F103" s="109" t="s">
        <v>346</v>
      </c>
      <c r="G103" s="109"/>
      <c r="H103" s="109"/>
      <c r="I103" s="109" t="s">
        <v>346</v>
      </c>
      <c r="J103" s="109"/>
      <c r="K103" s="109"/>
      <c r="L103" s="109" t="s">
        <v>346</v>
      </c>
      <c r="M103" s="109"/>
      <c r="N103" s="109"/>
      <c r="O103" s="113" t="s">
        <v>2816</v>
      </c>
    </row>
    <row r="104" spans="1:15" ht="70.05" customHeight="1" outlineLevel="1">
      <c r="A104" s="109" t="s">
        <v>7629</v>
      </c>
      <c r="B104" s="110" t="s">
        <v>7630</v>
      </c>
      <c r="C104" s="110" t="s">
        <v>7631</v>
      </c>
      <c r="D104" s="111" t="s">
        <v>7442</v>
      </c>
      <c r="E104" s="111" t="s">
        <v>7608</v>
      </c>
      <c r="F104" s="109" t="s">
        <v>346</v>
      </c>
      <c r="G104" s="109"/>
      <c r="H104" s="109"/>
      <c r="I104" s="109" t="s">
        <v>346</v>
      </c>
      <c r="J104" s="109"/>
      <c r="K104" s="109"/>
      <c r="L104" s="109" t="s">
        <v>346</v>
      </c>
      <c r="M104" s="109"/>
      <c r="N104" s="109"/>
      <c r="O104" s="113" t="s">
        <v>2816</v>
      </c>
    </row>
    <row r="105" spans="1:15" ht="70.05" customHeight="1" outlineLevel="1">
      <c r="A105" s="109" t="s">
        <v>7632</v>
      </c>
      <c r="B105" s="110" t="s">
        <v>7633</v>
      </c>
      <c r="C105" s="110" t="s">
        <v>7634</v>
      </c>
      <c r="D105" s="111" t="s">
        <v>7635</v>
      </c>
      <c r="E105" s="111" t="s">
        <v>7608</v>
      </c>
      <c r="F105" s="109" t="s">
        <v>346</v>
      </c>
      <c r="G105" s="109"/>
      <c r="H105" s="109"/>
      <c r="I105" s="109" t="s">
        <v>346</v>
      </c>
      <c r="J105" s="109"/>
      <c r="K105" s="109"/>
      <c r="L105" s="109" t="s">
        <v>346</v>
      </c>
      <c r="M105" s="109"/>
      <c r="N105" s="109"/>
      <c r="O105" s="113" t="s">
        <v>2816</v>
      </c>
    </row>
    <row r="106" spans="1:15" ht="70.05" customHeight="1" outlineLevel="1">
      <c r="A106" s="109" t="s">
        <v>7636</v>
      </c>
      <c r="B106" s="110" t="s">
        <v>7637</v>
      </c>
      <c r="C106" s="110" t="s">
        <v>7638</v>
      </c>
      <c r="D106" s="111" t="s">
        <v>7639</v>
      </c>
      <c r="E106" s="111" t="s">
        <v>7608</v>
      </c>
      <c r="F106" s="109" t="s">
        <v>346</v>
      </c>
      <c r="G106" s="109"/>
      <c r="H106" s="109"/>
      <c r="I106" s="109" t="s">
        <v>346</v>
      </c>
      <c r="J106" s="109"/>
      <c r="K106" s="109"/>
      <c r="L106" s="109" t="s">
        <v>346</v>
      </c>
      <c r="M106" s="109"/>
      <c r="N106" s="109"/>
      <c r="O106" s="113" t="s">
        <v>2816</v>
      </c>
    </row>
    <row r="107" spans="1:15" ht="70.05" customHeight="1" outlineLevel="1">
      <c r="A107" s="109" t="s">
        <v>7640</v>
      </c>
      <c r="B107" s="110" t="s">
        <v>7641</v>
      </c>
      <c r="C107" s="110" t="s">
        <v>7642</v>
      </c>
      <c r="D107" s="111" t="s">
        <v>7639</v>
      </c>
      <c r="E107" s="111" t="s">
        <v>7608</v>
      </c>
      <c r="F107" s="109" t="s">
        <v>346</v>
      </c>
      <c r="G107" s="109"/>
      <c r="H107" s="109"/>
      <c r="I107" s="109" t="s">
        <v>346</v>
      </c>
      <c r="J107" s="109"/>
      <c r="K107" s="109"/>
      <c r="L107" s="109" t="s">
        <v>346</v>
      </c>
      <c r="M107" s="109"/>
      <c r="N107" s="109"/>
      <c r="O107" s="113" t="s">
        <v>2816</v>
      </c>
    </row>
    <row r="108" spans="1:15" ht="70.05" customHeight="1" outlineLevel="1">
      <c r="A108" s="109" t="s">
        <v>7643</v>
      </c>
      <c r="B108" s="110" t="s">
        <v>7644</v>
      </c>
      <c r="C108" s="110" t="s">
        <v>7645</v>
      </c>
      <c r="D108" s="111" t="s">
        <v>7646</v>
      </c>
      <c r="E108" s="111" t="s">
        <v>7608</v>
      </c>
      <c r="F108" s="109" t="s">
        <v>346</v>
      </c>
      <c r="G108" s="109"/>
      <c r="H108" s="109"/>
      <c r="I108" s="109" t="s">
        <v>346</v>
      </c>
      <c r="J108" s="109"/>
      <c r="K108" s="109"/>
      <c r="L108" s="109" t="s">
        <v>346</v>
      </c>
      <c r="M108" s="109"/>
      <c r="N108" s="109"/>
      <c r="O108" s="113" t="s">
        <v>2816</v>
      </c>
    </row>
    <row r="109" spans="1:15" ht="70.05" customHeight="1" outlineLevel="1">
      <c r="A109" s="109" t="s">
        <v>7647</v>
      </c>
      <c r="B109" s="110" t="s">
        <v>7648</v>
      </c>
      <c r="C109" s="110" t="s">
        <v>7649</v>
      </c>
      <c r="D109" s="111" t="s">
        <v>7650</v>
      </c>
      <c r="E109" s="111" t="s">
        <v>7608</v>
      </c>
      <c r="F109" s="109" t="s">
        <v>346</v>
      </c>
      <c r="G109" s="109"/>
      <c r="H109" s="109"/>
      <c r="I109" s="109" t="s">
        <v>346</v>
      </c>
      <c r="J109" s="109"/>
      <c r="K109" s="109"/>
      <c r="L109" s="109" t="s">
        <v>346</v>
      </c>
      <c r="M109" s="109"/>
      <c r="N109" s="109"/>
      <c r="O109" s="113" t="s">
        <v>2816</v>
      </c>
    </row>
    <row r="110" spans="1:15" ht="70.05" customHeight="1" outlineLevel="1">
      <c r="A110" s="109" t="s">
        <v>7651</v>
      </c>
      <c r="B110" s="110" t="s">
        <v>7652</v>
      </c>
      <c r="C110" s="110" t="s">
        <v>7653</v>
      </c>
      <c r="D110" s="111" t="s">
        <v>7654</v>
      </c>
      <c r="E110" s="111" t="s">
        <v>7608</v>
      </c>
      <c r="F110" s="109" t="s">
        <v>346</v>
      </c>
      <c r="G110" s="109"/>
      <c r="H110" s="109"/>
      <c r="I110" s="109" t="s">
        <v>346</v>
      </c>
      <c r="J110" s="109"/>
      <c r="K110" s="109"/>
      <c r="L110" s="109" t="s">
        <v>346</v>
      </c>
      <c r="M110" s="109"/>
      <c r="N110" s="109"/>
      <c r="O110" s="113" t="s">
        <v>2816</v>
      </c>
    </row>
    <row r="111" spans="1:15" ht="70.05" customHeight="1" outlineLevel="1">
      <c r="A111" s="109" t="s">
        <v>7655</v>
      </c>
      <c r="B111" s="110" t="s">
        <v>7656</v>
      </c>
      <c r="C111" s="110" t="s">
        <v>7657</v>
      </c>
      <c r="D111" s="111" t="s">
        <v>7658</v>
      </c>
      <c r="E111" s="111" t="s">
        <v>7659</v>
      </c>
      <c r="F111" s="109" t="s">
        <v>346</v>
      </c>
      <c r="G111" s="109"/>
      <c r="H111" s="109"/>
      <c r="I111" s="109" t="s">
        <v>346</v>
      </c>
      <c r="J111" s="109"/>
      <c r="K111" s="109"/>
      <c r="L111" s="109" t="s">
        <v>346</v>
      </c>
      <c r="M111" s="109"/>
      <c r="N111" s="109"/>
      <c r="O111" s="113" t="s">
        <v>2816</v>
      </c>
    </row>
    <row r="112" spans="1:15" ht="70.05" customHeight="1" outlineLevel="1">
      <c r="A112" s="109" t="s">
        <v>7660</v>
      </c>
      <c r="B112" s="110" t="s">
        <v>7661</v>
      </c>
      <c r="C112" s="110" t="s">
        <v>7607</v>
      </c>
      <c r="D112" s="111" t="s">
        <v>7662</v>
      </c>
      <c r="E112" s="111" t="s">
        <v>7663</v>
      </c>
      <c r="F112" s="109" t="s">
        <v>346</v>
      </c>
      <c r="G112" s="109"/>
      <c r="H112" s="109"/>
      <c r="I112" s="109" t="s">
        <v>346</v>
      </c>
      <c r="J112" s="109"/>
      <c r="K112" s="109"/>
      <c r="L112" s="109" t="s">
        <v>346</v>
      </c>
      <c r="M112" s="109"/>
      <c r="N112" s="109"/>
      <c r="O112" s="113" t="s">
        <v>2816</v>
      </c>
    </row>
    <row r="113" spans="1:15" ht="70.05" customHeight="1" outlineLevel="1">
      <c r="A113" s="109" t="s">
        <v>7664</v>
      </c>
      <c r="B113" s="110" t="s">
        <v>7661</v>
      </c>
      <c r="C113" s="110" t="s">
        <v>7607</v>
      </c>
      <c r="D113" s="111" t="s">
        <v>7340</v>
      </c>
      <c r="E113" s="111" t="s">
        <v>7341</v>
      </c>
      <c r="F113" s="109" t="s">
        <v>346</v>
      </c>
      <c r="G113" s="109"/>
      <c r="H113" s="109"/>
      <c r="I113" s="109" t="s">
        <v>346</v>
      </c>
      <c r="J113" s="109"/>
      <c r="K113" s="109"/>
      <c r="L113" s="109" t="s">
        <v>346</v>
      </c>
      <c r="M113" s="109"/>
      <c r="N113" s="109"/>
      <c r="O113" s="113" t="s">
        <v>2816</v>
      </c>
    </row>
    <row r="114" spans="1:15" ht="15.75" customHeight="1">
      <c r="A114" s="60" t="s">
        <v>313</v>
      </c>
      <c r="B114" s="60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2"/>
    </row>
    <row r="115" spans="1:15" ht="70.05" customHeight="1" outlineLevel="1">
      <c r="A115" s="109" t="s">
        <v>7665</v>
      </c>
      <c r="B115" s="110" t="s">
        <v>7666</v>
      </c>
      <c r="C115" s="110" t="s">
        <v>7667</v>
      </c>
      <c r="D115" s="111" t="s">
        <v>7668</v>
      </c>
      <c r="E115" s="111" t="s">
        <v>7669</v>
      </c>
      <c r="F115" s="109" t="s">
        <v>346</v>
      </c>
      <c r="G115" s="109"/>
      <c r="H115" s="109"/>
      <c r="I115" s="109" t="s">
        <v>346</v>
      </c>
      <c r="J115" s="109"/>
      <c r="K115" s="109"/>
      <c r="L115" s="109" t="s">
        <v>346</v>
      </c>
      <c r="M115" s="109"/>
      <c r="N115" s="109"/>
      <c r="O115" s="113" t="s">
        <v>2816</v>
      </c>
    </row>
    <row r="116" spans="1:15" ht="70.05" customHeight="1" outlineLevel="1">
      <c r="A116" s="109" t="s">
        <v>7670</v>
      </c>
      <c r="B116" s="110" t="s">
        <v>7671</v>
      </c>
      <c r="C116" s="110" t="s">
        <v>7672</v>
      </c>
      <c r="D116" s="111" t="s">
        <v>7673</v>
      </c>
      <c r="E116" s="111" t="s">
        <v>7669</v>
      </c>
      <c r="F116" s="109" t="s">
        <v>346</v>
      </c>
      <c r="G116" s="109"/>
      <c r="H116" s="109"/>
      <c r="I116" s="109" t="s">
        <v>346</v>
      </c>
      <c r="J116" s="109"/>
      <c r="K116" s="109"/>
      <c r="L116" s="109" t="s">
        <v>346</v>
      </c>
      <c r="M116" s="109"/>
      <c r="N116" s="109"/>
      <c r="O116" s="113" t="s">
        <v>2816</v>
      </c>
    </row>
    <row r="117" spans="1:15" ht="70.05" customHeight="1" outlineLevel="1">
      <c r="A117" s="109" t="s">
        <v>7674</v>
      </c>
      <c r="B117" s="110" t="s">
        <v>7675</v>
      </c>
      <c r="C117" s="110" t="s">
        <v>7676</v>
      </c>
      <c r="D117" s="111" t="s">
        <v>7677</v>
      </c>
      <c r="E117" s="111" t="s">
        <v>7678</v>
      </c>
      <c r="F117" s="109" t="s">
        <v>346</v>
      </c>
      <c r="G117" s="109"/>
      <c r="H117" s="109"/>
      <c r="I117" s="109" t="s">
        <v>346</v>
      </c>
      <c r="J117" s="109"/>
      <c r="K117" s="109"/>
      <c r="L117" s="109" t="s">
        <v>346</v>
      </c>
      <c r="M117" s="109"/>
      <c r="N117" s="109"/>
      <c r="O117" s="113" t="s">
        <v>2816</v>
      </c>
    </row>
    <row r="118" spans="1:15" ht="70.05" customHeight="1" outlineLevel="1">
      <c r="A118" s="109" t="s">
        <v>7679</v>
      </c>
      <c r="B118" s="110" t="s">
        <v>7680</v>
      </c>
      <c r="C118" s="110" t="s">
        <v>7681</v>
      </c>
      <c r="D118" s="111" t="s">
        <v>7682</v>
      </c>
      <c r="E118" s="111" t="s">
        <v>7683</v>
      </c>
      <c r="F118" s="109" t="s">
        <v>346</v>
      </c>
      <c r="G118" s="109"/>
      <c r="H118" s="109"/>
      <c r="I118" s="109" t="s">
        <v>346</v>
      </c>
      <c r="J118" s="109"/>
      <c r="K118" s="109"/>
      <c r="L118" s="109" t="s">
        <v>346</v>
      </c>
      <c r="M118" s="109"/>
      <c r="N118" s="109"/>
      <c r="O118" s="113" t="s">
        <v>2816</v>
      </c>
    </row>
    <row r="119" spans="1:15" ht="70.05" customHeight="1" outlineLevel="1">
      <c r="A119" s="109" t="s">
        <v>7684</v>
      </c>
      <c r="B119" s="110" t="s">
        <v>7685</v>
      </c>
      <c r="C119" s="110" t="s">
        <v>7686</v>
      </c>
      <c r="D119" s="111" t="s">
        <v>7687</v>
      </c>
      <c r="E119" s="111" t="s">
        <v>7669</v>
      </c>
      <c r="F119" s="109" t="s">
        <v>346</v>
      </c>
      <c r="G119" s="109"/>
      <c r="H119" s="109"/>
      <c r="I119" s="109" t="s">
        <v>346</v>
      </c>
      <c r="J119" s="109"/>
      <c r="K119" s="109"/>
      <c r="L119" s="109" t="s">
        <v>346</v>
      </c>
      <c r="M119" s="109"/>
      <c r="N119" s="109"/>
      <c r="O119" s="113" t="s">
        <v>2816</v>
      </c>
    </row>
    <row r="120" spans="1:15" ht="70.05" customHeight="1" outlineLevel="1">
      <c r="A120" s="109" t="s">
        <v>7688</v>
      </c>
      <c r="B120" s="110" t="s">
        <v>7689</v>
      </c>
      <c r="C120" s="110" t="s">
        <v>7690</v>
      </c>
      <c r="D120" s="111" t="s">
        <v>7691</v>
      </c>
      <c r="E120" s="111" t="s">
        <v>7692</v>
      </c>
      <c r="F120" s="109" t="s">
        <v>346</v>
      </c>
      <c r="G120" s="109"/>
      <c r="H120" s="109"/>
      <c r="I120" s="109" t="s">
        <v>346</v>
      </c>
      <c r="J120" s="109"/>
      <c r="K120" s="109"/>
      <c r="L120" s="109" t="s">
        <v>346</v>
      </c>
      <c r="M120" s="109"/>
      <c r="N120" s="109"/>
      <c r="O120" s="113" t="s">
        <v>2816</v>
      </c>
    </row>
    <row r="121" spans="1:15" ht="70.05" customHeight="1" outlineLevel="1">
      <c r="A121" s="109" t="s">
        <v>7693</v>
      </c>
      <c r="B121" s="110" t="s">
        <v>7694</v>
      </c>
      <c r="C121" s="110" t="s">
        <v>7695</v>
      </c>
      <c r="D121" s="111" t="s">
        <v>7696</v>
      </c>
      <c r="E121" s="111" t="s">
        <v>7669</v>
      </c>
      <c r="F121" s="109" t="s">
        <v>346</v>
      </c>
      <c r="G121" s="109"/>
      <c r="H121" s="109"/>
      <c r="I121" s="109" t="s">
        <v>346</v>
      </c>
      <c r="J121" s="109"/>
      <c r="K121" s="109"/>
      <c r="L121" s="109" t="s">
        <v>346</v>
      </c>
      <c r="M121" s="109"/>
      <c r="N121" s="109"/>
      <c r="O121" s="113" t="s">
        <v>2816</v>
      </c>
    </row>
    <row r="122" spans="1:15" ht="70.05" customHeight="1" outlineLevel="1">
      <c r="A122" s="109" t="s">
        <v>7697</v>
      </c>
      <c r="B122" s="110" t="s">
        <v>7698</v>
      </c>
      <c r="C122" s="110" t="s">
        <v>7699</v>
      </c>
      <c r="D122" s="111" t="s">
        <v>7700</v>
      </c>
      <c r="E122" s="111" t="s">
        <v>7669</v>
      </c>
      <c r="F122" s="109" t="s">
        <v>346</v>
      </c>
      <c r="G122" s="109"/>
      <c r="H122" s="109"/>
      <c r="I122" s="109" t="s">
        <v>346</v>
      </c>
      <c r="J122" s="109"/>
      <c r="K122" s="109"/>
      <c r="L122" s="109" t="s">
        <v>346</v>
      </c>
      <c r="M122" s="109"/>
      <c r="N122" s="109"/>
      <c r="O122" s="113" t="s">
        <v>2816</v>
      </c>
    </row>
    <row r="123" spans="1:15" ht="70.05" customHeight="1" outlineLevel="1">
      <c r="A123" s="109" t="s">
        <v>7701</v>
      </c>
      <c r="B123" s="110" t="s">
        <v>7702</v>
      </c>
      <c r="C123" s="110" t="s">
        <v>7703</v>
      </c>
      <c r="D123" s="111" t="s">
        <v>7704</v>
      </c>
      <c r="E123" s="111" t="s">
        <v>7669</v>
      </c>
      <c r="F123" s="109" t="s">
        <v>346</v>
      </c>
      <c r="G123" s="109"/>
      <c r="H123" s="109"/>
      <c r="I123" s="109" t="s">
        <v>346</v>
      </c>
      <c r="J123" s="109"/>
      <c r="K123" s="109"/>
      <c r="L123" s="109" t="s">
        <v>346</v>
      </c>
      <c r="M123" s="109"/>
      <c r="N123" s="109"/>
      <c r="O123" s="113" t="s">
        <v>2816</v>
      </c>
    </row>
    <row r="124" spans="1:15" ht="70.05" customHeight="1" outlineLevel="1">
      <c r="A124" s="109" t="s">
        <v>7705</v>
      </c>
      <c r="B124" s="110" t="s">
        <v>7706</v>
      </c>
      <c r="C124" s="110" t="s">
        <v>7707</v>
      </c>
      <c r="D124" s="111" t="s">
        <v>7708</v>
      </c>
      <c r="E124" s="111" t="s">
        <v>7669</v>
      </c>
      <c r="F124" s="109" t="s">
        <v>346</v>
      </c>
      <c r="G124" s="109"/>
      <c r="H124" s="109"/>
      <c r="I124" s="109" t="s">
        <v>346</v>
      </c>
      <c r="J124" s="109"/>
      <c r="K124" s="109"/>
      <c r="L124" s="109" t="s">
        <v>346</v>
      </c>
      <c r="M124" s="109"/>
      <c r="N124" s="109"/>
      <c r="O124" s="113" t="s">
        <v>2816</v>
      </c>
    </row>
    <row r="125" spans="1:15" ht="70.05" customHeight="1" outlineLevel="1">
      <c r="A125" s="109" t="s">
        <v>7709</v>
      </c>
      <c r="B125" s="110" t="s">
        <v>7710</v>
      </c>
      <c r="C125" s="110" t="s">
        <v>7711</v>
      </c>
      <c r="D125" s="111" t="s">
        <v>7712</v>
      </c>
      <c r="E125" s="111" t="s">
        <v>7669</v>
      </c>
      <c r="F125" s="109" t="s">
        <v>346</v>
      </c>
      <c r="G125" s="109"/>
      <c r="H125" s="109"/>
      <c r="I125" s="109" t="s">
        <v>346</v>
      </c>
      <c r="J125" s="109"/>
      <c r="K125" s="109"/>
      <c r="L125" s="109" t="s">
        <v>346</v>
      </c>
      <c r="M125" s="109"/>
      <c r="N125" s="109"/>
      <c r="O125" s="113" t="s">
        <v>2816</v>
      </c>
    </row>
    <row r="126" spans="1:15" ht="70.05" customHeight="1" outlineLevel="1">
      <c r="A126" s="109" t="s">
        <v>7713</v>
      </c>
      <c r="B126" s="110" t="s">
        <v>7714</v>
      </c>
      <c r="C126" s="110" t="s">
        <v>7715</v>
      </c>
      <c r="D126" s="111" t="s">
        <v>7716</v>
      </c>
      <c r="E126" s="111" t="s">
        <v>7552</v>
      </c>
      <c r="F126" s="109" t="s">
        <v>346</v>
      </c>
      <c r="G126" s="109"/>
      <c r="H126" s="109"/>
      <c r="I126" s="109" t="s">
        <v>346</v>
      </c>
      <c r="J126" s="109"/>
      <c r="K126" s="109"/>
      <c r="L126" s="109" t="s">
        <v>346</v>
      </c>
      <c r="M126" s="109"/>
      <c r="N126" s="109"/>
      <c r="O126" s="113" t="s">
        <v>2816</v>
      </c>
    </row>
    <row r="127" spans="1:15" ht="70.05" customHeight="1" outlineLevel="1">
      <c r="A127" s="109" t="s">
        <v>7717</v>
      </c>
      <c r="B127" s="110" t="s">
        <v>7718</v>
      </c>
      <c r="C127" s="110" t="s">
        <v>7719</v>
      </c>
      <c r="D127" s="111" t="s">
        <v>7720</v>
      </c>
      <c r="E127" s="111" t="s">
        <v>7547</v>
      </c>
      <c r="F127" s="109" t="s">
        <v>346</v>
      </c>
      <c r="G127" s="109"/>
      <c r="H127" s="109"/>
      <c r="I127" s="109" t="s">
        <v>346</v>
      </c>
      <c r="J127" s="109"/>
      <c r="K127" s="109"/>
      <c r="L127" s="109" t="s">
        <v>346</v>
      </c>
      <c r="M127" s="109"/>
      <c r="N127" s="109"/>
      <c r="O127" s="113" t="s">
        <v>2816</v>
      </c>
    </row>
    <row r="128" spans="1:15" ht="70.05" customHeight="1" outlineLevel="1">
      <c r="A128" s="109" t="s">
        <v>7721</v>
      </c>
      <c r="B128" s="110" t="s">
        <v>7722</v>
      </c>
      <c r="C128" s="110" t="s">
        <v>7723</v>
      </c>
      <c r="D128" s="111" t="s">
        <v>7596</v>
      </c>
      <c r="E128" s="111" t="s">
        <v>7382</v>
      </c>
      <c r="F128" s="109" t="s">
        <v>346</v>
      </c>
      <c r="G128" s="109"/>
      <c r="H128" s="109"/>
      <c r="I128" s="109" t="s">
        <v>346</v>
      </c>
      <c r="J128" s="109"/>
      <c r="K128" s="109"/>
      <c r="L128" s="109" t="s">
        <v>346</v>
      </c>
      <c r="M128" s="109"/>
      <c r="N128" s="109"/>
      <c r="O128" s="113" t="s">
        <v>2816</v>
      </c>
    </row>
    <row r="129" spans="1:15" ht="70.05" customHeight="1" outlineLevel="1">
      <c r="A129" s="109" t="s">
        <v>7724</v>
      </c>
      <c r="B129" s="110" t="s">
        <v>7725</v>
      </c>
      <c r="C129" s="110" t="s">
        <v>7726</v>
      </c>
      <c r="D129" s="111" t="s">
        <v>7727</v>
      </c>
      <c r="E129" s="111" t="s">
        <v>7552</v>
      </c>
      <c r="F129" s="109" t="s">
        <v>346</v>
      </c>
      <c r="G129" s="109"/>
      <c r="H129" s="109"/>
      <c r="I129" s="109" t="s">
        <v>346</v>
      </c>
      <c r="J129" s="109"/>
      <c r="K129" s="109"/>
      <c r="L129" s="109" t="s">
        <v>346</v>
      </c>
      <c r="M129" s="109"/>
      <c r="N129" s="109"/>
      <c r="O129" s="113" t="s">
        <v>2816</v>
      </c>
    </row>
    <row r="130" spans="1:15" ht="70.05" customHeight="1" outlineLevel="1">
      <c r="A130" s="109" t="s">
        <v>7728</v>
      </c>
      <c r="B130" s="110" t="s">
        <v>7729</v>
      </c>
      <c r="C130" s="110" t="s">
        <v>7730</v>
      </c>
      <c r="D130" s="111" t="s">
        <v>7731</v>
      </c>
      <c r="E130" s="111" t="s">
        <v>7732</v>
      </c>
      <c r="F130" s="109" t="s">
        <v>346</v>
      </c>
      <c r="G130" s="109"/>
      <c r="H130" s="109"/>
      <c r="I130" s="109" t="s">
        <v>346</v>
      </c>
      <c r="J130" s="109"/>
      <c r="K130" s="109"/>
      <c r="L130" s="109" t="s">
        <v>346</v>
      </c>
      <c r="M130" s="109"/>
      <c r="N130" s="109"/>
      <c r="O130" s="113" t="s">
        <v>2816</v>
      </c>
    </row>
    <row r="131" spans="1:15" ht="70.05" customHeight="1" outlineLevel="1">
      <c r="A131" s="109" t="s">
        <v>7733</v>
      </c>
      <c r="B131" s="110" t="s">
        <v>7734</v>
      </c>
      <c r="C131" s="110" t="s">
        <v>7735</v>
      </c>
      <c r="D131" s="111" t="s">
        <v>7340</v>
      </c>
      <c r="E131" s="111" t="s">
        <v>7341</v>
      </c>
      <c r="F131" s="109" t="s">
        <v>346</v>
      </c>
      <c r="G131" s="109"/>
      <c r="H131" s="109"/>
      <c r="I131" s="109" t="s">
        <v>346</v>
      </c>
      <c r="J131" s="109"/>
      <c r="K131" s="109"/>
      <c r="L131" s="109" t="s">
        <v>346</v>
      </c>
      <c r="M131" s="109"/>
      <c r="N131" s="109"/>
      <c r="O131" s="113" t="s">
        <v>2816</v>
      </c>
    </row>
  </sheetData>
  <mergeCells count="3">
    <mergeCell ref="B3:E3"/>
    <mergeCell ref="B2:E2"/>
    <mergeCell ref="B4:E4"/>
  </mergeCells>
  <dataValidations count="1">
    <dataValidation type="list" allowBlank="1" sqref="F12:F131 I12:I131 L12:L131" xr:uid="{00000000-0002-0000-0A00-000000000000}">
      <formula1>$R$2:$R$5</formula1>
    </dataValidation>
  </dataValidations>
  <pageMargins left="0.74791666666666667" right="0.25" top="0.75" bottom="0.98402777777777772" header="0.5" footer="0.5"/>
  <pageSetup paperSize="9" firstPageNumber="0" orientation="landscape" horizontalDpi="300" verticalDpi="30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R206"/>
  <sheetViews>
    <sheetView workbookViewId="0"/>
  </sheetViews>
  <sheetFormatPr defaultColWidth="9" defaultRowHeight="13.2" outlineLevelRow="1" outlineLevelCol="1"/>
  <cols>
    <col min="1" max="1" width="17" style="1" customWidth="1"/>
    <col min="2" max="2" width="34.44140625" style="1" customWidth="1"/>
    <col min="3" max="3" width="34.109375" style="1" customWidth="1"/>
    <col min="4" max="4" width="34.6640625" style="1" customWidth="1"/>
    <col min="5" max="5" width="28.33203125" style="1" customWidth="1"/>
    <col min="6" max="6" width="9.33203125" style="1" customWidth="1"/>
    <col min="7" max="7" width="10.6640625" style="1" customWidth="1" outlineLevel="1"/>
    <col min="8" max="8" width="7" style="1" bestFit="1" customWidth="1" outlineLevel="1"/>
    <col min="9" max="9" width="9.33203125" style="1" customWidth="1"/>
    <col min="10" max="10" width="10.6640625" style="1" customWidth="1" outlineLevel="1"/>
    <col min="11" max="11" width="7" style="1" bestFit="1" customWidth="1" outlineLevel="1"/>
    <col min="12" max="12" width="9.33203125" style="1" customWidth="1"/>
    <col min="13" max="13" width="10.6640625" style="1" customWidth="1" outlineLevel="1"/>
    <col min="14" max="14" width="7" style="1" bestFit="1" customWidth="1" outlineLevel="1"/>
    <col min="15" max="15" width="28.6640625" style="1" customWidth="1"/>
    <col min="16" max="16" width="10.109375" style="1" customWidth="1"/>
    <col min="17" max="17" width="8.109375" style="23" customWidth="1"/>
    <col min="18" max="18" width="7.6640625" style="1" hidden="1" customWidth="1"/>
    <col min="19" max="20" width="9" style="1" customWidth="1"/>
    <col min="21" max="16384" width="9" style="1"/>
  </cols>
  <sheetData>
    <row r="1" spans="1:18" ht="13.95" customHeight="1" thickBot="1"/>
    <row r="2" spans="1:18" s="25" customFormat="1" ht="15" customHeight="1">
      <c r="A2" s="73" t="s">
        <v>353</v>
      </c>
      <c r="B2" s="130" t="s">
        <v>316</v>
      </c>
      <c r="C2" s="131"/>
      <c r="D2" s="131"/>
      <c r="E2" s="132"/>
      <c r="F2" s="63"/>
      <c r="G2" s="57"/>
      <c r="H2" s="9"/>
      <c r="I2" s="63"/>
      <c r="J2" s="57"/>
      <c r="K2" s="9"/>
      <c r="L2" s="63"/>
      <c r="M2" s="57"/>
      <c r="N2" s="9"/>
      <c r="O2" s="9"/>
      <c r="P2" s="9"/>
      <c r="Q2" s="24"/>
      <c r="R2" s="25" t="s">
        <v>344</v>
      </c>
    </row>
    <row r="3" spans="1:18" s="25" customFormat="1" ht="13.95" customHeight="1">
      <c r="A3" s="74" t="s">
        <v>354</v>
      </c>
      <c r="B3" s="127" t="s">
        <v>7736</v>
      </c>
      <c r="C3" s="128"/>
      <c r="D3" s="128"/>
      <c r="E3" s="129"/>
      <c r="F3" s="63"/>
      <c r="G3" s="57"/>
      <c r="H3" s="9"/>
      <c r="I3" s="63"/>
      <c r="J3" s="57"/>
      <c r="K3" s="9"/>
      <c r="L3" s="63"/>
      <c r="M3" s="57"/>
      <c r="N3" s="9"/>
      <c r="O3" s="9"/>
      <c r="P3" s="9"/>
      <c r="Q3" s="24"/>
      <c r="R3" s="25" t="s">
        <v>345</v>
      </c>
    </row>
    <row r="4" spans="1:18" s="25" customFormat="1" ht="18" customHeight="1">
      <c r="A4" s="74" t="s">
        <v>356</v>
      </c>
      <c r="B4" s="127">
        <f>COUNTA(F12:F1000)</f>
        <v>185</v>
      </c>
      <c r="C4" s="128"/>
      <c r="D4" s="128"/>
      <c r="E4" s="129"/>
      <c r="F4" s="63"/>
      <c r="G4" s="57"/>
      <c r="H4" s="9"/>
      <c r="I4" s="63"/>
      <c r="J4" s="57"/>
      <c r="K4" s="9"/>
      <c r="L4" s="63"/>
      <c r="M4" s="57"/>
      <c r="N4" s="9"/>
      <c r="O4" s="9"/>
      <c r="P4" s="9"/>
      <c r="Q4" s="24"/>
      <c r="R4" s="25" t="s">
        <v>346</v>
      </c>
    </row>
    <row r="5" spans="1:18" s="25" customFormat="1" ht="19.5" customHeight="1">
      <c r="A5" s="67" t="s">
        <v>357</v>
      </c>
      <c r="B5" s="65" t="s">
        <v>344</v>
      </c>
      <c r="C5" s="65" t="s">
        <v>345</v>
      </c>
      <c r="D5" s="65" t="s">
        <v>346</v>
      </c>
      <c r="E5" s="68" t="s">
        <v>347</v>
      </c>
      <c r="F5" s="58"/>
      <c r="G5" s="58"/>
      <c r="H5" s="26"/>
      <c r="I5" s="58"/>
      <c r="J5" s="58"/>
      <c r="K5" s="26"/>
      <c r="L5" s="58"/>
      <c r="M5" s="58"/>
      <c r="N5" s="26"/>
      <c r="O5" s="26"/>
      <c r="P5" s="26"/>
      <c r="Q5" s="27"/>
      <c r="R5" s="25" t="s">
        <v>347</v>
      </c>
    </row>
    <row r="6" spans="1:18" s="25" customFormat="1" ht="15" customHeight="1">
      <c r="A6" s="67" t="s">
        <v>358</v>
      </c>
      <c r="B6" s="66">
        <f>COUNTIF($F$10:$F$998,B$5)</f>
        <v>33</v>
      </c>
      <c r="C6" s="66">
        <f>COUNTIF($F$10:$F$998,C$5)</f>
        <v>0</v>
      </c>
      <c r="D6" s="66">
        <f>COUNTIF($F$10:$F$998,D$5)</f>
        <v>152</v>
      </c>
      <c r="E6" s="72">
        <f>COUNTIF($F$10:$F$998,E$5)</f>
        <v>0</v>
      </c>
      <c r="F6" s="59"/>
      <c r="G6" s="59"/>
      <c r="H6" s="26"/>
      <c r="I6" s="59"/>
      <c r="J6" s="59"/>
      <c r="K6" s="26"/>
      <c r="L6" s="59"/>
      <c r="M6" s="59"/>
      <c r="N6" s="26"/>
      <c r="O6" s="26"/>
      <c r="P6" s="26"/>
      <c r="Q6" s="27"/>
    </row>
    <row r="7" spans="1:18" s="25" customFormat="1" ht="15" customHeight="1">
      <c r="A7" s="67" t="s">
        <v>359</v>
      </c>
      <c r="B7" s="66">
        <f>COUNTIF($I$10:$I$998,B$5)</f>
        <v>0</v>
      </c>
      <c r="C7" s="66">
        <f>COUNTIF($I$10:$I$998,C$5)</f>
        <v>0</v>
      </c>
      <c r="D7" s="66">
        <f>COUNTIF($I$10:$I$998,D$5)</f>
        <v>185</v>
      </c>
      <c r="E7" s="72">
        <f>COUNTIF($I$10:$I$998,E$5)</f>
        <v>0</v>
      </c>
      <c r="F7" s="59"/>
      <c r="G7" s="59"/>
      <c r="H7" s="26"/>
      <c r="I7" s="59"/>
      <c r="J7" s="59"/>
      <c r="K7" s="26"/>
      <c r="L7" s="59"/>
      <c r="M7" s="59"/>
      <c r="N7" s="26"/>
      <c r="O7" s="26"/>
      <c r="P7" s="26"/>
      <c r="Q7" s="27"/>
    </row>
    <row r="8" spans="1:18" s="25" customFormat="1" ht="15" customHeight="1" thickBot="1">
      <c r="A8" s="69" t="s">
        <v>360</v>
      </c>
      <c r="B8" s="70">
        <f>COUNTIF($L$10:$L$998,B$5)</f>
        <v>0</v>
      </c>
      <c r="C8" s="70">
        <f>COUNTIF($L$10:$L$998,C$5)</f>
        <v>0</v>
      </c>
      <c r="D8" s="70">
        <f>COUNTIF($L$10:$L$998,D$5)</f>
        <v>185</v>
      </c>
      <c r="E8" s="71">
        <f>COUNTIF($L$10:$L$998,E$5)</f>
        <v>0</v>
      </c>
      <c r="F8" s="59"/>
      <c r="G8" s="59"/>
      <c r="H8" s="26"/>
      <c r="I8" s="59"/>
      <c r="J8" s="59"/>
      <c r="K8" s="26"/>
      <c r="L8" s="59"/>
      <c r="M8" s="59"/>
      <c r="N8" s="26"/>
      <c r="O8" s="26"/>
      <c r="P8" s="26"/>
      <c r="Q8" s="27"/>
    </row>
    <row r="9" spans="1:18" s="25" customFormat="1" ht="15" customHeight="1">
      <c r="A9" s="26"/>
      <c r="B9" s="26"/>
      <c r="C9" s="26"/>
      <c r="D9" s="26"/>
      <c r="E9" s="26"/>
      <c r="F9" s="28"/>
      <c r="G9" s="26"/>
      <c r="H9" s="26"/>
      <c r="I9" s="28"/>
      <c r="J9" s="26"/>
      <c r="K9" s="26"/>
      <c r="L9" s="28"/>
      <c r="M9" s="26"/>
      <c r="N9" s="26"/>
      <c r="O9" s="26"/>
      <c r="P9" s="26"/>
      <c r="Q9" s="27"/>
    </row>
    <row r="10" spans="1:18" s="25" customFormat="1" ht="25.5" customHeight="1">
      <c r="A10" s="64" t="s">
        <v>361</v>
      </c>
      <c r="B10" s="64" t="s">
        <v>362</v>
      </c>
      <c r="C10" s="64" t="s">
        <v>363</v>
      </c>
      <c r="D10" s="64" t="s">
        <v>364</v>
      </c>
      <c r="E10" s="64" t="s">
        <v>365</v>
      </c>
      <c r="F10" s="64" t="s">
        <v>358</v>
      </c>
      <c r="G10" s="64" t="s">
        <v>366</v>
      </c>
      <c r="H10" s="64" t="s">
        <v>367</v>
      </c>
      <c r="I10" s="64" t="s">
        <v>359</v>
      </c>
      <c r="J10" s="64" t="s">
        <v>366</v>
      </c>
      <c r="K10" s="64" t="s">
        <v>367</v>
      </c>
      <c r="L10" s="64" t="s">
        <v>360</v>
      </c>
      <c r="M10" s="64" t="s">
        <v>366</v>
      </c>
      <c r="N10" s="64" t="s">
        <v>367</v>
      </c>
      <c r="O10" s="64" t="s">
        <v>368</v>
      </c>
      <c r="Q10" s="29"/>
    </row>
    <row r="11" spans="1:18" s="25" customFormat="1" ht="15.75" customHeight="1">
      <c r="A11" s="60" t="s">
        <v>315</v>
      </c>
      <c r="B11" s="60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2"/>
      <c r="Q11" s="30"/>
    </row>
    <row r="12" spans="1:18" s="32" customFormat="1" ht="70.05" customHeight="1" outlineLevel="1">
      <c r="A12" s="109" t="s">
        <v>7737</v>
      </c>
      <c r="B12" s="110" t="s">
        <v>7738</v>
      </c>
      <c r="C12" s="110" t="s">
        <v>7739</v>
      </c>
      <c r="D12" s="111" t="s">
        <v>7740</v>
      </c>
      <c r="E12" s="111" t="s">
        <v>7741</v>
      </c>
      <c r="F12" s="109" t="s">
        <v>346</v>
      </c>
      <c r="G12" s="109"/>
      <c r="H12" s="109"/>
      <c r="I12" s="109" t="s">
        <v>346</v>
      </c>
      <c r="J12" s="109"/>
      <c r="K12" s="109"/>
      <c r="L12" s="109" t="s">
        <v>346</v>
      </c>
      <c r="M12" s="109"/>
      <c r="N12" s="109"/>
      <c r="O12" s="113" t="s">
        <v>2816</v>
      </c>
      <c r="Q12" s="31"/>
    </row>
    <row r="13" spans="1:18" ht="70.05" customHeight="1" outlineLevel="1">
      <c r="A13" s="109" t="s">
        <v>7742</v>
      </c>
      <c r="B13" s="110" t="s">
        <v>7743</v>
      </c>
      <c r="C13" s="110" t="s">
        <v>7744</v>
      </c>
      <c r="D13" s="111" t="s">
        <v>7745</v>
      </c>
      <c r="E13" s="111" t="s">
        <v>7741</v>
      </c>
      <c r="F13" s="109" t="s">
        <v>346</v>
      </c>
      <c r="G13" s="109"/>
      <c r="H13" s="109"/>
      <c r="I13" s="109" t="s">
        <v>346</v>
      </c>
      <c r="J13" s="109"/>
      <c r="K13" s="109"/>
      <c r="L13" s="109" t="s">
        <v>346</v>
      </c>
      <c r="M13" s="109"/>
      <c r="N13" s="109"/>
      <c r="O13" s="113" t="s">
        <v>2816</v>
      </c>
      <c r="Q13" s="31"/>
    </row>
    <row r="14" spans="1:18" ht="70.05" customHeight="1" outlineLevel="1">
      <c r="A14" s="109" t="s">
        <v>7746</v>
      </c>
      <c r="B14" s="110" t="s">
        <v>7747</v>
      </c>
      <c r="C14" s="110" t="s">
        <v>7748</v>
      </c>
      <c r="D14" s="111" t="s">
        <v>7749</v>
      </c>
      <c r="E14" s="111" t="s">
        <v>7741</v>
      </c>
      <c r="F14" s="109" t="s">
        <v>346</v>
      </c>
      <c r="G14" s="109"/>
      <c r="H14" s="109"/>
      <c r="I14" s="109" t="s">
        <v>346</v>
      </c>
      <c r="J14" s="109"/>
      <c r="K14" s="109"/>
      <c r="L14" s="109" t="s">
        <v>346</v>
      </c>
      <c r="M14" s="109"/>
      <c r="N14" s="109"/>
      <c r="O14" s="113" t="s">
        <v>2816</v>
      </c>
      <c r="Q14" s="31"/>
    </row>
    <row r="15" spans="1:18" s="25" customFormat="1" ht="70.05" customHeight="1" outlineLevel="1">
      <c r="A15" s="109" t="s">
        <v>7750</v>
      </c>
      <c r="B15" s="110" t="s">
        <v>7751</v>
      </c>
      <c r="C15" s="110" t="s">
        <v>7752</v>
      </c>
      <c r="D15" s="111" t="s">
        <v>7753</v>
      </c>
      <c r="E15" s="111" t="s">
        <v>7741</v>
      </c>
      <c r="F15" s="109" t="s">
        <v>346</v>
      </c>
      <c r="G15" s="109"/>
      <c r="H15" s="109"/>
      <c r="I15" s="109" t="s">
        <v>346</v>
      </c>
      <c r="J15" s="109"/>
      <c r="K15" s="109"/>
      <c r="L15" s="109" t="s">
        <v>346</v>
      </c>
      <c r="M15" s="109"/>
      <c r="N15" s="109"/>
      <c r="O15" s="113" t="s">
        <v>2816</v>
      </c>
      <c r="Q15" s="30"/>
    </row>
    <row r="16" spans="1:18" ht="70.05" customHeight="1" outlineLevel="1">
      <c r="A16" s="109" t="s">
        <v>7754</v>
      </c>
      <c r="B16" s="110" t="s">
        <v>7755</v>
      </c>
      <c r="C16" s="110" t="s">
        <v>7756</v>
      </c>
      <c r="D16" s="111" t="s">
        <v>7757</v>
      </c>
      <c r="E16" s="111" t="s">
        <v>7741</v>
      </c>
      <c r="F16" s="109" t="s">
        <v>346</v>
      </c>
      <c r="G16" s="109"/>
      <c r="H16" s="109"/>
      <c r="I16" s="109" t="s">
        <v>346</v>
      </c>
      <c r="J16" s="109"/>
      <c r="K16" s="109"/>
      <c r="L16" s="109" t="s">
        <v>346</v>
      </c>
      <c r="M16" s="109"/>
      <c r="N16" s="109"/>
      <c r="O16" s="113" t="s">
        <v>2816</v>
      </c>
      <c r="Q16" s="31"/>
    </row>
    <row r="17" spans="1:17" ht="70.05" customHeight="1" outlineLevel="1">
      <c r="A17" s="109" t="s">
        <v>7758</v>
      </c>
      <c r="B17" s="110" t="s">
        <v>7759</v>
      </c>
      <c r="C17" s="110" t="s">
        <v>7760</v>
      </c>
      <c r="D17" s="111" t="s">
        <v>7757</v>
      </c>
      <c r="E17" s="111" t="s">
        <v>7741</v>
      </c>
      <c r="F17" s="109" t="s">
        <v>346</v>
      </c>
      <c r="G17" s="109"/>
      <c r="H17" s="109"/>
      <c r="I17" s="109" t="s">
        <v>346</v>
      </c>
      <c r="J17" s="109"/>
      <c r="K17" s="109"/>
      <c r="L17" s="109" t="s">
        <v>346</v>
      </c>
      <c r="M17" s="109"/>
      <c r="N17" s="109"/>
      <c r="O17" s="113" t="s">
        <v>2816</v>
      </c>
    </row>
    <row r="18" spans="1:17" s="25" customFormat="1" ht="70.05" customHeight="1" outlineLevel="1">
      <c r="A18" s="109" t="s">
        <v>7761</v>
      </c>
      <c r="B18" s="110" t="s">
        <v>7762</v>
      </c>
      <c r="C18" s="110" t="s">
        <v>7763</v>
      </c>
      <c r="D18" s="111" t="s">
        <v>7764</v>
      </c>
      <c r="E18" s="111" t="s">
        <v>7741</v>
      </c>
      <c r="F18" s="109" t="s">
        <v>346</v>
      </c>
      <c r="G18" s="109"/>
      <c r="H18" s="109"/>
      <c r="I18" s="109" t="s">
        <v>346</v>
      </c>
      <c r="J18" s="109"/>
      <c r="K18" s="109"/>
      <c r="L18" s="109" t="s">
        <v>346</v>
      </c>
      <c r="M18" s="109"/>
      <c r="N18" s="109"/>
      <c r="O18" s="113" t="s">
        <v>2816</v>
      </c>
      <c r="Q18" s="30"/>
    </row>
    <row r="19" spans="1:17" ht="70.05" customHeight="1" outlineLevel="1">
      <c r="A19" s="109" t="s">
        <v>7765</v>
      </c>
      <c r="B19" s="110" t="s">
        <v>7766</v>
      </c>
      <c r="C19" s="110" t="s">
        <v>7767</v>
      </c>
      <c r="D19" s="111" t="s">
        <v>7768</v>
      </c>
      <c r="E19" s="111" t="s">
        <v>7741</v>
      </c>
      <c r="F19" s="109" t="s">
        <v>346</v>
      </c>
      <c r="G19" s="109"/>
      <c r="H19" s="109"/>
      <c r="I19" s="109" t="s">
        <v>346</v>
      </c>
      <c r="J19" s="109"/>
      <c r="K19" s="109"/>
      <c r="L19" s="109" t="s">
        <v>346</v>
      </c>
      <c r="M19" s="109"/>
      <c r="N19" s="109"/>
      <c r="O19" s="113" t="s">
        <v>2816</v>
      </c>
      <c r="Q19" s="31"/>
    </row>
    <row r="20" spans="1:17" ht="70.05" customHeight="1" outlineLevel="1">
      <c r="A20" s="109" t="s">
        <v>7769</v>
      </c>
      <c r="B20" s="110" t="s">
        <v>7770</v>
      </c>
      <c r="C20" s="110" t="s">
        <v>7771</v>
      </c>
      <c r="D20" s="111" t="s">
        <v>7772</v>
      </c>
      <c r="E20" s="111" t="s">
        <v>7741</v>
      </c>
      <c r="F20" s="109" t="s">
        <v>346</v>
      </c>
      <c r="G20" s="109"/>
      <c r="H20" s="109"/>
      <c r="I20" s="109" t="s">
        <v>346</v>
      </c>
      <c r="J20" s="109"/>
      <c r="K20" s="109"/>
      <c r="L20" s="109" t="s">
        <v>346</v>
      </c>
      <c r="M20" s="109"/>
      <c r="N20" s="109"/>
      <c r="O20" s="113" t="s">
        <v>2816</v>
      </c>
    </row>
    <row r="21" spans="1:17" ht="70.05" customHeight="1" outlineLevel="1">
      <c r="A21" s="109" t="s">
        <v>7773</v>
      </c>
      <c r="B21" s="110" t="s">
        <v>7774</v>
      </c>
      <c r="C21" s="110" t="s">
        <v>7775</v>
      </c>
      <c r="D21" s="111" t="s">
        <v>7776</v>
      </c>
      <c r="E21" s="111" t="s">
        <v>7777</v>
      </c>
      <c r="F21" s="109" t="s">
        <v>346</v>
      </c>
      <c r="G21" s="109"/>
      <c r="H21" s="109"/>
      <c r="I21" s="109" t="s">
        <v>346</v>
      </c>
      <c r="J21" s="109"/>
      <c r="K21" s="109"/>
      <c r="L21" s="109" t="s">
        <v>346</v>
      </c>
      <c r="M21" s="109"/>
      <c r="N21" s="109"/>
      <c r="O21" s="113" t="s">
        <v>2816</v>
      </c>
    </row>
    <row r="22" spans="1:17" ht="70.05" customHeight="1" outlineLevel="1">
      <c r="A22" s="109" t="s">
        <v>7778</v>
      </c>
      <c r="B22" s="110" t="s">
        <v>7774</v>
      </c>
      <c r="C22" s="110" t="s">
        <v>7775</v>
      </c>
      <c r="D22" s="111" t="s">
        <v>7779</v>
      </c>
      <c r="E22" s="111" t="s">
        <v>7780</v>
      </c>
      <c r="F22" s="109" t="s">
        <v>346</v>
      </c>
      <c r="G22" s="109"/>
      <c r="H22" s="109"/>
      <c r="I22" s="109" t="s">
        <v>346</v>
      </c>
      <c r="J22" s="109"/>
      <c r="K22" s="109"/>
      <c r="L22" s="109" t="s">
        <v>346</v>
      </c>
      <c r="M22" s="109"/>
      <c r="N22" s="109"/>
      <c r="O22" s="113" t="s">
        <v>2816</v>
      </c>
    </row>
    <row r="23" spans="1:17" ht="70.05" customHeight="1" outlineLevel="1">
      <c r="A23" s="109" t="s">
        <v>7781</v>
      </c>
      <c r="B23" s="110" t="s">
        <v>7782</v>
      </c>
      <c r="C23" s="110" t="s">
        <v>7783</v>
      </c>
      <c r="D23" s="111" t="s">
        <v>7784</v>
      </c>
      <c r="E23" s="111" t="s">
        <v>7741</v>
      </c>
      <c r="F23" s="109" t="s">
        <v>346</v>
      </c>
      <c r="G23" s="109"/>
      <c r="H23" s="109"/>
      <c r="I23" s="109" t="s">
        <v>346</v>
      </c>
      <c r="J23" s="109"/>
      <c r="K23" s="109"/>
      <c r="L23" s="109" t="s">
        <v>346</v>
      </c>
      <c r="M23" s="109"/>
      <c r="N23" s="109"/>
      <c r="O23" s="113" t="s">
        <v>2816</v>
      </c>
    </row>
    <row r="24" spans="1:17" ht="70.05" customHeight="1" outlineLevel="1">
      <c r="A24" s="109" t="s">
        <v>7785</v>
      </c>
      <c r="B24" s="110" t="s">
        <v>7786</v>
      </c>
      <c r="C24" s="110" t="s">
        <v>7787</v>
      </c>
      <c r="D24" s="111" t="s">
        <v>7784</v>
      </c>
      <c r="E24" s="111" t="s">
        <v>7741</v>
      </c>
      <c r="F24" s="109" t="s">
        <v>346</v>
      </c>
      <c r="G24" s="109"/>
      <c r="H24" s="109"/>
      <c r="I24" s="109" t="s">
        <v>346</v>
      </c>
      <c r="J24" s="109"/>
      <c r="K24" s="109"/>
      <c r="L24" s="109" t="s">
        <v>346</v>
      </c>
      <c r="M24" s="109"/>
      <c r="N24" s="109"/>
      <c r="O24" s="113" t="s">
        <v>2816</v>
      </c>
    </row>
    <row r="25" spans="1:17" ht="70.05" customHeight="1" outlineLevel="1">
      <c r="A25" s="109" t="s">
        <v>7788</v>
      </c>
      <c r="B25" s="110" t="s">
        <v>7789</v>
      </c>
      <c r="C25" s="110" t="s">
        <v>7790</v>
      </c>
      <c r="D25" s="111" t="s">
        <v>7784</v>
      </c>
      <c r="E25" s="111" t="s">
        <v>7741</v>
      </c>
      <c r="F25" s="109" t="s">
        <v>346</v>
      </c>
      <c r="G25" s="109"/>
      <c r="H25" s="109"/>
      <c r="I25" s="109" t="s">
        <v>346</v>
      </c>
      <c r="J25" s="109"/>
      <c r="K25" s="109"/>
      <c r="L25" s="109" t="s">
        <v>346</v>
      </c>
      <c r="M25" s="109"/>
      <c r="N25" s="109"/>
      <c r="O25" s="113" t="s">
        <v>2816</v>
      </c>
    </row>
    <row r="26" spans="1:17" ht="70.05" customHeight="1" outlineLevel="1">
      <c r="A26" s="109" t="s">
        <v>7791</v>
      </c>
      <c r="B26" s="110" t="s">
        <v>7792</v>
      </c>
      <c r="C26" s="110" t="s">
        <v>7793</v>
      </c>
      <c r="D26" s="111" t="s">
        <v>7784</v>
      </c>
      <c r="E26" s="111" t="s">
        <v>7741</v>
      </c>
      <c r="F26" s="109" t="s">
        <v>346</v>
      </c>
      <c r="G26" s="109"/>
      <c r="H26" s="109"/>
      <c r="I26" s="109" t="s">
        <v>346</v>
      </c>
      <c r="J26" s="109"/>
      <c r="K26" s="109"/>
      <c r="L26" s="109" t="s">
        <v>346</v>
      </c>
      <c r="M26" s="109"/>
      <c r="N26" s="109"/>
      <c r="O26" s="113" t="s">
        <v>2816</v>
      </c>
    </row>
    <row r="27" spans="1:17" ht="70.05" customHeight="1" outlineLevel="1">
      <c r="A27" s="109" t="s">
        <v>7794</v>
      </c>
      <c r="B27" s="110" t="s">
        <v>7774</v>
      </c>
      <c r="C27" s="110" t="s">
        <v>7795</v>
      </c>
      <c r="D27" s="111" t="s">
        <v>7784</v>
      </c>
      <c r="E27" s="111" t="s">
        <v>7741</v>
      </c>
      <c r="F27" s="109" t="s">
        <v>346</v>
      </c>
      <c r="G27" s="109"/>
      <c r="H27" s="109"/>
      <c r="I27" s="109" t="s">
        <v>346</v>
      </c>
      <c r="J27" s="109"/>
      <c r="K27" s="109"/>
      <c r="L27" s="109" t="s">
        <v>346</v>
      </c>
      <c r="M27" s="109"/>
      <c r="N27" s="109"/>
      <c r="O27" s="113" t="s">
        <v>2816</v>
      </c>
    </row>
    <row r="28" spans="1:17" ht="15.75" customHeight="1">
      <c r="A28" s="60" t="s">
        <v>319</v>
      </c>
      <c r="B28" s="60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2"/>
    </row>
    <row r="29" spans="1:17" ht="70.05" customHeight="1" outlineLevel="1">
      <c r="A29" s="109" t="s">
        <v>7796</v>
      </c>
      <c r="B29" s="110" t="s">
        <v>7797</v>
      </c>
      <c r="C29" s="110" t="s">
        <v>7798</v>
      </c>
      <c r="D29" s="111" t="s">
        <v>7799</v>
      </c>
      <c r="E29" s="111" t="s">
        <v>7800</v>
      </c>
      <c r="F29" s="109" t="s">
        <v>346</v>
      </c>
      <c r="G29" s="109"/>
      <c r="H29" s="109"/>
      <c r="I29" s="109" t="s">
        <v>346</v>
      </c>
      <c r="J29" s="109"/>
      <c r="K29" s="109"/>
      <c r="L29" s="109" t="s">
        <v>346</v>
      </c>
      <c r="M29" s="109"/>
      <c r="N29" s="109"/>
      <c r="O29" s="113" t="s">
        <v>2816</v>
      </c>
    </row>
    <row r="30" spans="1:17" ht="70.05" customHeight="1" outlineLevel="1">
      <c r="A30" s="109" t="s">
        <v>7801</v>
      </c>
      <c r="B30" s="110" t="s">
        <v>7797</v>
      </c>
      <c r="C30" s="110" t="s">
        <v>7798</v>
      </c>
      <c r="D30" s="111" t="s">
        <v>7802</v>
      </c>
      <c r="E30" s="111" t="s">
        <v>7800</v>
      </c>
      <c r="F30" s="109" t="s">
        <v>346</v>
      </c>
      <c r="G30" s="109"/>
      <c r="H30" s="109"/>
      <c r="I30" s="109" t="s">
        <v>346</v>
      </c>
      <c r="J30" s="109"/>
      <c r="K30" s="109"/>
      <c r="L30" s="109" t="s">
        <v>346</v>
      </c>
      <c r="M30" s="109"/>
      <c r="N30" s="109"/>
      <c r="O30" s="113" t="s">
        <v>2816</v>
      </c>
    </row>
    <row r="31" spans="1:17" ht="70.05" customHeight="1" outlineLevel="1">
      <c r="A31" s="109" t="s">
        <v>7803</v>
      </c>
      <c r="B31" s="110" t="s">
        <v>7797</v>
      </c>
      <c r="C31" s="110" t="s">
        <v>7798</v>
      </c>
      <c r="D31" s="111" t="s">
        <v>7804</v>
      </c>
      <c r="E31" s="111" t="s">
        <v>7805</v>
      </c>
      <c r="F31" s="109" t="s">
        <v>346</v>
      </c>
      <c r="G31" s="109"/>
      <c r="H31" s="109"/>
      <c r="I31" s="109" t="s">
        <v>346</v>
      </c>
      <c r="J31" s="109"/>
      <c r="K31" s="109"/>
      <c r="L31" s="109" t="s">
        <v>346</v>
      </c>
      <c r="M31" s="109"/>
      <c r="N31" s="109"/>
      <c r="O31" s="113" t="s">
        <v>2816</v>
      </c>
    </row>
    <row r="32" spans="1:17" ht="70.05" customHeight="1" outlineLevel="1">
      <c r="A32" s="109" t="s">
        <v>7806</v>
      </c>
      <c r="B32" s="110" t="s">
        <v>7797</v>
      </c>
      <c r="C32" s="110" t="s">
        <v>7798</v>
      </c>
      <c r="D32" s="111" t="s">
        <v>7807</v>
      </c>
      <c r="E32" s="111" t="s">
        <v>7808</v>
      </c>
      <c r="F32" s="109" t="s">
        <v>346</v>
      </c>
      <c r="G32" s="109"/>
      <c r="H32" s="109"/>
      <c r="I32" s="109" t="s">
        <v>346</v>
      </c>
      <c r="J32" s="109"/>
      <c r="K32" s="109"/>
      <c r="L32" s="109" t="s">
        <v>346</v>
      </c>
      <c r="M32" s="109"/>
      <c r="N32" s="109"/>
      <c r="O32" s="113" t="s">
        <v>2816</v>
      </c>
    </row>
    <row r="33" spans="1:15" ht="70.05" customHeight="1" outlineLevel="1">
      <c r="A33" s="109" t="s">
        <v>7809</v>
      </c>
      <c r="B33" s="110" t="s">
        <v>7797</v>
      </c>
      <c r="C33" s="110" t="s">
        <v>7798</v>
      </c>
      <c r="D33" s="111" t="s">
        <v>7810</v>
      </c>
      <c r="E33" s="111" t="s">
        <v>7811</v>
      </c>
      <c r="F33" s="109" t="s">
        <v>346</v>
      </c>
      <c r="G33" s="109"/>
      <c r="H33" s="109"/>
      <c r="I33" s="109" t="s">
        <v>346</v>
      </c>
      <c r="J33" s="109"/>
      <c r="K33" s="109"/>
      <c r="L33" s="109" t="s">
        <v>346</v>
      </c>
      <c r="M33" s="109"/>
      <c r="N33" s="109"/>
      <c r="O33" s="113" t="s">
        <v>2816</v>
      </c>
    </row>
    <row r="34" spans="1:15" ht="70.05" customHeight="1" outlineLevel="1">
      <c r="A34" s="109" t="s">
        <v>7812</v>
      </c>
      <c r="B34" s="110" t="s">
        <v>7797</v>
      </c>
      <c r="C34" s="110" t="s">
        <v>7798</v>
      </c>
      <c r="D34" s="111" t="s">
        <v>7813</v>
      </c>
      <c r="E34" s="111" t="s">
        <v>7814</v>
      </c>
      <c r="F34" s="109" t="s">
        <v>346</v>
      </c>
      <c r="G34" s="109"/>
      <c r="H34" s="109"/>
      <c r="I34" s="109" t="s">
        <v>346</v>
      </c>
      <c r="J34" s="109"/>
      <c r="K34" s="109"/>
      <c r="L34" s="109" t="s">
        <v>346</v>
      </c>
      <c r="M34" s="109"/>
      <c r="N34" s="109"/>
      <c r="O34" s="113" t="s">
        <v>2816</v>
      </c>
    </row>
    <row r="35" spans="1:15" ht="70.05" customHeight="1" outlineLevel="1">
      <c r="A35" s="109" t="s">
        <v>7815</v>
      </c>
      <c r="B35" s="110" t="s">
        <v>7816</v>
      </c>
      <c r="C35" s="110" t="s">
        <v>7798</v>
      </c>
      <c r="D35" s="111" t="s">
        <v>7817</v>
      </c>
      <c r="E35" s="111" t="s">
        <v>7818</v>
      </c>
      <c r="F35" s="109" t="s">
        <v>346</v>
      </c>
      <c r="G35" s="109"/>
      <c r="H35" s="109"/>
      <c r="I35" s="109" t="s">
        <v>346</v>
      </c>
      <c r="J35" s="109"/>
      <c r="K35" s="109"/>
      <c r="L35" s="109" t="s">
        <v>346</v>
      </c>
      <c r="M35" s="109"/>
      <c r="N35" s="109"/>
      <c r="O35" s="113" t="s">
        <v>2816</v>
      </c>
    </row>
    <row r="36" spans="1:15" ht="70.05" customHeight="1" outlineLevel="1">
      <c r="A36" s="109" t="s">
        <v>7819</v>
      </c>
      <c r="B36" s="110" t="s">
        <v>7816</v>
      </c>
      <c r="C36" s="110" t="s">
        <v>7798</v>
      </c>
      <c r="D36" s="111" t="s">
        <v>7820</v>
      </c>
      <c r="E36" s="111" t="s">
        <v>7821</v>
      </c>
      <c r="F36" s="109" t="s">
        <v>346</v>
      </c>
      <c r="G36" s="109"/>
      <c r="H36" s="109"/>
      <c r="I36" s="109" t="s">
        <v>346</v>
      </c>
      <c r="J36" s="109"/>
      <c r="K36" s="109"/>
      <c r="L36" s="109" t="s">
        <v>346</v>
      </c>
      <c r="M36" s="109"/>
      <c r="N36" s="109"/>
      <c r="O36" s="113" t="s">
        <v>2816</v>
      </c>
    </row>
    <row r="37" spans="1:15" ht="70.05" customHeight="1" outlineLevel="1">
      <c r="A37" s="109" t="s">
        <v>7822</v>
      </c>
      <c r="B37" s="110" t="s">
        <v>7816</v>
      </c>
      <c r="C37" s="110" t="s">
        <v>7798</v>
      </c>
      <c r="D37" s="111" t="s">
        <v>7823</v>
      </c>
      <c r="E37" s="111" t="s">
        <v>7824</v>
      </c>
      <c r="F37" s="109" t="s">
        <v>346</v>
      </c>
      <c r="G37" s="109"/>
      <c r="H37" s="109"/>
      <c r="I37" s="109" t="s">
        <v>346</v>
      </c>
      <c r="J37" s="109"/>
      <c r="K37" s="109"/>
      <c r="L37" s="109" t="s">
        <v>346</v>
      </c>
      <c r="M37" s="109"/>
      <c r="N37" s="109"/>
      <c r="O37" s="113" t="s">
        <v>2816</v>
      </c>
    </row>
    <row r="38" spans="1:15" ht="70.05" customHeight="1" outlineLevel="1">
      <c r="A38" s="109" t="s">
        <v>7825</v>
      </c>
      <c r="B38" s="110" t="s">
        <v>7816</v>
      </c>
      <c r="C38" s="110" t="s">
        <v>7798</v>
      </c>
      <c r="D38" s="111" t="s">
        <v>7826</v>
      </c>
      <c r="E38" s="111" t="s">
        <v>7827</v>
      </c>
      <c r="F38" s="109" t="s">
        <v>346</v>
      </c>
      <c r="G38" s="109"/>
      <c r="H38" s="109"/>
      <c r="I38" s="109" t="s">
        <v>346</v>
      </c>
      <c r="J38" s="109"/>
      <c r="K38" s="109"/>
      <c r="L38" s="109" t="s">
        <v>346</v>
      </c>
      <c r="M38" s="109"/>
      <c r="N38" s="109"/>
      <c r="O38" s="113" t="s">
        <v>2816</v>
      </c>
    </row>
    <row r="39" spans="1:15" ht="70.05" customHeight="1" outlineLevel="1">
      <c r="A39" s="109" t="s">
        <v>7828</v>
      </c>
      <c r="B39" s="110" t="s">
        <v>7816</v>
      </c>
      <c r="C39" s="110" t="s">
        <v>7798</v>
      </c>
      <c r="D39" s="111" t="s">
        <v>7829</v>
      </c>
      <c r="E39" s="111" t="s">
        <v>7830</v>
      </c>
      <c r="F39" s="109" t="s">
        <v>346</v>
      </c>
      <c r="G39" s="109"/>
      <c r="H39" s="109"/>
      <c r="I39" s="109" t="s">
        <v>346</v>
      </c>
      <c r="J39" s="109"/>
      <c r="K39" s="109"/>
      <c r="L39" s="109" t="s">
        <v>346</v>
      </c>
      <c r="M39" s="109"/>
      <c r="N39" s="109"/>
      <c r="O39" s="113" t="s">
        <v>2816</v>
      </c>
    </row>
    <row r="40" spans="1:15" ht="70.05" customHeight="1" outlineLevel="1">
      <c r="A40" s="109" t="s">
        <v>7831</v>
      </c>
      <c r="B40" s="110" t="s">
        <v>7832</v>
      </c>
      <c r="C40" s="110" t="s">
        <v>7798</v>
      </c>
      <c r="D40" s="111" t="s">
        <v>7776</v>
      </c>
      <c r="E40" s="111" t="s">
        <v>7777</v>
      </c>
      <c r="F40" s="109" t="s">
        <v>346</v>
      </c>
      <c r="G40" s="109"/>
      <c r="H40" s="109"/>
      <c r="I40" s="109" t="s">
        <v>346</v>
      </c>
      <c r="J40" s="109"/>
      <c r="K40" s="109"/>
      <c r="L40" s="109" t="s">
        <v>346</v>
      </c>
      <c r="M40" s="109"/>
      <c r="N40" s="109"/>
      <c r="O40" s="113" t="s">
        <v>2816</v>
      </c>
    </row>
    <row r="41" spans="1:15" ht="70.05" customHeight="1" outlineLevel="1">
      <c r="A41" s="109" t="s">
        <v>7833</v>
      </c>
      <c r="B41" s="110" t="s">
        <v>7832</v>
      </c>
      <c r="C41" s="110" t="s">
        <v>7798</v>
      </c>
      <c r="D41" s="111" t="s">
        <v>7776</v>
      </c>
      <c r="E41" s="111" t="s">
        <v>7834</v>
      </c>
      <c r="F41" s="109" t="s">
        <v>346</v>
      </c>
      <c r="G41" s="109"/>
      <c r="H41" s="109"/>
      <c r="I41" s="109" t="s">
        <v>346</v>
      </c>
      <c r="J41" s="109"/>
      <c r="K41" s="109"/>
      <c r="L41" s="109" t="s">
        <v>346</v>
      </c>
      <c r="M41" s="109"/>
      <c r="N41" s="109"/>
      <c r="O41" s="113" t="s">
        <v>2816</v>
      </c>
    </row>
    <row r="42" spans="1:15" ht="70.05" customHeight="1" outlineLevel="1">
      <c r="A42" s="109" t="s">
        <v>7835</v>
      </c>
      <c r="B42" s="110" t="s">
        <v>7832</v>
      </c>
      <c r="C42" s="110" t="s">
        <v>7798</v>
      </c>
      <c r="D42" s="111" t="s">
        <v>7779</v>
      </c>
      <c r="E42" s="111" t="s">
        <v>7780</v>
      </c>
      <c r="F42" s="109" t="s">
        <v>346</v>
      </c>
      <c r="G42" s="109"/>
      <c r="H42" s="109"/>
      <c r="I42" s="109" t="s">
        <v>346</v>
      </c>
      <c r="J42" s="109"/>
      <c r="K42" s="109"/>
      <c r="L42" s="109" t="s">
        <v>346</v>
      </c>
      <c r="M42" s="109"/>
      <c r="N42" s="109"/>
      <c r="O42" s="113" t="s">
        <v>2816</v>
      </c>
    </row>
    <row r="43" spans="1:15" ht="70.05" customHeight="1" outlineLevel="1">
      <c r="A43" s="109" t="s">
        <v>7836</v>
      </c>
      <c r="B43" s="110" t="s">
        <v>7832</v>
      </c>
      <c r="C43" s="110" t="s">
        <v>7798</v>
      </c>
      <c r="D43" s="111" t="s">
        <v>7779</v>
      </c>
      <c r="E43" s="111" t="s">
        <v>7837</v>
      </c>
      <c r="F43" s="109" t="s">
        <v>346</v>
      </c>
      <c r="G43" s="109"/>
      <c r="H43" s="109"/>
      <c r="I43" s="109" t="s">
        <v>346</v>
      </c>
      <c r="J43" s="109"/>
      <c r="K43" s="109"/>
      <c r="L43" s="109" t="s">
        <v>346</v>
      </c>
      <c r="M43" s="109"/>
      <c r="N43" s="109"/>
      <c r="O43" s="113" t="s">
        <v>2816</v>
      </c>
    </row>
    <row r="44" spans="1:15" ht="70.05" customHeight="1" outlineLevel="1">
      <c r="A44" s="109" t="s">
        <v>7838</v>
      </c>
      <c r="B44" s="110" t="s">
        <v>7832</v>
      </c>
      <c r="C44" s="110" t="s">
        <v>7798</v>
      </c>
      <c r="D44" s="111" t="s">
        <v>7839</v>
      </c>
      <c r="E44" s="111" t="s">
        <v>7840</v>
      </c>
      <c r="F44" s="109" t="s">
        <v>346</v>
      </c>
      <c r="G44" s="109"/>
      <c r="H44" s="109"/>
      <c r="I44" s="109" t="s">
        <v>346</v>
      </c>
      <c r="J44" s="109"/>
      <c r="K44" s="109"/>
      <c r="L44" s="109" t="s">
        <v>346</v>
      </c>
      <c r="M44" s="109"/>
      <c r="N44" s="109"/>
      <c r="O44" s="113" t="s">
        <v>2816</v>
      </c>
    </row>
    <row r="45" spans="1:15" ht="15.75" customHeight="1">
      <c r="A45" s="60" t="s">
        <v>321</v>
      </c>
      <c r="B45" s="60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2"/>
    </row>
    <row r="46" spans="1:15" ht="70.05" customHeight="1" outlineLevel="1">
      <c r="A46" s="109" t="s">
        <v>7841</v>
      </c>
      <c r="B46" s="110" t="s">
        <v>7842</v>
      </c>
      <c r="C46" s="110" t="s">
        <v>7843</v>
      </c>
      <c r="D46" s="111" t="s">
        <v>7844</v>
      </c>
      <c r="E46" s="111" t="s">
        <v>7845</v>
      </c>
      <c r="F46" s="109" t="s">
        <v>344</v>
      </c>
      <c r="G46" s="112">
        <v>46300</v>
      </c>
      <c r="H46" s="109" t="s">
        <v>5722</v>
      </c>
      <c r="I46" s="109" t="s">
        <v>346</v>
      </c>
      <c r="J46" s="109"/>
      <c r="K46" s="109"/>
      <c r="L46" s="109" t="s">
        <v>346</v>
      </c>
      <c r="M46" s="109"/>
      <c r="N46" s="109"/>
      <c r="O46" s="113"/>
    </row>
    <row r="47" spans="1:15" ht="70.05" customHeight="1" outlineLevel="1">
      <c r="A47" s="109" t="s">
        <v>7846</v>
      </c>
      <c r="B47" s="110" t="s">
        <v>7842</v>
      </c>
      <c r="C47" s="110" t="s">
        <v>7843</v>
      </c>
      <c r="D47" s="111" t="s">
        <v>7847</v>
      </c>
      <c r="E47" s="111" t="s">
        <v>7848</v>
      </c>
      <c r="F47" s="109" t="s">
        <v>344</v>
      </c>
      <c r="G47" s="112">
        <v>46300</v>
      </c>
      <c r="H47" s="109" t="s">
        <v>5722</v>
      </c>
      <c r="I47" s="109" t="s">
        <v>346</v>
      </c>
      <c r="J47" s="109"/>
      <c r="K47" s="109"/>
      <c r="L47" s="109" t="s">
        <v>346</v>
      </c>
      <c r="M47" s="109"/>
      <c r="N47" s="109"/>
      <c r="O47" s="113"/>
    </row>
    <row r="48" spans="1:15" ht="70.05" customHeight="1" outlineLevel="1">
      <c r="A48" s="109" t="s">
        <v>7849</v>
      </c>
      <c r="B48" s="110" t="s">
        <v>7850</v>
      </c>
      <c r="C48" s="110" t="s">
        <v>7851</v>
      </c>
      <c r="D48" s="111" t="s">
        <v>7852</v>
      </c>
      <c r="E48" s="111" t="s">
        <v>7845</v>
      </c>
      <c r="F48" s="109" t="s">
        <v>344</v>
      </c>
      <c r="G48" s="112">
        <v>46300</v>
      </c>
      <c r="H48" s="109" t="s">
        <v>5722</v>
      </c>
      <c r="I48" s="109" t="s">
        <v>346</v>
      </c>
      <c r="J48" s="109"/>
      <c r="K48" s="109"/>
      <c r="L48" s="109" t="s">
        <v>346</v>
      </c>
      <c r="M48" s="109"/>
      <c r="N48" s="109"/>
      <c r="O48" s="113"/>
    </row>
    <row r="49" spans="1:15" ht="70.05" customHeight="1" outlineLevel="1">
      <c r="A49" s="109" t="s">
        <v>7853</v>
      </c>
      <c r="B49" s="110" t="s">
        <v>7854</v>
      </c>
      <c r="C49" s="110" t="s">
        <v>7855</v>
      </c>
      <c r="D49" s="111" t="s">
        <v>7856</v>
      </c>
      <c r="E49" s="111" t="s">
        <v>7845</v>
      </c>
      <c r="F49" s="109" t="s">
        <v>344</v>
      </c>
      <c r="G49" s="112">
        <v>46300</v>
      </c>
      <c r="H49" s="109" t="s">
        <v>5722</v>
      </c>
      <c r="I49" s="109" t="s">
        <v>346</v>
      </c>
      <c r="J49" s="109"/>
      <c r="K49" s="109"/>
      <c r="L49" s="109" t="s">
        <v>346</v>
      </c>
      <c r="M49" s="109"/>
      <c r="N49" s="109"/>
      <c r="O49" s="113"/>
    </row>
    <row r="50" spans="1:15" ht="70.05" customHeight="1" outlineLevel="1">
      <c r="A50" s="109" t="s">
        <v>7857</v>
      </c>
      <c r="B50" s="110" t="s">
        <v>7858</v>
      </c>
      <c r="C50" s="110" t="s">
        <v>7859</v>
      </c>
      <c r="D50" s="111" t="s">
        <v>7860</v>
      </c>
      <c r="E50" s="111" t="s">
        <v>7861</v>
      </c>
      <c r="F50" s="109" t="s">
        <v>344</v>
      </c>
      <c r="G50" s="112">
        <v>46300</v>
      </c>
      <c r="H50" s="109" t="s">
        <v>5722</v>
      </c>
      <c r="I50" s="109" t="s">
        <v>346</v>
      </c>
      <c r="J50" s="109"/>
      <c r="K50" s="109"/>
      <c r="L50" s="109" t="s">
        <v>346</v>
      </c>
      <c r="M50" s="109"/>
      <c r="N50" s="109"/>
      <c r="O50" s="113"/>
    </row>
    <row r="51" spans="1:15" ht="70.05" customHeight="1" outlineLevel="1">
      <c r="A51" s="109" t="s">
        <v>7862</v>
      </c>
      <c r="B51" s="110" t="s">
        <v>7842</v>
      </c>
      <c r="C51" s="110" t="s">
        <v>7843</v>
      </c>
      <c r="D51" s="111" t="s">
        <v>7863</v>
      </c>
      <c r="E51" s="111" t="s">
        <v>7864</v>
      </c>
      <c r="F51" s="109" t="s">
        <v>344</v>
      </c>
      <c r="G51" s="112">
        <v>46300</v>
      </c>
      <c r="H51" s="109" t="s">
        <v>5722</v>
      </c>
      <c r="I51" s="109" t="s">
        <v>346</v>
      </c>
      <c r="J51" s="109"/>
      <c r="K51" s="109"/>
      <c r="L51" s="109" t="s">
        <v>346</v>
      </c>
      <c r="M51" s="109"/>
      <c r="N51" s="109"/>
      <c r="O51" s="113"/>
    </row>
    <row r="52" spans="1:15" ht="70.05" customHeight="1" outlineLevel="1">
      <c r="A52" s="109" t="s">
        <v>7865</v>
      </c>
      <c r="B52" s="110" t="s">
        <v>7842</v>
      </c>
      <c r="C52" s="110" t="s">
        <v>7843</v>
      </c>
      <c r="D52" s="111" t="s">
        <v>7866</v>
      </c>
      <c r="E52" s="111" t="s">
        <v>7867</v>
      </c>
      <c r="F52" s="109" t="s">
        <v>344</v>
      </c>
      <c r="G52" s="112">
        <v>46300</v>
      </c>
      <c r="H52" s="109" t="s">
        <v>5722</v>
      </c>
      <c r="I52" s="109" t="s">
        <v>346</v>
      </c>
      <c r="J52" s="109"/>
      <c r="K52" s="109"/>
      <c r="L52" s="109" t="s">
        <v>346</v>
      </c>
      <c r="M52" s="109"/>
      <c r="N52" s="109"/>
      <c r="O52" s="113"/>
    </row>
    <row r="53" spans="1:15" ht="70.05" customHeight="1" outlineLevel="1">
      <c r="A53" s="109" t="s">
        <v>7868</v>
      </c>
      <c r="B53" s="110" t="s">
        <v>7869</v>
      </c>
      <c r="C53" s="110" t="s">
        <v>7843</v>
      </c>
      <c r="D53" s="111" t="s">
        <v>7870</v>
      </c>
      <c r="E53" s="111" t="s">
        <v>7871</v>
      </c>
      <c r="F53" s="109" t="s">
        <v>344</v>
      </c>
      <c r="G53" s="112">
        <v>46300</v>
      </c>
      <c r="H53" s="109" t="s">
        <v>5722</v>
      </c>
      <c r="I53" s="109" t="s">
        <v>346</v>
      </c>
      <c r="J53" s="109"/>
      <c r="K53" s="109"/>
      <c r="L53" s="109" t="s">
        <v>346</v>
      </c>
      <c r="M53" s="109"/>
      <c r="N53" s="109"/>
      <c r="O53" s="113"/>
    </row>
    <row r="54" spans="1:15" ht="70.05" customHeight="1" outlineLevel="1">
      <c r="A54" s="109" t="s">
        <v>7872</v>
      </c>
      <c r="B54" s="110" t="s">
        <v>7869</v>
      </c>
      <c r="C54" s="110" t="s">
        <v>7843</v>
      </c>
      <c r="D54" s="111" t="s">
        <v>7873</v>
      </c>
      <c r="E54" s="111" t="s">
        <v>7874</v>
      </c>
      <c r="F54" s="109" t="s">
        <v>344</v>
      </c>
      <c r="G54" s="112">
        <v>46300</v>
      </c>
      <c r="H54" s="109" t="s">
        <v>5722</v>
      </c>
      <c r="I54" s="109" t="s">
        <v>346</v>
      </c>
      <c r="J54" s="109"/>
      <c r="K54" s="109"/>
      <c r="L54" s="109" t="s">
        <v>346</v>
      </c>
      <c r="M54" s="109"/>
      <c r="N54" s="109"/>
      <c r="O54" s="113"/>
    </row>
    <row r="55" spans="1:15" ht="70.05" customHeight="1" outlineLevel="1">
      <c r="A55" s="109" t="s">
        <v>7875</v>
      </c>
      <c r="B55" s="110" t="s">
        <v>7869</v>
      </c>
      <c r="C55" s="110" t="s">
        <v>7843</v>
      </c>
      <c r="D55" s="111" t="s">
        <v>7876</v>
      </c>
      <c r="E55" s="111" t="s">
        <v>7877</v>
      </c>
      <c r="F55" s="109" t="s">
        <v>344</v>
      </c>
      <c r="G55" s="112">
        <v>46300</v>
      </c>
      <c r="H55" s="109" t="s">
        <v>5722</v>
      </c>
      <c r="I55" s="109" t="s">
        <v>346</v>
      </c>
      <c r="J55" s="109"/>
      <c r="K55" s="109"/>
      <c r="L55" s="109" t="s">
        <v>346</v>
      </c>
      <c r="M55" s="109"/>
      <c r="N55" s="109"/>
      <c r="O55" s="113"/>
    </row>
    <row r="56" spans="1:15" ht="70.05" customHeight="1" outlineLevel="1">
      <c r="A56" s="109" t="s">
        <v>7878</v>
      </c>
      <c r="B56" s="110" t="s">
        <v>7869</v>
      </c>
      <c r="C56" s="110" t="s">
        <v>7843</v>
      </c>
      <c r="D56" s="111" t="s">
        <v>3402</v>
      </c>
      <c r="E56" s="111" t="s">
        <v>7879</v>
      </c>
      <c r="F56" s="109" t="s">
        <v>344</v>
      </c>
      <c r="G56" s="112">
        <v>46300</v>
      </c>
      <c r="H56" s="109" t="s">
        <v>5722</v>
      </c>
      <c r="I56" s="109" t="s">
        <v>346</v>
      </c>
      <c r="J56" s="109"/>
      <c r="K56" s="109"/>
      <c r="L56" s="109" t="s">
        <v>346</v>
      </c>
      <c r="M56" s="109"/>
      <c r="N56" s="109"/>
      <c r="O56" s="113"/>
    </row>
    <row r="57" spans="1:15" ht="70.05" customHeight="1" outlineLevel="1">
      <c r="A57" s="109" t="s">
        <v>7880</v>
      </c>
      <c r="B57" s="110" t="s">
        <v>7869</v>
      </c>
      <c r="C57" s="110" t="s">
        <v>7843</v>
      </c>
      <c r="D57" s="111" t="s">
        <v>7881</v>
      </c>
      <c r="E57" s="111" t="s">
        <v>7882</v>
      </c>
      <c r="F57" s="109" t="s">
        <v>344</v>
      </c>
      <c r="G57" s="112">
        <v>46300</v>
      </c>
      <c r="H57" s="109" t="s">
        <v>5722</v>
      </c>
      <c r="I57" s="109" t="s">
        <v>346</v>
      </c>
      <c r="J57" s="109"/>
      <c r="K57" s="109"/>
      <c r="L57" s="109" t="s">
        <v>346</v>
      </c>
      <c r="M57" s="109"/>
      <c r="N57" s="109"/>
      <c r="O57" s="113"/>
    </row>
    <row r="58" spans="1:15" ht="70.05" customHeight="1" outlineLevel="1">
      <c r="A58" s="109" t="s">
        <v>7883</v>
      </c>
      <c r="B58" s="110" t="s">
        <v>7884</v>
      </c>
      <c r="C58" s="110" t="s">
        <v>7843</v>
      </c>
      <c r="D58" s="111" t="s">
        <v>7885</v>
      </c>
      <c r="E58" s="111" t="s">
        <v>7777</v>
      </c>
      <c r="F58" s="109" t="s">
        <v>344</v>
      </c>
      <c r="G58" s="112">
        <v>46300</v>
      </c>
      <c r="H58" s="109" t="s">
        <v>5722</v>
      </c>
      <c r="I58" s="109" t="s">
        <v>346</v>
      </c>
      <c r="J58" s="109"/>
      <c r="K58" s="109"/>
      <c r="L58" s="109" t="s">
        <v>346</v>
      </c>
      <c r="M58" s="109"/>
      <c r="N58" s="109"/>
      <c r="O58" s="113"/>
    </row>
    <row r="59" spans="1:15" ht="70.05" customHeight="1" outlineLevel="1">
      <c r="A59" s="109" t="s">
        <v>7886</v>
      </c>
      <c r="B59" s="110" t="s">
        <v>7884</v>
      </c>
      <c r="C59" s="110" t="s">
        <v>7843</v>
      </c>
      <c r="D59" s="111" t="s">
        <v>7779</v>
      </c>
      <c r="E59" s="111" t="s">
        <v>7887</v>
      </c>
      <c r="F59" s="109" t="s">
        <v>344</v>
      </c>
      <c r="G59" s="112">
        <v>46300</v>
      </c>
      <c r="H59" s="109" t="s">
        <v>5722</v>
      </c>
      <c r="I59" s="109" t="s">
        <v>346</v>
      </c>
      <c r="J59" s="109"/>
      <c r="K59" s="109"/>
      <c r="L59" s="109" t="s">
        <v>346</v>
      </c>
      <c r="M59" s="109"/>
      <c r="N59" s="109"/>
      <c r="O59" s="113"/>
    </row>
    <row r="60" spans="1:15" ht="70.05" customHeight="1" outlineLevel="1">
      <c r="A60" s="109" t="s">
        <v>7888</v>
      </c>
      <c r="B60" s="110" t="s">
        <v>7889</v>
      </c>
      <c r="C60" s="110" t="s">
        <v>7890</v>
      </c>
      <c r="D60" s="111" t="s">
        <v>3402</v>
      </c>
      <c r="E60" s="111" t="s">
        <v>7741</v>
      </c>
      <c r="F60" s="109" t="s">
        <v>344</v>
      </c>
      <c r="G60" s="112">
        <v>46300</v>
      </c>
      <c r="H60" s="109" t="s">
        <v>5722</v>
      </c>
      <c r="I60" s="109" t="s">
        <v>346</v>
      </c>
      <c r="J60" s="109"/>
      <c r="K60" s="109"/>
      <c r="L60" s="109" t="s">
        <v>346</v>
      </c>
      <c r="M60" s="109"/>
      <c r="N60" s="109"/>
      <c r="O60" s="113"/>
    </row>
    <row r="61" spans="1:15" ht="70.05" customHeight="1" outlineLevel="1">
      <c r="A61" s="109" t="s">
        <v>7891</v>
      </c>
      <c r="B61" s="110" t="s">
        <v>7884</v>
      </c>
      <c r="C61" s="110" t="s">
        <v>7843</v>
      </c>
      <c r="D61" s="111" t="s">
        <v>7892</v>
      </c>
      <c r="E61" s="111" t="s">
        <v>7893</v>
      </c>
      <c r="F61" s="109" t="s">
        <v>344</v>
      </c>
      <c r="G61" s="112">
        <v>46300</v>
      </c>
      <c r="H61" s="109" t="s">
        <v>5722</v>
      </c>
      <c r="I61" s="109" t="s">
        <v>346</v>
      </c>
      <c r="J61" s="109"/>
      <c r="K61" s="109"/>
      <c r="L61" s="109" t="s">
        <v>346</v>
      </c>
      <c r="M61" s="109"/>
      <c r="N61" s="109"/>
      <c r="O61" s="113"/>
    </row>
    <row r="62" spans="1:15" ht="15.75" customHeight="1">
      <c r="A62" s="60" t="s">
        <v>323</v>
      </c>
      <c r="B62" s="60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2"/>
    </row>
    <row r="63" spans="1:15" ht="70.05" customHeight="1" outlineLevel="1">
      <c r="A63" s="109" t="s">
        <v>7894</v>
      </c>
      <c r="B63" s="110" t="s">
        <v>7895</v>
      </c>
      <c r="C63" s="110" t="s">
        <v>7896</v>
      </c>
      <c r="D63" s="111" t="s">
        <v>7897</v>
      </c>
      <c r="E63" s="111" t="s">
        <v>7898</v>
      </c>
      <c r="F63" s="109" t="s">
        <v>346</v>
      </c>
      <c r="G63" s="109"/>
      <c r="H63" s="109"/>
      <c r="I63" s="109" t="s">
        <v>346</v>
      </c>
      <c r="J63" s="109"/>
      <c r="K63" s="109"/>
      <c r="L63" s="109" t="s">
        <v>346</v>
      </c>
      <c r="M63" s="109"/>
      <c r="N63" s="109"/>
      <c r="O63" s="113" t="s">
        <v>2816</v>
      </c>
    </row>
    <row r="64" spans="1:15" ht="70.05" customHeight="1" outlineLevel="1">
      <c r="A64" s="109" t="s">
        <v>7899</v>
      </c>
      <c r="B64" s="110" t="s">
        <v>7900</v>
      </c>
      <c r="C64" s="110" t="s">
        <v>7901</v>
      </c>
      <c r="D64" s="111" t="s">
        <v>7902</v>
      </c>
      <c r="E64" s="111" t="s">
        <v>7898</v>
      </c>
      <c r="F64" s="109" t="s">
        <v>346</v>
      </c>
      <c r="G64" s="109"/>
      <c r="H64" s="109"/>
      <c r="I64" s="109" t="s">
        <v>346</v>
      </c>
      <c r="J64" s="109"/>
      <c r="K64" s="109"/>
      <c r="L64" s="109" t="s">
        <v>346</v>
      </c>
      <c r="M64" s="109"/>
      <c r="N64" s="109"/>
      <c r="O64" s="113" t="s">
        <v>2816</v>
      </c>
    </row>
    <row r="65" spans="1:15" ht="70.05" customHeight="1" outlineLevel="1">
      <c r="A65" s="109" t="s">
        <v>7903</v>
      </c>
      <c r="B65" s="110" t="s">
        <v>7904</v>
      </c>
      <c r="C65" s="110" t="s">
        <v>7905</v>
      </c>
      <c r="D65" s="111" t="s">
        <v>7906</v>
      </c>
      <c r="E65" s="111" t="s">
        <v>7898</v>
      </c>
      <c r="F65" s="109" t="s">
        <v>346</v>
      </c>
      <c r="G65" s="109"/>
      <c r="H65" s="109"/>
      <c r="I65" s="109" t="s">
        <v>346</v>
      </c>
      <c r="J65" s="109"/>
      <c r="K65" s="109"/>
      <c r="L65" s="109" t="s">
        <v>346</v>
      </c>
      <c r="M65" s="109"/>
      <c r="N65" s="109"/>
      <c r="O65" s="113" t="s">
        <v>2816</v>
      </c>
    </row>
    <row r="66" spans="1:15" ht="70.05" customHeight="1" outlineLevel="1">
      <c r="A66" s="109" t="s">
        <v>7907</v>
      </c>
      <c r="B66" s="110" t="s">
        <v>7908</v>
      </c>
      <c r="C66" s="110" t="s">
        <v>7909</v>
      </c>
      <c r="D66" s="111" t="s">
        <v>7910</v>
      </c>
      <c r="E66" s="111" t="s">
        <v>7898</v>
      </c>
      <c r="F66" s="109" t="s">
        <v>346</v>
      </c>
      <c r="G66" s="109"/>
      <c r="H66" s="109"/>
      <c r="I66" s="109" t="s">
        <v>346</v>
      </c>
      <c r="J66" s="109"/>
      <c r="K66" s="109"/>
      <c r="L66" s="109" t="s">
        <v>346</v>
      </c>
      <c r="M66" s="109"/>
      <c r="N66" s="109"/>
      <c r="O66" s="113" t="s">
        <v>2816</v>
      </c>
    </row>
    <row r="67" spans="1:15" ht="70.05" customHeight="1" outlineLevel="1">
      <c r="A67" s="109" t="s">
        <v>7911</v>
      </c>
      <c r="B67" s="110" t="s">
        <v>7912</v>
      </c>
      <c r="C67" s="110" t="s">
        <v>7913</v>
      </c>
      <c r="D67" s="111" t="s">
        <v>7914</v>
      </c>
      <c r="E67" s="111" t="s">
        <v>7898</v>
      </c>
      <c r="F67" s="109" t="s">
        <v>346</v>
      </c>
      <c r="G67" s="109"/>
      <c r="H67" s="109"/>
      <c r="I67" s="109" t="s">
        <v>346</v>
      </c>
      <c r="J67" s="109"/>
      <c r="K67" s="109"/>
      <c r="L67" s="109" t="s">
        <v>346</v>
      </c>
      <c r="M67" s="109"/>
      <c r="N67" s="109"/>
      <c r="O67" s="113" t="s">
        <v>2816</v>
      </c>
    </row>
    <row r="68" spans="1:15" ht="70.05" customHeight="1" outlineLevel="1">
      <c r="A68" s="109" t="s">
        <v>7915</v>
      </c>
      <c r="B68" s="110" t="s">
        <v>7916</v>
      </c>
      <c r="C68" s="110" t="s">
        <v>7917</v>
      </c>
      <c r="D68" s="111" t="s">
        <v>7918</v>
      </c>
      <c r="E68" s="111" t="s">
        <v>7898</v>
      </c>
      <c r="F68" s="109" t="s">
        <v>346</v>
      </c>
      <c r="G68" s="109"/>
      <c r="H68" s="109"/>
      <c r="I68" s="109" t="s">
        <v>346</v>
      </c>
      <c r="J68" s="109"/>
      <c r="K68" s="109"/>
      <c r="L68" s="109" t="s">
        <v>346</v>
      </c>
      <c r="M68" s="109"/>
      <c r="N68" s="109"/>
      <c r="O68" s="113" t="s">
        <v>2816</v>
      </c>
    </row>
    <row r="69" spans="1:15" ht="70.05" customHeight="1" outlineLevel="1">
      <c r="A69" s="109" t="s">
        <v>7919</v>
      </c>
      <c r="B69" s="110" t="s">
        <v>7920</v>
      </c>
      <c r="C69" s="110" t="s">
        <v>7896</v>
      </c>
      <c r="D69" s="111" t="s">
        <v>3402</v>
      </c>
      <c r="E69" s="111" t="s">
        <v>7921</v>
      </c>
      <c r="F69" s="109" t="s">
        <v>346</v>
      </c>
      <c r="G69" s="109"/>
      <c r="H69" s="109"/>
      <c r="I69" s="109" t="s">
        <v>346</v>
      </c>
      <c r="J69" s="109"/>
      <c r="K69" s="109"/>
      <c r="L69" s="109" t="s">
        <v>346</v>
      </c>
      <c r="M69" s="109"/>
      <c r="N69" s="109"/>
      <c r="O69" s="113" t="s">
        <v>2816</v>
      </c>
    </row>
    <row r="70" spans="1:15" ht="70.05" customHeight="1" outlineLevel="1">
      <c r="A70" s="109" t="s">
        <v>7922</v>
      </c>
      <c r="B70" s="110" t="s">
        <v>7923</v>
      </c>
      <c r="C70" s="110" t="s">
        <v>7924</v>
      </c>
      <c r="D70" s="111" t="s">
        <v>7925</v>
      </c>
      <c r="E70" s="111" t="s">
        <v>7898</v>
      </c>
      <c r="F70" s="109" t="s">
        <v>346</v>
      </c>
      <c r="G70" s="109"/>
      <c r="H70" s="109"/>
      <c r="I70" s="109" t="s">
        <v>346</v>
      </c>
      <c r="J70" s="109"/>
      <c r="K70" s="109"/>
      <c r="L70" s="109" t="s">
        <v>346</v>
      </c>
      <c r="M70" s="109"/>
      <c r="N70" s="109"/>
      <c r="O70" s="113" t="s">
        <v>2816</v>
      </c>
    </row>
    <row r="71" spans="1:15" ht="70.05" customHeight="1" outlineLevel="1">
      <c r="A71" s="109" t="s">
        <v>7926</v>
      </c>
      <c r="B71" s="110" t="s">
        <v>7927</v>
      </c>
      <c r="C71" s="110" t="s">
        <v>7928</v>
      </c>
      <c r="D71" s="111" t="s">
        <v>7929</v>
      </c>
      <c r="E71" s="111" t="s">
        <v>7898</v>
      </c>
      <c r="F71" s="109" t="s">
        <v>346</v>
      </c>
      <c r="G71" s="109"/>
      <c r="H71" s="109"/>
      <c r="I71" s="109" t="s">
        <v>346</v>
      </c>
      <c r="J71" s="109"/>
      <c r="K71" s="109"/>
      <c r="L71" s="109" t="s">
        <v>346</v>
      </c>
      <c r="M71" s="109"/>
      <c r="N71" s="109"/>
      <c r="O71" s="113" t="s">
        <v>2816</v>
      </c>
    </row>
    <row r="72" spans="1:15" ht="70.05" customHeight="1" outlineLevel="1">
      <c r="A72" s="109" t="s">
        <v>7930</v>
      </c>
      <c r="B72" s="110" t="s">
        <v>7920</v>
      </c>
      <c r="C72" s="110" t="s">
        <v>7896</v>
      </c>
      <c r="D72" s="111" t="s">
        <v>4369</v>
      </c>
      <c r="E72" s="111" t="s">
        <v>7931</v>
      </c>
      <c r="F72" s="109" t="s">
        <v>346</v>
      </c>
      <c r="G72" s="109"/>
      <c r="H72" s="109"/>
      <c r="I72" s="109" t="s">
        <v>346</v>
      </c>
      <c r="J72" s="109"/>
      <c r="K72" s="109"/>
      <c r="L72" s="109" t="s">
        <v>346</v>
      </c>
      <c r="M72" s="109"/>
      <c r="N72" s="109"/>
      <c r="O72" s="113" t="s">
        <v>2816</v>
      </c>
    </row>
    <row r="73" spans="1:15" ht="70.05" customHeight="1" outlineLevel="1">
      <c r="A73" s="109" t="s">
        <v>7932</v>
      </c>
      <c r="B73" s="110" t="s">
        <v>7933</v>
      </c>
      <c r="C73" s="110" t="s">
        <v>7896</v>
      </c>
      <c r="D73" s="111" t="s">
        <v>7776</v>
      </c>
      <c r="E73" s="111" t="s">
        <v>7934</v>
      </c>
      <c r="F73" s="109" t="s">
        <v>346</v>
      </c>
      <c r="G73" s="109"/>
      <c r="H73" s="109"/>
      <c r="I73" s="109" t="s">
        <v>346</v>
      </c>
      <c r="J73" s="109"/>
      <c r="K73" s="109"/>
      <c r="L73" s="109" t="s">
        <v>346</v>
      </c>
      <c r="M73" s="109"/>
      <c r="N73" s="109"/>
      <c r="O73" s="113" t="s">
        <v>2816</v>
      </c>
    </row>
    <row r="74" spans="1:15" ht="70.05" customHeight="1" outlineLevel="1">
      <c r="A74" s="109" t="s">
        <v>7935</v>
      </c>
      <c r="B74" s="110" t="s">
        <v>7936</v>
      </c>
      <c r="C74" s="110" t="s">
        <v>7917</v>
      </c>
      <c r="D74" s="111" t="s">
        <v>7776</v>
      </c>
      <c r="E74" s="111" t="s">
        <v>7934</v>
      </c>
      <c r="F74" s="109" t="s">
        <v>346</v>
      </c>
      <c r="G74" s="109"/>
      <c r="H74" s="109"/>
      <c r="I74" s="109" t="s">
        <v>346</v>
      </c>
      <c r="J74" s="109"/>
      <c r="K74" s="109"/>
      <c r="L74" s="109" t="s">
        <v>346</v>
      </c>
      <c r="M74" s="109"/>
      <c r="N74" s="109"/>
      <c r="O74" s="113" t="s">
        <v>2816</v>
      </c>
    </row>
    <row r="75" spans="1:15" ht="70.05" customHeight="1" outlineLevel="1">
      <c r="A75" s="109" t="s">
        <v>7937</v>
      </c>
      <c r="B75" s="110" t="s">
        <v>7938</v>
      </c>
      <c r="C75" s="110" t="s">
        <v>7939</v>
      </c>
      <c r="D75" s="111" t="s">
        <v>7940</v>
      </c>
      <c r="E75" s="111" t="s">
        <v>7741</v>
      </c>
      <c r="F75" s="109" t="s">
        <v>346</v>
      </c>
      <c r="G75" s="109"/>
      <c r="H75" s="109"/>
      <c r="I75" s="109" t="s">
        <v>346</v>
      </c>
      <c r="J75" s="109"/>
      <c r="K75" s="109"/>
      <c r="L75" s="109" t="s">
        <v>346</v>
      </c>
      <c r="M75" s="109"/>
      <c r="N75" s="109"/>
      <c r="O75" s="113" t="s">
        <v>2816</v>
      </c>
    </row>
    <row r="76" spans="1:15" ht="70.05" customHeight="1" outlineLevel="1">
      <c r="A76" s="109" t="s">
        <v>7941</v>
      </c>
      <c r="B76" s="110" t="s">
        <v>7942</v>
      </c>
      <c r="C76" s="110" t="s">
        <v>7943</v>
      </c>
      <c r="D76" s="111" t="s">
        <v>7784</v>
      </c>
      <c r="E76" s="111" t="s">
        <v>7898</v>
      </c>
      <c r="F76" s="109" t="s">
        <v>346</v>
      </c>
      <c r="G76" s="109"/>
      <c r="H76" s="109"/>
      <c r="I76" s="109" t="s">
        <v>346</v>
      </c>
      <c r="J76" s="109"/>
      <c r="K76" s="109"/>
      <c r="L76" s="109" t="s">
        <v>346</v>
      </c>
      <c r="M76" s="109"/>
      <c r="N76" s="109"/>
      <c r="O76" s="113" t="s">
        <v>2816</v>
      </c>
    </row>
    <row r="77" spans="1:15" ht="70.05" customHeight="1" outlineLevel="1">
      <c r="A77" s="109" t="s">
        <v>7944</v>
      </c>
      <c r="B77" s="110" t="s">
        <v>7945</v>
      </c>
      <c r="C77" s="110" t="s">
        <v>7946</v>
      </c>
      <c r="D77" s="111" t="s">
        <v>7784</v>
      </c>
      <c r="E77" s="111" t="s">
        <v>7898</v>
      </c>
      <c r="F77" s="109" t="s">
        <v>346</v>
      </c>
      <c r="G77" s="109"/>
      <c r="H77" s="109"/>
      <c r="I77" s="109" t="s">
        <v>346</v>
      </c>
      <c r="J77" s="109"/>
      <c r="K77" s="109"/>
      <c r="L77" s="109" t="s">
        <v>346</v>
      </c>
      <c r="M77" s="109"/>
      <c r="N77" s="109"/>
      <c r="O77" s="113" t="s">
        <v>2816</v>
      </c>
    </row>
    <row r="78" spans="1:15" ht="70.05" customHeight="1" outlineLevel="1">
      <c r="A78" s="109" t="s">
        <v>7947</v>
      </c>
      <c r="B78" s="110" t="s">
        <v>7948</v>
      </c>
      <c r="C78" s="110" t="s">
        <v>7949</v>
      </c>
      <c r="D78" s="111" t="s">
        <v>7950</v>
      </c>
      <c r="E78" s="111" t="s">
        <v>7951</v>
      </c>
      <c r="F78" s="109" t="s">
        <v>346</v>
      </c>
      <c r="G78" s="109"/>
      <c r="H78" s="109"/>
      <c r="I78" s="109" t="s">
        <v>346</v>
      </c>
      <c r="J78" s="109"/>
      <c r="K78" s="109"/>
      <c r="L78" s="109" t="s">
        <v>346</v>
      </c>
      <c r="M78" s="109"/>
      <c r="N78" s="109"/>
      <c r="O78" s="113" t="s">
        <v>2816</v>
      </c>
    </row>
    <row r="79" spans="1:15" ht="70.05" customHeight="1" outlineLevel="1">
      <c r="A79" s="109" t="s">
        <v>7952</v>
      </c>
      <c r="B79" s="110" t="s">
        <v>7953</v>
      </c>
      <c r="C79" s="110" t="s">
        <v>7954</v>
      </c>
      <c r="D79" s="111" t="s">
        <v>7955</v>
      </c>
      <c r="E79" s="111" t="s">
        <v>7956</v>
      </c>
      <c r="F79" s="109" t="s">
        <v>346</v>
      </c>
      <c r="G79" s="109"/>
      <c r="H79" s="109"/>
      <c r="I79" s="109" t="s">
        <v>346</v>
      </c>
      <c r="J79" s="109"/>
      <c r="K79" s="109"/>
      <c r="L79" s="109" t="s">
        <v>346</v>
      </c>
      <c r="M79" s="109"/>
      <c r="N79" s="109"/>
      <c r="O79" s="113" t="s">
        <v>2816</v>
      </c>
    </row>
    <row r="80" spans="1:15" ht="15.75" customHeight="1">
      <c r="A80" s="60" t="s">
        <v>325</v>
      </c>
      <c r="B80" s="60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2"/>
    </row>
    <row r="81" spans="1:15" ht="70.05" customHeight="1" outlineLevel="1">
      <c r="A81" s="109" t="s">
        <v>7957</v>
      </c>
      <c r="B81" s="110" t="s">
        <v>7958</v>
      </c>
      <c r="C81" s="110" t="s">
        <v>7959</v>
      </c>
      <c r="D81" s="111" t="s">
        <v>7960</v>
      </c>
      <c r="E81" s="111" t="s">
        <v>7961</v>
      </c>
      <c r="F81" s="109" t="s">
        <v>346</v>
      </c>
      <c r="G81" s="109"/>
      <c r="H81" s="109"/>
      <c r="I81" s="109" t="s">
        <v>346</v>
      </c>
      <c r="J81" s="109"/>
      <c r="K81" s="109"/>
      <c r="L81" s="109" t="s">
        <v>346</v>
      </c>
      <c r="M81" s="109"/>
      <c r="N81" s="109"/>
      <c r="O81" s="113" t="s">
        <v>2816</v>
      </c>
    </row>
    <row r="82" spans="1:15" ht="70.05" customHeight="1" outlineLevel="1">
      <c r="A82" s="109" t="s">
        <v>7962</v>
      </c>
      <c r="B82" s="110" t="s">
        <v>7963</v>
      </c>
      <c r="C82" s="110" t="s">
        <v>7964</v>
      </c>
      <c r="D82" s="111" t="s">
        <v>7965</v>
      </c>
      <c r="E82" s="111" t="s">
        <v>7966</v>
      </c>
      <c r="F82" s="109" t="s">
        <v>346</v>
      </c>
      <c r="G82" s="109"/>
      <c r="H82" s="109"/>
      <c r="I82" s="109" t="s">
        <v>346</v>
      </c>
      <c r="J82" s="109"/>
      <c r="K82" s="109"/>
      <c r="L82" s="109" t="s">
        <v>346</v>
      </c>
      <c r="M82" s="109"/>
      <c r="N82" s="109"/>
      <c r="O82" s="113" t="s">
        <v>2816</v>
      </c>
    </row>
    <row r="83" spans="1:15" ht="70.05" customHeight="1" outlineLevel="1">
      <c r="A83" s="109" t="s">
        <v>7967</v>
      </c>
      <c r="B83" s="110" t="s">
        <v>7968</v>
      </c>
      <c r="C83" s="110" t="s">
        <v>7969</v>
      </c>
      <c r="D83" s="111" t="s">
        <v>7970</v>
      </c>
      <c r="E83" s="111" t="s">
        <v>7966</v>
      </c>
      <c r="F83" s="109" t="s">
        <v>346</v>
      </c>
      <c r="G83" s="109"/>
      <c r="H83" s="109"/>
      <c r="I83" s="109" t="s">
        <v>346</v>
      </c>
      <c r="J83" s="109"/>
      <c r="K83" s="109"/>
      <c r="L83" s="109" t="s">
        <v>346</v>
      </c>
      <c r="M83" s="109"/>
      <c r="N83" s="109"/>
      <c r="O83" s="113" t="s">
        <v>2816</v>
      </c>
    </row>
    <row r="84" spans="1:15" ht="70.05" customHeight="1" outlineLevel="1">
      <c r="A84" s="109" t="s">
        <v>7971</v>
      </c>
      <c r="B84" s="110" t="s">
        <v>7958</v>
      </c>
      <c r="C84" s="110" t="s">
        <v>7959</v>
      </c>
      <c r="D84" s="111" t="s">
        <v>7972</v>
      </c>
      <c r="E84" s="111" t="s">
        <v>7973</v>
      </c>
      <c r="F84" s="109" t="s">
        <v>346</v>
      </c>
      <c r="G84" s="109"/>
      <c r="H84" s="109"/>
      <c r="I84" s="109" t="s">
        <v>346</v>
      </c>
      <c r="J84" s="109"/>
      <c r="K84" s="109"/>
      <c r="L84" s="109" t="s">
        <v>346</v>
      </c>
      <c r="M84" s="109"/>
      <c r="N84" s="109"/>
      <c r="O84" s="113" t="s">
        <v>2816</v>
      </c>
    </row>
    <row r="85" spans="1:15" ht="70.05" customHeight="1" outlineLevel="1">
      <c r="A85" s="109" t="s">
        <v>7974</v>
      </c>
      <c r="B85" s="110" t="s">
        <v>7968</v>
      </c>
      <c r="C85" s="110" t="s">
        <v>7969</v>
      </c>
      <c r="D85" s="111" t="s">
        <v>7975</v>
      </c>
      <c r="E85" s="111" t="s">
        <v>7973</v>
      </c>
      <c r="F85" s="109" t="s">
        <v>346</v>
      </c>
      <c r="G85" s="109"/>
      <c r="H85" s="109"/>
      <c r="I85" s="109" t="s">
        <v>346</v>
      </c>
      <c r="J85" s="109"/>
      <c r="K85" s="109"/>
      <c r="L85" s="109" t="s">
        <v>346</v>
      </c>
      <c r="M85" s="109"/>
      <c r="N85" s="109"/>
      <c r="O85" s="113" t="s">
        <v>2816</v>
      </c>
    </row>
    <row r="86" spans="1:15" ht="70.05" customHeight="1" outlineLevel="1">
      <c r="A86" s="109" t="s">
        <v>7976</v>
      </c>
      <c r="B86" s="110" t="s">
        <v>7958</v>
      </c>
      <c r="C86" s="110" t="s">
        <v>7959</v>
      </c>
      <c r="D86" s="111" t="s">
        <v>7977</v>
      </c>
      <c r="E86" s="111" t="s">
        <v>7966</v>
      </c>
      <c r="F86" s="109" t="s">
        <v>346</v>
      </c>
      <c r="G86" s="109"/>
      <c r="H86" s="109"/>
      <c r="I86" s="109" t="s">
        <v>346</v>
      </c>
      <c r="J86" s="109"/>
      <c r="K86" s="109"/>
      <c r="L86" s="109" t="s">
        <v>346</v>
      </c>
      <c r="M86" s="109"/>
      <c r="N86" s="109"/>
      <c r="O86" s="113" t="s">
        <v>2816</v>
      </c>
    </row>
    <row r="87" spans="1:15" ht="70.05" customHeight="1" outlineLevel="1">
      <c r="A87" s="109" t="s">
        <v>7978</v>
      </c>
      <c r="B87" s="110" t="s">
        <v>7979</v>
      </c>
      <c r="C87" s="110" t="s">
        <v>7964</v>
      </c>
      <c r="D87" s="111" t="s">
        <v>7980</v>
      </c>
      <c r="E87" s="111" t="s">
        <v>7981</v>
      </c>
      <c r="F87" s="109" t="s">
        <v>346</v>
      </c>
      <c r="G87" s="109"/>
      <c r="H87" s="109"/>
      <c r="I87" s="109" t="s">
        <v>346</v>
      </c>
      <c r="J87" s="109"/>
      <c r="K87" s="109"/>
      <c r="L87" s="109" t="s">
        <v>346</v>
      </c>
      <c r="M87" s="109"/>
      <c r="N87" s="109"/>
      <c r="O87" s="113" t="s">
        <v>2816</v>
      </c>
    </row>
    <row r="88" spans="1:15" ht="70.05" customHeight="1" outlineLevel="1">
      <c r="A88" s="109" t="s">
        <v>7982</v>
      </c>
      <c r="B88" s="110" t="s">
        <v>7983</v>
      </c>
      <c r="C88" s="110" t="s">
        <v>7969</v>
      </c>
      <c r="D88" s="111" t="s">
        <v>7984</v>
      </c>
      <c r="E88" s="111" t="s">
        <v>7985</v>
      </c>
      <c r="F88" s="109" t="s">
        <v>346</v>
      </c>
      <c r="G88" s="109"/>
      <c r="H88" s="109"/>
      <c r="I88" s="109" t="s">
        <v>346</v>
      </c>
      <c r="J88" s="109"/>
      <c r="K88" s="109"/>
      <c r="L88" s="109" t="s">
        <v>346</v>
      </c>
      <c r="M88" s="109"/>
      <c r="N88" s="109"/>
      <c r="O88" s="113" t="s">
        <v>2816</v>
      </c>
    </row>
    <row r="89" spans="1:15" ht="70.05" customHeight="1" outlineLevel="1">
      <c r="A89" s="109" t="s">
        <v>7986</v>
      </c>
      <c r="B89" s="110" t="s">
        <v>7987</v>
      </c>
      <c r="C89" s="110" t="s">
        <v>7988</v>
      </c>
      <c r="D89" s="111" t="s">
        <v>7989</v>
      </c>
      <c r="E89" s="111" t="s">
        <v>7990</v>
      </c>
      <c r="F89" s="109" t="s">
        <v>346</v>
      </c>
      <c r="G89" s="109"/>
      <c r="H89" s="109"/>
      <c r="I89" s="109" t="s">
        <v>346</v>
      </c>
      <c r="J89" s="109"/>
      <c r="K89" s="109"/>
      <c r="L89" s="109" t="s">
        <v>346</v>
      </c>
      <c r="M89" s="109"/>
      <c r="N89" s="109"/>
      <c r="O89" s="113" t="s">
        <v>2816</v>
      </c>
    </row>
    <row r="90" spans="1:15" ht="70.05" customHeight="1" outlineLevel="1">
      <c r="A90" s="109" t="s">
        <v>7991</v>
      </c>
      <c r="B90" s="110" t="s">
        <v>7979</v>
      </c>
      <c r="C90" s="110" t="s">
        <v>7964</v>
      </c>
      <c r="D90" s="111" t="s">
        <v>7992</v>
      </c>
      <c r="E90" s="111" t="s">
        <v>7993</v>
      </c>
      <c r="F90" s="109" t="s">
        <v>346</v>
      </c>
      <c r="G90" s="109"/>
      <c r="H90" s="109"/>
      <c r="I90" s="109" t="s">
        <v>346</v>
      </c>
      <c r="J90" s="109"/>
      <c r="K90" s="109"/>
      <c r="L90" s="109" t="s">
        <v>346</v>
      </c>
      <c r="M90" s="109"/>
      <c r="N90" s="109"/>
      <c r="O90" s="113" t="s">
        <v>2816</v>
      </c>
    </row>
    <row r="91" spans="1:15" ht="70.05" customHeight="1" outlineLevel="1">
      <c r="A91" s="109" t="s">
        <v>7994</v>
      </c>
      <c r="B91" s="110" t="s">
        <v>7995</v>
      </c>
      <c r="C91" s="110" t="s">
        <v>7964</v>
      </c>
      <c r="D91" s="111" t="s">
        <v>7776</v>
      </c>
      <c r="E91" s="111" t="s">
        <v>7996</v>
      </c>
      <c r="F91" s="109" t="s">
        <v>346</v>
      </c>
      <c r="G91" s="109"/>
      <c r="H91" s="109"/>
      <c r="I91" s="109" t="s">
        <v>346</v>
      </c>
      <c r="J91" s="109"/>
      <c r="K91" s="109"/>
      <c r="L91" s="109" t="s">
        <v>346</v>
      </c>
      <c r="M91" s="109"/>
      <c r="N91" s="109"/>
      <c r="O91" s="113" t="s">
        <v>2816</v>
      </c>
    </row>
    <row r="92" spans="1:15" ht="70.05" customHeight="1" outlineLevel="1">
      <c r="A92" s="109" t="s">
        <v>7997</v>
      </c>
      <c r="B92" s="110" t="s">
        <v>7998</v>
      </c>
      <c r="C92" s="110" t="s">
        <v>7999</v>
      </c>
      <c r="D92" s="111" t="s">
        <v>7984</v>
      </c>
      <c r="E92" s="111" t="s">
        <v>7741</v>
      </c>
      <c r="F92" s="109" t="s">
        <v>346</v>
      </c>
      <c r="G92" s="109"/>
      <c r="H92" s="109"/>
      <c r="I92" s="109" t="s">
        <v>346</v>
      </c>
      <c r="J92" s="109"/>
      <c r="K92" s="109"/>
      <c r="L92" s="109" t="s">
        <v>346</v>
      </c>
      <c r="M92" s="109"/>
      <c r="N92" s="109"/>
      <c r="O92" s="113" t="s">
        <v>2816</v>
      </c>
    </row>
    <row r="93" spans="1:15" ht="70.05" customHeight="1" outlineLevel="1">
      <c r="A93" s="109" t="s">
        <v>8000</v>
      </c>
      <c r="B93" s="110" t="s">
        <v>8001</v>
      </c>
      <c r="C93" s="110" t="s">
        <v>8002</v>
      </c>
      <c r="D93" s="111" t="s">
        <v>7784</v>
      </c>
      <c r="E93" s="111" t="s">
        <v>7990</v>
      </c>
      <c r="F93" s="109" t="s">
        <v>346</v>
      </c>
      <c r="G93" s="109"/>
      <c r="H93" s="109"/>
      <c r="I93" s="109" t="s">
        <v>346</v>
      </c>
      <c r="J93" s="109"/>
      <c r="K93" s="109"/>
      <c r="L93" s="109" t="s">
        <v>346</v>
      </c>
      <c r="M93" s="109"/>
      <c r="N93" s="109"/>
      <c r="O93" s="113" t="s">
        <v>2816</v>
      </c>
    </row>
    <row r="94" spans="1:15" ht="70.05" customHeight="1" outlineLevel="1">
      <c r="A94" s="109" t="s">
        <v>8003</v>
      </c>
      <c r="B94" s="110" t="s">
        <v>8004</v>
      </c>
      <c r="C94" s="110" t="s">
        <v>8005</v>
      </c>
      <c r="D94" s="111" t="s">
        <v>7784</v>
      </c>
      <c r="E94" s="111" t="s">
        <v>7990</v>
      </c>
      <c r="F94" s="109" t="s">
        <v>346</v>
      </c>
      <c r="G94" s="109"/>
      <c r="H94" s="109"/>
      <c r="I94" s="109" t="s">
        <v>346</v>
      </c>
      <c r="J94" s="109"/>
      <c r="K94" s="109"/>
      <c r="L94" s="109" t="s">
        <v>346</v>
      </c>
      <c r="M94" s="109"/>
      <c r="N94" s="109"/>
      <c r="O94" s="113" t="s">
        <v>2816</v>
      </c>
    </row>
    <row r="95" spans="1:15" ht="70.05" customHeight="1" outlineLevel="1">
      <c r="A95" s="109" t="s">
        <v>8006</v>
      </c>
      <c r="B95" s="110" t="s">
        <v>8007</v>
      </c>
      <c r="C95" s="110" t="s">
        <v>8008</v>
      </c>
      <c r="D95" s="111" t="s">
        <v>8009</v>
      </c>
      <c r="E95" s="111" t="s">
        <v>7741</v>
      </c>
      <c r="F95" s="109" t="s">
        <v>346</v>
      </c>
      <c r="G95" s="109"/>
      <c r="H95" s="109"/>
      <c r="I95" s="109" t="s">
        <v>346</v>
      </c>
      <c r="J95" s="109"/>
      <c r="K95" s="109"/>
      <c r="L95" s="109" t="s">
        <v>346</v>
      </c>
      <c r="M95" s="109"/>
      <c r="N95" s="109"/>
      <c r="O95" s="113" t="s">
        <v>2816</v>
      </c>
    </row>
    <row r="96" spans="1:15" ht="70.05" customHeight="1" outlineLevel="1">
      <c r="A96" s="109" t="s">
        <v>8010</v>
      </c>
      <c r="B96" s="110" t="s">
        <v>8011</v>
      </c>
      <c r="C96" s="110" t="s">
        <v>8012</v>
      </c>
      <c r="D96" s="111" t="s">
        <v>8013</v>
      </c>
      <c r="E96" s="111" t="s">
        <v>8014</v>
      </c>
      <c r="F96" s="109" t="s">
        <v>346</v>
      </c>
      <c r="G96" s="109"/>
      <c r="H96" s="109"/>
      <c r="I96" s="109" t="s">
        <v>346</v>
      </c>
      <c r="J96" s="109"/>
      <c r="K96" s="109"/>
      <c r="L96" s="109" t="s">
        <v>346</v>
      </c>
      <c r="M96" s="109"/>
      <c r="N96" s="109"/>
      <c r="O96" s="113" t="s">
        <v>2816</v>
      </c>
    </row>
    <row r="97" spans="1:15" ht="70.05" customHeight="1" outlineLevel="1">
      <c r="A97" s="109" t="s">
        <v>8015</v>
      </c>
      <c r="B97" s="110" t="s">
        <v>8016</v>
      </c>
      <c r="C97" s="110" t="s">
        <v>8017</v>
      </c>
      <c r="D97" s="111" t="s">
        <v>7776</v>
      </c>
      <c r="E97" s="111" t="s">
        <v>8018</v>
      </c>
      <c r="F97" s="109" t="s">
        <v>346</v>
      </c>
      <c r="G97" s="109"/>
      <c r="H97" s="109"/>
      <c r="I97" s="109" t="s">
        <v>346</v>
      </c>
      <c r="J97" s="109"/>
      <c r="K97" s="109"/>
      <c r="L97" s="109" t="s">
        <v>346</v>
      </c>
      <c r="M97" s="109"/>
      <c r="N97" s="109"/>
      <c r="O97" s="113" t="s">
        <v>2816</v>
      </c>
    </row>
    <row r="98" spans="1:15" ht="15.75" customHeight="1">
      <c r="A98" s="60" t="s">
        <v>327</v>
      </c>
      <c r="B98" s="60"/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2"/>
    </row>
    <row r="99" spans="1:15" ht="70.05" customHeight="1" outlineLevel="1">
      <c r="A99" s="109" t="s">
        <v>8019</v>
      </c>
      <c r="B99" s="110" t="s">
        <v>8020</v>
      </c>
      <c r="C99" s="110" t="s">
        <v>8021</v>
      </c>
      <c r="D99" s="111" t="s">
        <v>8022</v>
      </c>
      <c r="E99" s="111" t="s">
        <v>8023</v>
      </c>
      <c r="F99" s="109" t="s">
        <v>344</v>
      </c>
      <c r="G99" s="112">
        <v>46300</v>
      </c>
      <c r="H99" s="109" t="s">
        <v>5593</v>
      </c>
      <c r="I99" s="109" t="s">
        <v>346</v>
      </c>
      <c r="J99" s="109"/>
      <c r="K99" s="109"/>
      <c r="L99" s="109" t="s">
        <v>346</v>
      </c>
      <c r="M99" s="109"/>
      <c r="N99" s="109"/>
      <c r="O99" s="113"/>
    </row>
    <row r="100" spans="1:15" ht="70.05" customHeight="1" outlineLevel="1">
      <c r="A100" s="109" t="s">
        <v>8024</v>
      </c>
      <c r="B100" s="110" t="s">
        <v>8025</v>
      </c>
      <c r="C100" s="110" t="s">
        <v>8026</v>
      </c>
      <c r="D100" s="111" t="s">
        <v>8027</v>
      </c>
      <c r="E100" s="111" t="s">
        <v>8028</v>
      </c>
      <c r="F100" s="109" t="s">
        <v>344</v>
      </c>
      <c r="G100" s="112">
        <v>46300</v>
      </c>
      <c r="H100" s="109" t="s">
        <v>5593</v>
      </c>
      <c r="I100" s="109" t="s">
        <v>346</v>
      </c>
      <c r="J100" s="109"/>
      <c r="K100" s="109"/>
      <c r="L100" s="109" t="s">
        <v>346</v>
      </c>
      <c r="M100" s="109"/>
      <c r="N100" s="109"/>
      <c r="O100" s="113"/>
    </row>
    <row r="101" spans="1:15" ht="70.05" customHeight="1" outlineLevel="1">
      <c r="A101" s="109" t="s">
        <v>8029</v>
      </c>
      <c r="B101" s="110" t="s">
        <v>8030</v>
      </c>
      <c r="C101" s="110" t="s">
        <v>8031</v>
      </c>
      <c r="D101" s="111" t="s">
        <v>8027</v>
      </c>
      <c r="E101" s="111" t="s">
        <v>8032</v>
      </c>
      <c r="F101" s="109" t="s">
        <v>344</v>
      </c>
      <c r="G101" s="112">
        <v>46300</v>
      </c>
      <c r="H101" s="109" t="s">
        <v>5593</v>
      </c>
      <c r="I101" s="109" t="s">
        <v>346</v>
      </c>
      <c r="J101" s="109"/>
      <c r="K101" s="109"/>
      <c r="L101" s="109" t="s">
        <v>346</v>
      </c>
      <c r="M101" s="109"/>
      <c r="N101" s="109"/>
      <c r="O101" s="113"/>
    </row>
    <row r="102" spans="1:15" ht="70.05" customHeight="1" outlineLevel="1">
      <c r="A102" s="109" t="s">
        <v>8033</v>
      </c>
      <c r="B102" s="110" t="s">
        <v>8034</v>
      </c>
      <c r="C102" s="110" t="s">
        <v>8035</v>
      </c>
      <c r="D102" s="111" t="s">
        <v>8036</v>
      </c>
      <c r="E102" s="111" t="s">
        <v>8037</v>
      </c>
      <c r="F102" s="109" t="s">
        <v>344</v>
      </c>
      <c r="G102" s="112">
        <v>46300</v>
      </c>
      <c r="H102" s="109" t="s">
        <v>5593</v>
      </c>
      <c r="I102" s="109" t="s">
        <v>346</v>
      </c>
      <c r="J102" s="109"/>
      <c r="K102" s="109"/>
      <c r="L102" s="109" t="s">
        <v>346</v>
      </c>
      <c r="M102" s="109"/>
      <c r="N102" s="109"/>
      <c r="O102" s="113"/>
    </row>
    <row r="103" spans="1:15" ht="70.05" customHeight="1" outlineLevel="1">
      <c r="A103" s="109" t="s">
        <v>8038</v>
      </c>
      <c r="B103" s="110" t="s">
        <v>8039</v>
      </c>
      <c r="C103" s="110" t="s">
        <v>8040</v>
      </c>
      <c r="D103" s="111" t="s">
        <v>8041</v>
      </c>
      <c r="E103" s="111" t="s">
        <v>8037</v>
      </c>
      <c r="F103" s="109" t="s">
        <v>344</v>
      </c>
      <c r="G103" s="112">
        <v>46300</v>
      </c>
      <c r="H103" s="109" t="s">
        <v>5593</v>
      </c>
      <c r="I103" s="109" t="s">
        <v>346</v>
      </c>
      <c r="J103" s="109"/>
      <c r="K103" s="109"/>
      <c r="L103" s="109" t="s">
        <v>346</v>
      </c>
      <c r="M103" s="109"/>
      <c r="N103" s="109"/>
      <c r="O103" s="113"/>
    </row>
    <row r="104" spans="1:15" ht="70.05" customHeight="1" outlineLevel="1">
      <c r="A104" s="109" t="s">
        <v>8042</v>
      </c>
      <c r="B104" s="110" t="s">
        <v>8043</v>
      </c>
      <c r="C104" s="110" t="s">
        <v>8044</v>
      </c>
      <c r="D104" s="111" t="s">
        <v>8045</v>
      </c>
      <c r="E104" s="111" t="s">
        <v>8023</v>
      </c>
      <c r="F104" s="109" t="s">
        <v>344</v>
      </c>
      <c r="G104" s="112">
        <v>46300</v>
      </c>
      <c r="H104" s="109" t="s">
        <v>5593</v>
      </c>
      <c r="I104" s="109" t="s">
        <v>346</v>
      </c>
      <c r="J104" s="109"/>
      <c r="K104" s="109"/>
      <c r="L104" s="109" t="s">
        <v>346</v>
      </c>
      <c r="M104" s="109"/>
      <c r="N104" s="109"/>
      <c r="O104" s="113"/>
    </row>
    <row r="105" spans="1:15" ht="70.05" customHeight="1" outlineLevel="1">
      <c r="A105" s="109" t="s">
        <v>8046</v>
      </c>
      <c r="B105" s="110" t="s">
        <v>8047</v>
      </c>
      <c r="C105" s="110" t="s">
        <v>8048</v>
      </c>
      <c r="D105" s="111" t="s">
        <v>8049</v>
      </c>
      <c r="E105" s="111" t="s">
        <v>8023</v>
      </c>
      <c r="F105" s="109" t="s">
        <v>344</v>
      </c>
      <c r="G105" s="112">
        <v>46300</v>
      </c>
      <c r="H105" s="109" t="s">
        <v>5593</v>
      </c>
      <c r="I105" s="109" t="s">
        <v>346</v>
      </c>
      <c r="J105" s="109"/>
      <c r="K105" s="109"/>
      <c r="L105" s="109" t="s">
        <v>346</v>
      </c>
      <c r="M105" s="109"/>
      <c r="N105" s="109"/>
      <c r="O105" s="113"/>
    </row>
    <row r="106" spans="1:15" ht="70.05" customHeight="1" outlineLevel="1">
      <c r="A106" s="109" t="s">
        <v>8050</v>
      </c>
      <c r="B106" s="110" t="s">
        <v>8051</v>
      </c>
      <c r="C106" s="110" t="s">
        <v>8052</v>
      </c>
      <c r="D106" s="111" t="s">
        <v>8049</v>
      </c>
      <c r="E106" s="111" t="s">
        <v>8023</v>
      </c>
      <c r="F106" s="109" t="s">
        <v>344</v>
      </c>
      <c r="G106" s="112">
        <v>46300</v>
      </c>
      <c r="H106" s="109" t="s">
        <v>5593</v>
      </c>
      <c r="I106" s="109" t="s">
        <v>346</v>
      </c>
      <c r="J106" s="109"/>
      <c r="K106" s="109"/>
      <c r="L106" s="109" t="s">
        <v>346</v>
      </c>
      <c r="M106" s="109"/>
      <c r="N106" s="109"/>
      <c r="O106" s="113"/>
    </row>
    <row r="107" spans="1:15" ht="70.05" customHeight="1" outlineLevel="1">
      <c r="A107" s="109" t="s">
        <v>8053</v>
      </c>
      <c r="B107" s="110" t="s">
        <v>8054</v>
      </c>
      <c r="C107" s="110" t="s">
        <v>8021</v>
      </c>
      <c r="D107" s="111" t="s">
        <v>8045</v>
      </c>
      <c r="E107" s="111" t="s">
        <v>8055</v>
      </c>
      <c r="F107" s="109" t="s">
        <v>344</v>
      </c>
      <c r="G107" s="112">
        <v>46300</v>
      </c>
      <c r="H107" s="109" t="s">
        <v>5593</v>
      </c>
      <c r="I107" s="109" t="s">
        <v>346</v>
      </c>
      <c r="J107" s="109"/>
      <c r="K107" s="109"/>
      <c r="L107" s="109" t="s">
        <v>346</v>
      </c>
      <c r="M107" s="109"/>
      <c r="N107" s="109"/>
      <c r="O107" s="113"/>
    </row>
    <row r="108" spans="1:15" ht="70.05" customHeight="1" outlineLevel="1">
      <c r="A108" s="109" t="s">
        <v>8056</v>
      </c>
      <c r="B108" s="110" t="s">
        <v>8057</v>
      </c>
      <c r="C108" s="110" t="s">
        <v>8058</v>
      </c>
      <c r="D108" s="111" t="s">
        <v>8059</v>
      </c>
      <c r="E108" s="111" t="s">
        <v>8037</v>
      </c>
      <c r="F108" s="109" t="s">
        <v>344</v>
      </c>
      <c r="G108" s="112">
        <v>46300</v>
      </c>
      <c r="H108" s="109" t="s">
        <v>5593</v>
      </c>
      <c r="I108" s="109" t="s">
        <v>346</v>
      </c>
      <c r="J108" s="109"/>
      <c r="K108" s="109"/>
      <c r="L108" s="109" t="s">
        <v>346</v>
      </c>
      <c r="M108" s="109"/>
      <c r="N108" s="109"/>
      <c r="O108" s="113"/>
    </row>
    <row r="109" spans="1:15" ht="70.05" customHeight="1" outlineLevel="1">
      <c r="A109" s="109" t="s">
        <v>8060</v>
      </c>
      <c r="B109" s="110" t="s">
        <v>8061</v>
      </c>
      <c r="C109" s="110" t="s">
        <v>8062</v>
      </c>
      <c r="D109" s="111" t="s">
        <v>8063</v>
      </c>
      <c r="E109" s="111" t="s">
        <v>8037</v>
      </c>
      <c r="F109" s="109" t="s">
        <v>344</v>
      </c>
      <c r="G109" s="112">
        <v>46300</v>
      </c>
      <c r="H109" s="109" t="s">
        <v>5593</v>
      </c>
      <c r="I109" s="109" t="s">
        <v>346</v>
      </c>
      <c r="J109" s="109"/>
      <c r="K109" s="109"/>
      <c r="L109" s="109" t="s">
        <v>346</v>
      </c>
      <c r="M109" s="109"/>
      <c r="N109" s="109"/>
      <c r="O109" s="113"/>
    </row>
    <row r="110" spans="1:15" ht="70.05" customHeight="1" outlineLevel="1">
      <c r="A110" s="109" t="s">
        <v>8064</v>
      </c>
      <c r="B110" s="110" t="s">
        <v>8065</v>
      </c>
      <c r="C110" s="110" t="s">
        <v>8066</v>
      </c>
      <c r="D110" s="111" t="s">
        <v>8067</v>
      </c>
      <c r="E110" s="111" t="s">
        <v>8037</v>
      </c>
      <c r="F110" s="109" t="s">
        <v>344</v>
      </c>
      <c r="G110" s="112">
        <v>46300</v>
      </c>
      <c r="H110" s="109" t="s">
        <v>5593</v>
      </c>
      <c r="I110" s="109" t="s">
        <v>346</v>
      </c>
      <c r="J110" s="109"/>
      <c r="K110" s="109"/>
      <c r="L110" s="109" t="s">
        <v>346</v>
      </c>
      <c r="M110" s="109"/>
      <c r="N110" s="109"/>
      <c r="O110" s="113"/>
    </row>
    <row r="111" spans="1:15" ht="70.05" customHeight="1" outlineLevel="1">
      <c r="A111" s="109" t="s">
        <v>8068</v>
      </c>
      <c r="B111" s="110" t="s">
        <v>8069</v>
      </c>
      <c r="C111" s="110" t="s">
        <v>8070</v>
      </c>
      <c r="D111" s="111" t="s">
        <v>8071</v>
      </c>
      <c r="E111" s="111" t="s">
        <v>8023</v>
      </c>
      <c r="F111" s="109" t="s">
        <v>344</v>
      </c>
      <c r="G111" s="112">
        <v>46300</v>
      </c>
      <c r="H111" s="109" t="s">
        <v>5593</v>
      </c>
      <c r="I111" s="109" t="s">
        <v>346</v>
      </c>
      <c r="J111" s="109"/>
      <c r="K111" s="109"/>
      <c r="L111" s="109" t="s">
        <v>346</v>
      </c>
      <c r="M111" s="109"/>
      <c r="N111" s="109"/>
      <c r="O111" s="113"/>
    </row>
    <row r="112" spans="1:15" ht="70.05" customHeight="1" outlineLevel="1">
      <c r="A112" s="109" t="s">
        <v>8072</v>
      </c>
      <c r="B112" s="110" t="s">
        <v>8073</v>
      </c>
      <c r="C112" s="110" t="s">
        <v>8074</v>
      </c>
      <c r="D112" s="111" t="s">
        <v>8075</v>
      </c>
      <c r="E112" s="111" t="s">
        <v>8023</v>
      </c>
      <c r="F112" s="109" t="s">
        <v>344</v>
      </c>
      <c r="G112" s="112">
        <v>46300</v>
      </c>
      <c r="H112" s="109" t="s">
        <v>5593</v>
      </c>
      <c r="I112" s="109" t="s">
        <v>346</v>
      </c>
      <c r="J112" s="109"/>
      <c r="K112" s="109"/>
      <c r="L112" s="109" t="s">
        <v>346</v>
      </c>
      <c r="M112" s="109"/>
      <c r="N112" s="109"/>
      <c r="O112" s="113"/>
    </row>
    <row r="113" spans="1:15" ht="70.05" customHeight="1" outlineLevel="1">
      <c r="A113" s="109" t="s">
        <v>8076</v>
      </c>
      <c r="B113" s="110" t="s">
        <v>8077</v>
      </c>
      <c r="C113" s="110" t="s">
        <v>8078</v>
      </c>
      <c r="D113" s="111" t="s">
        <v>8079</v>
      </c>
      <c r="E113" s="111" t="s">
        <v>8023</v>
      </c>
      <c r="F113" s="109" t="s">
        <v>344</v>
      </c>
      <c r="G113" s="112">
        <v>46300</v>
      </c>
      <c r="H113" s="109" t="s">
        <v>5593</v>
      </c>
      <c r="I113" s="109" t="s">
        <v>346</v>
      </c>
      <c r="J113" s="109"/>
      <c r="K113" s="109"/>
      <c r="L113" s="109" t="s">
        <v>346</v>
      </c>
      <c r="M113" s="109"/>
      <c r="N113" s="109"/>
      <c r="O113" s="113"/>
    </row>
    <row r="114" spans="1:15" ht="70.05" customHeight="1" outlineLevel="1">
      <c r="A114" s="109" t="s">
        <v>8080</v>
      </c>
      <c r="B114" s="110" t="s">
        <v>8081</v>
      </c>
      <c r="C114" s="110" t="s">
        <v>8082</v>
      </c>
      <c r="D114" s="111" t="s">
        <v>8075</v>
      </c>
      <c r="E114" s="111" t="s">
        <v>8023</v>
      </c>
      <c r="F114" s="109" t="s">
        <v>344</v>
      </c>
      <c r="G114" s="112">
        <v>46300</v>
      </c>
      <c r="H114" s="109" t="s">
        <v>5593</v>
      </c>
      <c r="I114" s="109" t="s">
        <v>346</v>
      </c>
      <c r="J114" s="109"/>
      <c r="K114" s="109"/>
      <c r="L114" s="109" t="s">
        <v>346</v>
      </c>
      <c r="M114" s="109"/>
      <c r="N114" s="109"/>
      <c r="O114" s="113"/>
    </row>
    <row r="115" spans="1:15" ht="70.05" customHeight="1" outlineLevel="1">
      <c r="A115" s="109" t="s">
        <v>8083</v>
      </c>
      <c r="B115" s="110" t="s">
        <v>8084</v>
      </c>
      <c r="C115" s="110" t="s">
        <v>8021</v>
      </c>
      <c r="D115" s="111" t="s">
        <v>7776</v>
      </c>
      <c r="E115" s="111" t="s">
        <v>7777</v>
      </c>
      <c r="F115" s="109" t="s">
        <v>344</v>
      </c>
      <c r="G115" s="112">
        <v>46300</v>
      </c>
      <c r="H115" s="109" t="s">
        <v>5593</v>
      </c>
      <c r="I115" s="109" t="s">
        <v>346</v>
      </c>
      <c r="J115" s="109"/>
      <c r="K115" s="109"/>
      <c r="L115" s="109" t="s">
        <v>346</v>
      </c>
      <c r="M115" s="109"/>
      <c r="N115" s="109"/>
      <c r="O115" s="113"/>
    </row>
    <row r="116" spans="1:15" ht="15.75" customHeight="1">
      <c r="A116" s="60" t="s">
        <v>329</v>
      </c>
      <c r="B116" s="60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2"/>
    </row>
    <row r="117" spans="1:15" ht="70.05" customHeight="1" outlineLevel="1">
      <c r="A117" s="109" t="s">
        <v>8085</v>
      </c>
      <c r="B117" s="110" t="s">
        <v>8086</v>
      </c>
      <c r="C117" s="110" t="s">
        <v>8087</v>
      </c>
      <c r="D117" s="111" t="s">
        <v>8088</v>
      </c>
      <c r="E117" s="111" t="s">
        <v>8089</v>
      </c>
      <c r="F117" s="109" t="s">
        <v>346</v>
      </c>
      <c r="G117" s="109"/>
      <c r="H117" s="109"/>
      <c r="I117" s="109" t="s">
        <v>346</v>
      </c>
      <c r="J117" s="109"/>
      <c r="K117" s="109"/>
      <c r="L117" s="109" t="s">
        <v>346</v>
      </c>
      <c r="M117" s="109"/>
      <c r="N117" s="109"/>
      <c r="O117" s="113" t="s">
        <v>2816</v>
      </c>
    </row>
    <row r="118" spans="1:15" ht="70.05" customHeight="1" outlineLevel="1">
      <c r="A118" s="109" t="s">
        <v>8090</v>
      </c>
      <c r="B118" s="110" t="s">
        <v>8091</v>
      </c>
      <c r="C118" s="110" t="s">
        <v>8092</v>
      </c>
      <c r="D118" s="111" t="s">
        <v>8093</v>
      </c>
      <c r="E118" s="111" t="s">
        <v>8089</v>
      </c>
      <c r="F118" s="109" t="s">
        <v>346</v>
      </c>
      <c r="G118" s="109"/>
      <c r="H118" s="109"/>
      <c r="I118" s="109" t="s">
        <v>346</v>
      </c>
      <c r="J118" s="109"/>
      <c r="K118" s="109"/>
      <c r="L118" s="109" t="s">
        <v>346</v>
      </c>
      <c r="M118" s="109"/>
      <c r="N118" s="109"/>
      <c r="O118" s="113" t="s">
        <v>2816</v>
      </c>
    </row>
    <row r="119" spans="1:15" ht="70.05" customHeight="1" outlineLevel="1">
      <c r="A119" s="109" t="s">
        <v>8094</v>
      </c>
      <c r="B119" s="110" t="s">
        <v>8095</v>
      </c>
      <c r="C119" s="110" t="s">
        <v>8096</v>
      </c>
      <c r="D119" s="111" t="s">
        <v>8097</v>
      </c>
      <c r="E119" s="111" t="s">
        <v>8089</v>
      </c>
      <c r="F119" s="109" t="s">
        <v>346</v>
      </c>
      <c r="G119" s="109"/>
      <c r="H119" s="109"/>
      <c r="I119" s="109" t="s">
        <v>346</v>
      </c>
      <c r="J119" s="109"/>
      <c r="K119" s="109"/>
      <c r="L119" s="109" t="s">
        <v>346</v>
      </c>
      <c r="M119" s="109"/>
      <c r="N119" s="109"/>
      <c r="O119" s="113" t="s">
        <v>2816</v>
      </c>
    </row>
    <row r="120" spans="1:15" ht="70.05" customHeight="1" outlineLevel="1">
      <c r="A120" s="109" t="s">
        <v>8098</v>
      </c>
      <c r="B120" s="110" t="s">
        <v>8099</v>
      </c>
      <c r="C120" s="110" t="s">
        <v>8100</v>
      </c>
      <c r="D120" s="111" t="s">
        <v>8101</v>
      </c>
      <c r="E120" s="111" t="s">
        <v>8089</v>
      </c>
      <c r="F120" s="109" t="s">
        <v>346</v>
      </c>
      <c r="G120" s="109"/>
      <c r="H120" s="109"/>
      <c r="I120" s="109" t="s">
        <v>346</v>
      </c>
      <c r="J120" s="109"/>
      <c r="K120" s="109"/>
      <c r="L120" s="109" t="s">
        <v>346</v>
      </c>
      <c r="M120" s="109"/>
      <c r="N120" s="109"/>
      <c r="O120" s="113" t="s">
        <v>2816</v>
      </c>
    </row>
    <row r="121" spans="1:15" ht="70.05" customHeight="1" outlineLevel="1">
      <c r="A121" s="109" t="s">
        <v>8102</v>
      </c>
      <c r="B121" s="110" t="s">
        <v>8103</v>
      </c>
      <c r="C121" s="110" t="s">
        <v>8104</v>
      </c>
      <c r="D121" s="111" t="s">
        <v>8105</v>
      </c>
      <c r="E121" s="111" t="s">
        <v>8089</v>
      </c>
      <c r="F121" s="109" t="s">
        <v>346</v>
      </c>
      <c r="G121" s="109"/>
      <c r="H121" s="109"/>
      <c r="I121" s="109" t="s">
        <v>346</v>
      </c>
      <c r="J121" s="109"/>
      <c r="K121" s="109"/>
      <c r="L121" s="109" t="s">
        <v>346</v>
      </c>
      <c r="M121" s="109"/>
      <c r="N121" s="109"/>
      <c r="O121" s="113" t="s">
        <v>2816</v>
      </c>
    </row>
    <row r="122" spans="1:15" ht="70.05" customHeight="1" outlineLevel="1">
      <c r="A122" s="109" t="s">
        <v>8106</v>
      </c>
      <c r="B122" s="110" t="s">
        <v>8086</v>
      </c>
      <c r="C122" s="110" t="s">
        <v>8087</v>
      </c>
      <c r="D122" s="111" t="s">
        <v>8107</v>
      </c>
      <c r="E122" s="111" t="s">
        <v>8089</v>
      </c>
      <c r="F122" s="109" t="s">
        <v>346</v>
      </c>
      <c r="G122" s="109"/>
      <c r="H122" s="109"/>
      <c r="I122" s="109" t="s">
        <v>346</v>
      </c>
      <c r="J122" s="109"/>
      <c r="K122" s="109"/>
      <c r="L122" s="109" t="s">
        <v>346</v>
      </c>
      <c r="M122" s="109"/>
      <c r="N122" s="109"/>
      <c r="O122" s="113" t="s">
        <v>2816</v>
      </c>
    </row>
    <row r="123" spans="1:15" ht="70.05" customHeight="1" outlineLevel="1">
      <c r="A123" s="109" t="s">
        <v>8108</v>
      </c>
      <c r="B123" s="110" t="s">
        <v>8109</v>
      </c>
      <c r="C123" s="110" t="s">
        <v>8110</v>
      </c>
      <c r="D123" s="111" t="s">
        <v>8105</v>
      </c>
      <c r="E123" s="111" t="s">
        <v>8089</v>
      </c>
      <c r="F123" s="109" t="s">
        <v>346</v>
      </c>
      <c r="G123" s="109"/>
      <c r="H123" s="109"/>
      <c r="I123" s="109" t="s">
        <v>346</v>
      </c>
      <c r="J123" s="109"/>
      <c r="K123" s="109"/>
      <c r="L123" s="109" t="s">
        <v>346</v>
      </c>
      <c r="M123" s="109"/>
      <c r="N123" s="109"/>
      <c r="O123" s="113" t="s">
        <v>2816</v>
      </c>
    </row>
    <row r="124" spans="1:15" ht="70.05" customHeight="1" outlineLevel="1">
      <c r="A124" s="109" t="s">
        <v>8111</v>
      </c>
      <c r="B124" s="110" t="s">
        <v>8112</v>
      </c>
      <c r="C124" s="110" t="s">
        <v>8113</v>
      </c>
      <c r="D124" s="111" t="s">
        <v>8105</v>
      </c>
      <c r="E124" s="111" t="s">
        <v>8089</v>
      </c>
      <c r="F124" s="109" t="s">
        <v>346</v>
      </c>
      <c r="G124" s="109"/>
      <c r="H124" s="109"/>
      <c r="I124" s="109" t="s">
        <v>346</v>
      </c>
      <c r="J124" s="109"/>
      <c r="K124" s="109"/>
      <c r="L124" s="109" t="s">
        <v>346</v>
      </c>
      <c r="M124" s="109"/>
      <c r="N124" s="109"/>
      <c r="O124" s="113" t="s">
        <v>2816</v>
      </c>
    </row>
    <row r="125" spans="1:15" ht="70.05" customHeight="1" outlineLevel="1">
      <c r="A125" s="109" t="s">
        <v>8114</v>
      </c>
      <c r="B125" s="110" t="s">
        <v>8115</v>
      </c>
      <c r="C125" s="110" t="s">
        <v>8116</v>
      </c>
      <c r="D125" s="111" t="s">
        <v>8105</v>
      </c>
      <c r="E125" s="111" t="s">
        <v>8089</v>
      </c>
      <c r="F125" s="109" t="s">
        <v>346</v>
      </c>
      <c r="G125" s="109"/>
      <c r="H125" s="109"/>
      <c r="I125" s="109" t="s">
        <v>346</v>
      </c>
      <c r="J125" s="109"/>
      <c r="K125" s="109"/>
      <c r="L125" s="109" t="s">
        <v>346</v>
      </c>
      <c r="M125" s="109"/>
      <c r="N125" s="109"/>
      <c r="O125" s="113" t="s">
        <v>2816</v>
      </c>
    </row>
    <row r="126" spans="1:15" ht="70.05" customHeight="1" outlineLevel="1">
      <c r="A126" s="109" t="s">
        <v>8117</v>
      </c>
      <c r="B126" s="110" t="s">
        <v>8118</v>
      </c>
      <c r="C126" s="110" t="s">
        <v>8119</v>
      </c>
      <c r="D126" s="111" t="s">
        <v>7784</v>
      </c>
      <c r="E126" s="111" t="s">
        <v>8089</v>
      </c>
      <c r="F126" s="109" t="s">
        <v>346</v>
      </c>
      <c r="G126" s="109"/>
      <c r="H126" s="109"/>
      <c r="I126" s="109" t="s">
        <v>346</v>
      </c>
      <c r="J126" s="109"/>
      <c r="K126" s="109"/>
      <c r="L126" s="109" t="s">
        <v>346</v>
      </c>
      <c r="M126" s="109"/>
      <c r="N126" s="109"/>
      <c r="O126" s="113" t="s">
        <v>2816</v>
      </c>
    </row>
    <row r="127" spans="1:15" ht="70.05" customHeight="1" outlineLevel="1">
      <c r="A127" s="109" t="s">
        <v>8120</v>
      </c>
      <c r="B127" s="110" t="s">
        <v>8121</v>
      </c>
      <c r="C127" s="110" t="s">
        <v>8087</v>
      </c>
      <c r="D127" s="111" t="s">
        <v>7776</v>
      </c>
      <c r="E127" s="111" t="s">
        <v>7777</v>
      </c>
      <c r="F127" s="109" t="s">
        <v>346</v>
      </c>
      <c r="G127" s="109"/>
      <c r="H127" s="109"/>
      <c r="I127" s="109" t="s">
        <v>346</v>
      </c>
      <c r="J127" s="109"/>
      <c r="K127" s="109"/>
      <c r="L127" s="109" t="s">
        <v>346</v>
      </c>
      <c r="M127" s="109"/>
      <c r="N127" s="109"/>
      <c r="O127" s="113" t="s">
        <v>2816</v>
      </c>
    </row>
    <row r="128" spans="1:15" ht="70.05" customHeight="1" outlineLevel="1">
      <c r="A128" s="109" t="s">
        <v>8122</v>
      </c>
      <c r="B128" s="110" t="s">
        <v>8123</v>
      </c>
      <c r="C128" s="110" t="s">
        <v>8124</v>
      </c>
      <c r="D128" s="111" t="s">
        <v>8125</v>
      </c>
      <c r="E128" s="111" t="s">
        <v>8126</v>
      </c>
      <c r="F128" s="109" t="s">
        <v>346</v>
      </c>
      <c r="G128" s="109"/>
      <c r="H128" s="109"/>
      <c r="I128" s="109" t="s">
        <v>346</v>
      </c>
      <c r="J128" s="109"/>
      <c r="K128" s="109"/>
      <c r="L128" s="109" t="s">
        <v>346</v>
      </c>
      <c r="M128" s="109"/>
      <c r="N128" s="109"/>
      <c r="O128" s="113" t="s">
        <v>2816</v>
      </c>
    </row>
    <row r="129" spans="1:15" ht="70.05" customHeight="1" outlineLevel="1">
      <c r="A129" s="109" t="s">
        <v>8127</v>
      </c>
      <c r="B129" s="110" t="s">
        <v>8128</v>
      </c>
      <c r="C129" s="110" t="s">
        <v>8129</v>
      </c>
      <c r="D129" s="111" t="s">
        <v>8125</v>
      </c>
      <c r="E129" s="111" t="s">
        <v>8130</v>
      </c>
      <c r="F129" s="109" t="s">
        <v>346</v>
      </c>
      <c r="G129" s="109"/>
      <c r="H129" s="109"/>
      <c r="I129" s="109" t="s">
        <v>346</v>
      </c>
      <c r="J129" s="109"/>
      <c r="K129" s="109"/>
      <c r="L129" s="109" t="s">
        <v>346</v>
      </c>
      <c r="M129" s="109"/>
      <c r="N129" s="109"/>
      <c r="O129" s="113" t="s">
        <v>2816</v>
      </c>
    </row>
    <row r="130" spans="1:15" ht="70.05" customHeight="1" outlineLevel="1">
      <c r="A130" s="109" t="s">
        <v>8131</v>
      </c>
      <c r="B130" s="110" t="s">
        <v>8132</v>
      </c>
      <c r="C130" s="110" t="s">
        <v>8133</v>
      </c>
      <c r="D130" s="111" t="s">
        <v>7784</v>
      </c>
      <c r="E130" s="111" t="s">
        <v>7741</v>
      </c>
      <c r="F130" s="109" t="s">
        <v>346</v>
      </c>
      <c r="G130" s="109"/>
      <c r="H130" s="109"/>
      <c r="I130" s="109" t="s">
        <v>346</v>
      </c>
      <c r="J130" s="109"/>
      <c r="K130" s="109"/>
      <c r="L130" s="109" t="s">
        <v>346</v>
      </c>
      <c r="M130" s="109"/>
      <c r="N130" s="109"/>
      <c r="O130" s="113" t="s">
        <v>2816</v>
      </c>
    </row>
    <row r="131" spans="1:15" ht="70.05" customHeight="1" outlineLevel="1">
      <c r="A131" s="109" t="s">
        <v>8134</v>
      </c>
      <c r="B131" s="110" t="s">
        <v>8135</v>
      </c>
      <c r="C131" s="110" t="s">
        <v>8136</v>
      </c>
      <c r="D131" s="111" t="s">
        <v>7784</v>
      </c>
      <c r="E131" s="111" t="s">
        <v>7741</v>
      </c>
      <c r="F131" s="109" t="s">
        <v>346</v>
      </c>
      <c r="G131" s="109"/>
      <c r="H131" s="109"/>
      <c r="I131" s="109" t="s">
        <v>346</v>
      </c>
      <c r="J131" s="109"/>
      <c r="K131" s="109"/>
      <c r="L131" s="109" t="s">
        <v>346</v>
      </c>
      <c r="M131" s="109"/>
      <c r="N131" s="109"/>
      <c r="O131" s="113" t="s">
        <v>2816</v>
      </c>
    </row>
    <row r="132" spans="1:15" ht="70.05" customHeight="1" outlineLevel="1">
      <c r="A132" s="109" t="s">
        <v>8137</v>
      </c>
      <c r="B132" s="110" t="s">
        <v>8138</v>
      </c>
      <c r="C132" s="110" t="s">
        <v>8139</v>
      </c>
      <c r="D132" s="111" t="s">
        <v>7784</v>
      </c>
      <c r="E132" s="111" t="s">
        <v>7741</v>
      </c>
      <c r="F132" s="109" t="s">
        <v>346</v>
      </c>
      <c r="G132" s="109"/>
      <c r="H132" s="109"/>
      <c r="I132" s="109" t="s">
        <v>346</v>
      </c>
      <c r="J132" s="109"/>
      <c r="K132" s="109"/>
      <c r="L132" s="109" t="s">
        <v>346</v>
      </c>
      <c r="M132" s="109"/>
      <c r="N132" s="109"/>
      <c r="O132" s="113" t="s">
        <v>2816</v>
      </c>
    </row>
    <row r="133" spans="1:15" ht="70.05" customHeight="1" outlineLevel="1">
      <c r="A133" s="109" t="s">
        <v>8140</v>
      </c>
      <c r="B133" s="110" t="s">
        <v>8141</v>
      </c>
      <c r="C133" s="110" t="s">
        <v>8142</v>
      </c>
      <c r="D133" s="111" t="s">
        <v>8143</v>
      </c>
      <c r="E133" s="111" t="s">
        <v>8089</v>
      </c>
      <c r="F133" s="109" t="s">
        <v>346</v>
      </c>
      <c r="G133" s="109"/>
      <c r="H133" s="109"/>
      <c r="I133" s="109" t="s">
        <v>346</v>
      </c>
      <c r="J133" s="109"/>
      <c r="K133" s="109"/>
      <c r="L133" s="109" t="s">
        <v>346</v>
      </c>
      <c r="M133" s="109"/>
      <c r="N133" s="109"/>
      <c r="O133" s="113" t="s">
        <v>2816</v>
      </c>
    </row>
    <row r="134" spans="1:15" ht="15.75" customHeight="1">
      <c r="A134" s="60" t="s">
        <v>331</v>
      </c>
      <c r="B134" s="60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2"/>
    </row>
    <row r="135" spans="1:15" ht="70.05" customHeight="1" outlineLevel="1">
      <c r="A135" s="109" t="s">
        <v>8144</v>
      </c>
      <c r="B135" s="110" t="s">
        <v>8145</v>
      </c>
      <c r="C135" s="110" t="s">
        <v>8146</v>
      </c>
      <c r="D135" s="111" t="s">
        <v>8147</v>
      </c>
      <c r="E135" s="111" t="s">
        <v>7990</v>
      </c>
      <c r="F135" s="109" t="s">
        <v>346</v>
      </c>
      <c r="G135" s="109"/>
      <c r="H135" s="109"/>
      <c r="I135" s="109" t="s">
        <v>346</v>
      </c>
      <c r="J135" s="109"/>
      <c r="K135" s="109"/>
      <c r="L135" s="109" t="s">
        <v>346</v>
      </c>
      <c r="M135" s="109"/>
      <c r="N135" s="109"/>
      <c r="O135" s="113" t="s">
        <v>2816</v>
      </c>
    </row>
    <row r="136" spans="1:15" ht="70.05" customHeight="1" outlineLevel="1">
      <c r="A136" s="109" t="s">
        <v>8148</v>
      </c>
      <c r="B136" s="110" t="s">
        <v>8149</v>
      </c>
      <c r="C136" s="110" t="s">
        <v>8150</v>
      </c>
      <c r="D136" s="111" t="s">
        <v>8151</v>
      </c>
      <c r="E136" s="111" t="s">
        <v>8152</v>
      </c>
      <c r="F136" s="109" t="s">
        <v>346</v>
      </c>
      <c r="G136" s="109"/>
      <c r="H136" s="109"/>
      <c r="I136" s="109" t="s">
        <v>346</v>
      </c>
      <c r="J136" s="109"/>
      <c r="K136" s="109"/>
      <c r="L136" s="109" t="s">
        <v>346</v>
      </c>
      <c r="M136" s="109"/>
      <c r="N136" s="109"/>
      <c r="O136" s="113" t="s">
        <v>2816</v>
      </c>
    </row>
    <row r="137" spans="1:15" ht="70.05" customHeight="1" outlineLevel="1">
      <c r="A137" s="109" t="s">
        <v>8153</v>
      </c>
      <c r="B137" s="110" t="s">
        <v>8154</v>
      </c>
      <c r="C137" s="110" t="s">
        <v>8155</v>
      </c>
      <c r="D137" s="111" t="s">
        <v>8156</v>
      </c>
      <c r="E137" s="111" t="s">
        <v>7990</v>
      </c>
      <c r="F137" s="109" t="s">
        <v>346</v>
      </c>
      <c r="G137" s="109"/>
      <c r="H137" s="109"/>
      <c r="I137" s="109" t="s">
        <v>346</v>
      </c>
      <c r="J137" s="109"/>
      <c r="K137" s="109"/>
      <c r="L137" s="109" t="s">
        <v>346</v>
      </c>
      <c r="M137" s="109"/>
      <c r="N137" s="109"/>
      <c r="O137" s="113" t="s">
        <v>2816</v>
      </c>
    </row>
    <row r="138" spans="1:15" ht="70.05" customHeight="1" outlineLevel="1">
      <c r="A138" s="109" t="s">
        <v>8157</v>
      </c>
      <c r="B138" s="110" t="s">
        <v>8158</v>
      </c>
      <c r="C138" s="110" t="s">
        <v>8159</v>
      </c>
      <c r="D138" s="111" t="s">
        <v>8160</v>
      </c>
      <c r="E138" s="111" t="s">
        <v>8152</v>
      </c>
      <c r="F138" s="109" t="s">
        <v>346</v>
      </c>
      <c r="G138" s="109"/>
      <c r="H138" s="109"/>
      <c r="I138" s="109" t="s">
        <v>346</v>
      </c>
      <c r="J138" s="109"/>
      <c r="K138" s="109"/>
      <c r="L138" s="109" t="s">
        <v>346</v>
      </c>
      <c r="M138" s="109"/>
      <c r="N138" s="109"/>
      <c r="O138" s="113" t="s">
        <v>2816</v>
      </c>
    </row>
    <row r="139" spans="1:15" ht="70.05" customHeight="1" outlineLevel="1">
      <c r="A139" s="109" t="s">
        <v>8161</v>
      </c>
      <c r="B139" s="110" t="s">
        <v>8162</v>
      </c>
      <c r="C139" s="110" t="s">
        <v>8163</v>
      </c>
      <c r="D139" s="111" t="s">
        <v>8164</v>
      </c>
      <c r="E139" s="111" t="s">
        <v>7990</v>
      </c>
      <c r="F139" s="109" t="s">
        <v>346</v>
      </c>
      <c r="G139" s="109"/>
      <c r="H139" s="109"/>
      <c r="I139" s="109" t="s">
        <v>346</v>
      </c>
      <c r="J139" s="109"/>
      <c r="K139" s="109"/>
      <c r="L139" s="109" t="s">
        <v>346</v>
      </c>
      <c r="M139" s="109"/>
      <c r="N139" s="109"/>
      <c r="O139" s="113" t="s">
        <v>2816</v>
      </c>
    </row>
    <row r="140" spans="1:15" ht="70.05" customHeight="1" outlineLevel="1">
      <c r="A140" s="109" t="s">
        <v>8165</v>
      </c>
      <c r="B140" s="110" t="s">
        <v>8166</v>
      </c>
      <c r="C140" s="110" t="s">
        <v>8167</v>
      </c>
      <c r="D140" s="111" t="s">
        <v>8168</v>
      </c>
      <c r="E140" s="111" t="s">
        <v>7990</v>
      </c>
      <c r="F140" s="109" t="s">
        <v>346</v>
      </c>
      <c r="G140" s="109"/>
      <c r="H140" s="109"/>
      <c r="I140" s="109" t="s">
        <v>346</v>
      </c>
      <c r="J140" s="109"/>
      <c r="K140" s="109"/>
      <c r="L140" s="109" t="s">
        <v>346</v>
      </c>
      <c r="M140" s="109"/>
      <c r="N140" s="109"/>
      <c r="O140" s="113" t="s">
        <v>2816</v>
      </c>
    </row>
    <row r="141" spans="1:15" ht="70.05" customHeight="1" outlineLevel="1">
      <c r="A141" s="109" t="s">
        <v>8169</v>
      </c>
      <c r="B141" s="110" t="s">
        <v>8170</v>
      </c>
      <c r="C141" s="110" t="s">
        <v>8171</v>
      </c>
      <c r="D141" s="111" t="s">
        <v>8172</v>
      </c>
      <c r="E141" s="111" t="s">
        <v>7990</v>
      </c>
      <c r="F141" s="109" t="s">
        <v>346</v>
      </c>
      <c r="G141" s="109"/>
      <c r="H141" s="109"/>
      <c r="I141" s="109" t="s">
        <v>346</v>
      </c>
      <c r="J141" s="109"/>
      <c r="K141" s="109"/>
      <c r="L141" s="109" t="s">
        <v>346</v>
      </c>
      <c r="M141" s="109"/>
      <c r="N141" s="109"/>
      <c r="O141" s="113" t="s">
        <v>2816</v>
      </c>
    </row>
    <row r="142" spans="1:15" ht="70.05" customHeight="1" outlineLevel="1">
      <c r="A142" s="109" t="s">
        <v>8173</v>
      </c>
      <c r="B142" s="110" t="s">
        <v>8174</v>
      </c>
      <c r="C142" s="110" t="s">
        <v>8175</v>
      </c>
      <c r="D142" s="111" t="s">
        <v>8176</v>
      </c>
      <c r="E142" s="111" t="s">
        <v>7990</v>
      </c>
      <c r="F142" s="109" t="s">
        <v>346</v>
      </c>
      <c r="G142" s="109"/>
      <c r="H142" s="109"/>
      <c r="I142" s="109" t="s">
        <v>346</v>
      </c>
      <c r="J142" s="109"/>
      <c r="K142" s="109"/>
      <c r="L142" s="109" t="s">
        <v>346</v>
      </c>
      <c r="M142" s="109"/>
      <c r="N142" s="109"/>
      <c r="O142" s="113" t="s">
        <v>2816</v>
      </c>
    </row>
    <row r="143" spans="1:15" ht="70.05" customHeight="1" outlineLevel="1">
      <c r="A143" s="109" t="s">
        <v>8177</v>
      </c>
      <c r="B143" s="110" t="s">
        <v>8178</v>
      </c>
      <c r="C143" s="110" t="s">
        <v>8179</v>
      </c>
      <c r="D143" s="111" t="s">
        <v>8176</v>
      </c>
      <c r="E143" s="111" t="s">
        <v>7990</v>
      </c>
      <c r="F143" s="109" t="s">
        <v>346</v>
      </c>
      <c r="G143" s="109"/>
      <c r="H143" s="109"/>
      <c r="I143" s="109" t="s">
        <v>346</v>
      </c>
      <c r="J143" s="109"/>
      <c r="K143" s="109"/>
      <c r="L143" s="109" t="s">
        <v>346</v>
      </c>
      <c r="M143" s="109"/>
      <c r="N143" s="109"/>
      <c r="O143" s="113" t="s">
        <v>2816</v>
      </c>
    </row>
    <row r="144" spans="1:15" ht="70.05" customHeight="1" outlineLevel="1">
      <c r="A144" s="109" t="s">
        <v>8180</v>
      </c>
      <c r="B144" s="110" t="s">
        <v>8181</v>
      </c>
      <c r="C144" s="110" t="s">
        <v>8182</v>
      </c>
      <c r="D144" s="111" t="s">
        <v>7784</v>
      </c>
      <c r="E144" s="111" t="s">
        <v>7990</v>
      </c>
      <c r="F144" s="109" t="s">
        <v>346</v>
      </c>
      <c r="G144" s="109"/>
      <c r="H144" s="109"/>
      <c r="I144" s="109" t="s">
        <v>346</v>
      </c>
      <c r="J144" s="109"/>
      <c r="K144" s="109"/>
      <c r="L144" s="109" t="s">
        <v>346</v>
      </c>
      <c r="M144" s="109"/>
      <c r="N144" s="109"/>
      <c r="O144" s="113" t="s">
        <v>2816</v>
      </c>
    </row>
    <row r="145" spans="1:15" ht="70.05" customHeight="1" outlineLevel="1">
      <c r="A145" s="109" t="s">
        <v>8183</v>
      </c>
      <c r="B145" s="110" t="s">
        <v>8184</v>
      </c>
      <c r="C145" s="110" t="s">
        <v>8146</v>
      </c>
      <c r="D145" s="111" t="s">
        <v>7776</v>
      </c>
      <c r="E145" s="111" t="s">
        <v>7996</v>
      </c>
      <c r="F145" s="109" t="s">
        <v>346</v>
      </c>
      <c r="G145" s="109"/>
      <c r="H145" s="109"/>
      <c r="I145" s="109" t="s">
        <v>346</v>
      </c>
      <c r="J145" s="109"/>
      <c r="K145" s="109"/>
      <c r="L145" s="109" t="s">
        <v>346</v>
      </c>
      <c r="M145" s="109"/>
      <c r="N145" s="109"/>
      <c r="O145" s="113" t="s">
        <v>2816</v>
      </c>
    </row>
    <row r="146" spans="1:15" ht="70.05" customHeight="1" outlineLevel="1">
      <c r="A146" s="109" t="s">
        <v>8185</v>
      </c>
      <c r="B146" s="110" t="s">
        <v>8186</v>
      </c>
      <c r="C146" s="110" t="s">
        <v>8187</v>
      </c>
      <c r="D146" s="111" t="s">
        <v>7984</v>
      </c>
      <c r="E146" s="111" t="s">
        <v>7741</v>
      </c>
      <c r="F146" s="109" t="s">
        <v>346</v>
      </c>
      <c r="G146" s="109"/>
      <c r="H146" s="109"/>
      <c r="I146" s="109" t="s">
        <v>346</v>
      </c>
      <c r="J146" s="109"/>
      <c r="K146" s="109"/>
      <c r="L146" s="109" t="s">
        <v>346</v>
      </c>
      <c r="M146" s="109"/>
      <c r="N146" s="109"/>
      <c r="O146" s="113" t="s">
        <v>2816</v>
      </c>
    </row>
    <row r="147" spans="1:15" ht="70.05" customHeight="1" outlineLevel="1">
      <c r="A147" s="109" t="s">
        <v>8188</v>
      </c>
      <c r="B147" s="110" t="s">
        <v>8189</v>
      </c>
      <c r="C147" s="110" t="s">
        <v>8190</v>
      </c>
      <c r="D147" s="111" t="s">
        <v>8125</v>
      </c>
      <c r="E147" s="111" t="s">
        <v>8191</v>
      </c>
      <c r="F147" s="109" t="s">
        <v>346</v>
      </c>
      <c r="G147" s="109"/>
      <c r="H147" s="109"/>
      <c r="I147" s="109" t="s">
        <v>346</v>
      </c>
      <c r="J147" s="109"/>
      <c r="K147" s="109"/>
      <c r="L147" s="109" t="s">
        <v>346</v>
      </c>
      <c r="M147" s="109"/>
      <c r="N147" s="109"/>
      <c r="O147" s="113" t="s">
        <v>2816</v>
      </c>
    </row>
    <row r="148" spans="1:15" ht="70.05" customHeight="1" outlineLevel="1">
      <c r="A148" s="109" t="s">
        <v>8192</v>
      </c>
      <c r="B148" s="110" t="s">
        <v>8193</v>
      </c>
      <c r="C148" s="110" t="s">
        <v>8194</v>
      </c>
      <c r="D148" s="111" t="s">
        <v>7784</v>
      </c>
      <c r="E148" s="111" t="s">
        <v>7990</v>
      </c>
      <c r="F148" s="109" t="s">
        <v>346</v>
      </c>
      <c r="G148" s="109"/>
      <c r="H148" s="109"/>
      <c r="I148" s="109" t="s">
        <v>346</v>
      </c>
      <c r="J148" s="109"/>
      <c r="K148" s="109"/>
      <c r="L148" s="109" t="s">
        <v>346</v>
      </c>
      <c r="M148" s="109"/>
      <c r="N148" s="109"/>
      <c r="O148" s="113" t="s">
        <v>2816</v>
      </c>
    </row>
    <row r="149" spans="1:15" ht="70.05" customHeight="1" outlineLevel="1">
      <c r="A149" s="109" t="s">
        <v>8195</v>
      </c>
      <c r="B149" s="110" t="s">
        <v>8196</v>
      </c>
      <c r="C149" s="110" t="s">
        <v>8197</v>
      </c>
      <c r="D149" s="111" t="s">
        <v>7784</v>
      </c>
      <c r="E149" s="111" t="s">
        <v>7990</v>
      </c>
      <c r="F149" s="109" t="s">
        <v>346</v>
      </c>
      <c r="G149" s="109"/>
      <c r="H149" s="109"/>
      <c r="I149" s="109" t="s">
        <v>346</v>
      </c>
      <c r="J149" s="109"/>
      <c r="K149" s="109"/>
      <c r="L149" s="109" t="s">
        <v>346</v>
      </c>
      <c r="M149" s="109"/>
      <c r="N149" s="109"/>
      <c r="O149" s="113" t="s">
        <v>2816</v>
      </c>
    </row>
    <row r="150" spans="1:15" ht="70.05" customHeight="1" outlineLevel="1">
      <c r="A150" s="109" t="s">
        <v>8198</v>
      </c>
      <c r="B150" s="110" t="s">
        <v>8199</v>
      </c>
      <c r="C150" s="110" t="s">
        <v>8200</v>
      </c>
      <c r="D150" s="111" t="s">
        <v>8143</v>
      </c>
      <c r="E150" s="111" t="s">
        <v>7990</v>
      </c>
      <c r="F150" s="109" t="s">
        <v>346</v>
      </c>
      <c r="G150" s="109"/>
      <c r="H150" s="109"/>
      <c r="I150" s="109" t="s">
        <v>346</v>
      </c>
      <c r="J150" s="109"/>
      <c r="K150" s="109"/>
      <c r="L150" s="109" t="s">
        <v>346</v>
      </c>
      <c r="M150" s="109"/>
      <c r="N150" s="109"/>
      <c r="O150" s="113" t="s">
        <v>2816</v>
      </c>
    </row>
    <row r="151" spans="1:15" ht="70.05" customHeight="1" outlineLevel="1">
      <c r="A151" s="109" t="s">
        <v>8201</v>
      </c>
      <c r="B151" s="110" t="s">
        <v>8202</v>
      </c>
      <c r="C151" s="110" t="s">
        <v>8203</v>
      </c>
      <c r="D151" s="111" t="s">
        <v>7984</v>
      </c>
      <c r="E151" s="111" t="s">
        <v>8204</v>
      </c>
      <c r="F151" s="109" t="s">
        <v>346</v>
      </c>
      <c r="G151" s="109"/>
      <c r="H151" s="109"/>
      <c r="I151" s="109" t="s">
        <v>346</v>
      </c>
      <c r="J151" s="109"/>
      <c r="K151" s="109"/>
      <c r="L151" s="109" t="s">
        <v>346</v>
      </c>
      <c r="M151" s="109"/>
      <c r="N151" s="109"/>
      <c r="O151" s="113" t="s">
        <v>2816</v>
      </c>
    </row>
    <row r="152" spans="1:15" ht="15.75" customHeight="1">
      <c r="A152" s="60" t="s">
        <v>333</v>
      </c>
      <c r="B152" s="60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2"/>
    </row>
    <row r="153" spans="1:15" ht="70.05" customHeight="1" outlineLevel="1">
      <c r="A153" s="109" t="s">
        <v>8205</v>
      </c>
      <c r="B153" s="110" t="s">
        <v>8206</v>
      </c>
      <c r="C153" s="110" t="s">
        <v>8207</v>
      </c>
      <c r="D153" s="111" t="s">
        <v>8208</v>
      </c>
      <c r="E153" s="111" t="s">
        <v>8209</v>
      </c>
      <c r="F153" s="109" t="s">
        <v>346</v>
      </c>
      <c r="G153" s="109"/>
      <c r="H153" s="109"/>
      <c r="I153" s="109" t="s">
        <v>346</v>
      </c>
      <c r="J153" s="109"/>
      <c r="K153" s="109"/>
      <c r="L153" s="109" t="s">
        <v>346</v>
      </c>
      <c r="M153" s="109"/>
      <c r="N153" s="109"/>
      <c r="O153" s="113" t="s">
        <v>2816</v>
      </c>
    </row>
    <row r="154" spans="1:15" ht="70.05" customHeight="1" outlineLevel="1">
      <c r="A154" s="109" t="s">
        <v>8210</v>
      </c>
      <c r="B154" s="110" t="s">
        <v>8211</v>
      </c>
      <c r="C154" s="110" t="s">
        <v>8212</v>
      </c>
      <c r="D154" s="111" t="s">
        <v>8213</v>
      </c>
      <c r="E154" s="111" t="s">
        <v>8214</v>
      </c>
      <c r="F154" s="109" t="s">
        <v>346</v>
      </c>
      <c r="G154" s="109"/>
      <c r="H154" s="109"/>
      <c r="I154" s="109" t="s">
        <v>346</v>
      </c>
      <c r="J154" s="109"/>
      <c r="K154" s="109"/>
      <c r="L154" s="109" t="s">
        <v>346</v>
      </c>
      <c r="M154" s="109"/>
      <c r="N154" s="109"/>
      <c r="O154" s="113" t="s">
        <v>2816</v>
      </c>
    </row>
    <row r="155" spans="1:15" ht="70.05" customHeight="1" outlineLevel="1">
      <c r="A155" s="109" t="s">
        <v>8215</v>
      </c>
      <c r="B155" s="110" t="s">
        <v>8206</v>
      </c>
      <c r="C155" s="110" t="s">
        <v>8207</v>
      </c>
      <c r="D155" s="111" t="s">
        <v>8216</v>
      </c>
      <c r="E155" s="111" t="s">
        <v>8209</v>
      </c>
      <c r="F155" s="109" t="s">
        <v>346</v>
      </c>
      <c r="G155" s="109"/>
      <c r="H155" s="109"/>
      <c r="I155" s="109" t="s">
        <v>346</v>
      </c>
      <c r="J155" s="109"/>
      <c r="K155" s="109"/>
      <c r="L155" s="109" t="s">
        <v>346</v>
      </c>
      <c r="M155" s="109"/>
      <c r="N155" s="109"/>
      <c r="O155" s="113" t="s">
        <v>2816</v>
      </c>
    </row>
    <row r="156" spans="1:15" ht="70.05" customHeight="1" outlineLevel="1">
      <c r="A156" s="109" t="s">
        <v>8217</v>
      </c>
      <c r="B156" s="110" t="s">
        <v>8206</v>
      </c>
      <c r="C156" s="110" t="s">
        <v>8207</v>
      </c>
      <c r="D156" s="111" t="s">
        <v>8218</v>
      </c>
      <c r="E156" s="111" t="s">
        <v>8209</v>
      </c>
      <c r="F156" s="109" t="s">
        <v>346</v>
      </c>
      <c r="G156" s="109"/>
      <c r="H156" s="109"/>
      <c r="I156" s="109" t="s">
        <v>346</v>
      </c>
      <c r="J156" s="109"/>
      <c r="K156" s="109"/>
      <c r="L156" s="109" t="s">
        <v>346</v>
      </c>
      <c r="M156" s="109"/>
      <c r="N156" s="109"/>
      <c r="O156" s="113" t="s">
        <v>2816</v>
      </c>
    </row>
    <row r="157" spans="1:15" ht="70.05" customHeight="1" outlineLevel="1">
      <c r="A157" s="109" t="s">
        <v>8219</v>
      </c>
      <c r="B157" s="110" t="s">
        <v>8220</v>
      </c>
      <c r="C157" s="110" t="s">
        <v>8221</v>
      </c>
      <c r="D157" s="111" t="s">
        <v>8222</v>
      </c>
      <c r="E157" s="111" t="s">
        <v>8223</v>
      </c>
      <c r="F157" s="109" t="s">
        <v>346</v>
      </c>
      <c r="G157" s="109"/>
      <c r="H157" s="109"/>
      <c r="I157" s="109" t="s">
        <v>346</v>
      </c>
      <c r="J157" s="109"/>
      <c r="K157" s="109"/>
      <c r="L157" s="109" t="s">
        <v>346</v>
      </c>
      <c r="M157" s="109"/>
      <c r="N157" s="109"/>
      <c r="O157" s="113" t="s">
        <v>2816</v>
      </c>
    </row>
    <row r="158" spans="1:15" ht="70.05" customHeight="1" outlineLevel="1">
      <c r="A158" s="109" t="s">
        <v>8224</v>
      </c>
      <c r="B158" s="110" t="s">
        <v>8206</v>
      </c>
      <c r="C158" s="110" t="s">
        <v>8207</v>
      </c>
      <c r="D158" s="111" t="s">
        <v>8225</v>
      </c>
      <c r="E158" s="111" t="s">
        <v>8209</v>
      </c>
      <c r="F158" s="109" t="s">
        <v>346</v>
      </c>
      <c r="G158" s="109"/>
      <c r="H158" s="109"/>
      <c r="I158" s="109" t="s">
        <v>346</v>
      </c>
      <c r="J158" s="109"/>
      <c r="K158" s="109"/>
      <c r="L158" s="109" t="s">
        <v>346</v>
      </c>
      <c r="M158" s="109"/>
      <c r="N158" s="109"/>
      <c r="O158" s="113" t="s">
        <v>2816</v>
      </c>
    </row>
    <row r="159" spans="1:15" ht="70.05" customHeight="1" outlineLevel="1">
      <c r="A159" s="109" t="s">
        <v>8226</v>
      </c>
      <c r="B159" s="110" t="s">
        <v>8227</v>
      </c>
      <c r="C159" s="110" t="s">
        <v>8228</v>
      </c>
      <c r="D159" s="111" t="s">
        <v>8229</v>
      </c>
      <c r="E159" s="111" t="s">
        <v>8230</v>
      </c>
      <c r="F159" s="109" t="s">
        <v>346</v>
      </c>
      <c r="G159" s="109"/>
      <c r="H159" s="109"/>
      <c r="I159" s="109" t="s">
        <v>346</v>
      </c>
      <c r="J159" s="109"/>
      <c r="K159" s="109"/>
      <c r="L159" s="109" t="s">
        <v>346</v>
      </c>
      <c r="M159" s="109"/>
      <c r="N159" s="109"/>
      <c r="O159" s="113" t="s">
        <v>2816</v>
      </c>
    </row>
    <row r="160" spans="1:15" ht="70.05" customHeight="1" outlineLevel="1">
      <c r="A160" s="109" t="s">
        <v>8231</v>
      </c>
      <c r="B160" s="110" t="s">
        <v>8232</v>
      </c>
      <c r="C160" s="110" t="s">
        <v>8233</v>
      </c>
      <c r="D160" s="111" t="s">
        <v>8234</v>
      </c>
      <c r="E160" s="111" t="s">
        <v>8235</v>
      </c>
      <c r="F160" s="109" t="s">
        <v>346</v>
      </c>
      <c r="G160" s="109"/>
      <c r="H160" s="109"/>
      <c r="I160" s="109" t="s">
        <v>346</v>
      </c>
      <c r="J160" s="109"/>
      <c r="K160" s="109"/>
      <c r="L160" s="109" t="s">
        <v>346</v>
      </c>
      <c r="M160" s="109"/>
      <c r="N160" s="109"/>
      <c r="O160" s="113" t="s">
        <v>2816</v>
      </c>
    </row>
    <row r="161" spans="1:15" ht="70.05" customHeight="1" outlineLevel="1">
      <c r="A161" s="109" t="s">
        <v>8236</v>
      </c>
      <c r="B161" s="110" t="s">
        <v>8237</v>
      </c>
      <c r="C161" s="110" t="s">
        <v>8238</v>
      </c>
      <c r="D161" s="111" t="s">
        <v>8239</v>
      </c>
      <c r="E161" s="111" t="s">
        <v>8240</v>
      </c>
      <c r="F161" s="109" t="s">
        <v>346</v>
      </c>
      <c r="G161" s="109"/>
      <c r="H161" s="109"/>
      <c r="I161" s="109" t="s">
        <v>346</v>
      </c>
      <c r="J161" s="109"/>
      <c r="K161" s="109"/>
      <c r="L161" s="109" t="s">
        <v>346</v>
      </c>
      <c r="M161" s="109"/>
      <c r="N161" s="109"/>
      <c r="O161" s="113" t="s">
        <v>2816</v>
      </c>
    </row>
    <row r="162" spans="1:15" ht="70.05" customHeight="1" outlineLevel="1">
      <c r="A162" s="109" t="s">
        <v>8241</v>
      </c>
      <c r="B162" s="110" t="s">
        <v>8242</v>
      </c>
      <c r="C162" s="110" t="s">
        <v>8243</v>
      </c>
      <c r="D162" s="111" t="s">
        <v>7984</v>
      </c>
      <c r="E162" s="111" t="s">
        <v>8204</v>
      </c>
      <c r="F162" s="109" t="s">
        <v>346</v>
      </c>
      <c r="G162" s="109"/>
      <c r="H162" s="109"/>
      <c r="I162" s="109" t="s">
        <v>346</v>
      </c>
      <c r="J162" s="109"/>
      <c r="K162" s="109"/>
      <c r="L162" s="109" t="s">
        <v>346</v>
      </c>
      <c r="M162" s="109"/>
      <c r="N162" s="109"/>
      <c r="O162" s="113" t="s">
        <v>2816</v>
      </c>
    </row>
    <row r="163" spans="1:15" ht="70.05" customHeight="1" outlineLevel="1">
      <c r="A163" s="109" t="s">
        <v>8244</v>
      </c>
      <c r="B163" s="110" t="s">
        <v>8245</v>
      </c>
      <c r="C163" s="110" t="s">
        <v>8207</v>
      </c>
      <c r="D163" s="111" t="s">
        <v>7776</v>
      </c>
      <c r="E163" s="111" t="s">
        <v>7777</v>
      </c>
      <c r="F163" s="109" t="s">
        <v>346</v>
      </c>
      <c r="G163" s="109"/>
      <c r="H163" s="109"/>
      <c r="I163" s="109" t="s">
        <v>346</v>
      </c>
      <c r="J163" s="109"/>
      <c r="K163" s="109"/>
      <c r="L163" s="109" t="s">
        <v>346</v>
      </c>
      <c r="M163" s="109"/>
      <c r="N163" s="109"/>
      <c r="O163" s="113" t="s">
        <v>2816</v>
      </c>
    </row>
    <row r="164" spans="1:15" ht="70.05" customHeight="1" outlineLevel="1">
      <c r="A164" s="109" t="s">
        <v>8246</v>
      </c>
      <c r="B164" s="110" t="s">
        <v>8247</v>
      </c>
      <c r="C164" s="110" t="s">
        <v>8248</v>
      </c>
      <c r="D164" s="111" t="s">
        <v>7984</v>
      </c>
      <c r="E164" s="111" t="s">
        <v>7741</v>
      </c>
      <c r="F164" s="109" t="s">
        <v>346</v>
      </c>
      <c r="G164" s="109"/>
      <c r="H164" s="109"/>
      <c r="I164" s="109" t="s">
        <v>346</v>
      </c>
      <c r="J164" s="109"/>
      <c r="K164" s="109"/>
      <c r="L164" s="109" t="s">
        <v>346</v>
      </c>
      <c r="M164" s="109"/>
      <c r="N164" s="109"/>
      <c r="O164" s="113" t="s">
        <v>2816</v>
      </c>
    </row>
    <row r="165" spans="1:15" ht="70.05" customHeight="1" outlineLevel="1">
      <c r="A165" s="109" t="s">
        <v>8249</v>
      </c>
      <c r="B165" s="110" t="s">
        <v>8250</v>
      </c>
      <c r="C165" s="110" t="s">
        <v>8251</v>
      </c>
      <c r="D165" s="111" t="s">
        <v>8013</v>
      </c>
      <c r="E165" s="111" t="s">
        <v>8252</v>
      </c>
      <c r="F165" s="109" t="s">
        <v>346</v>
      </c>
      <c r="G165" s="109"/>
      <c r="H165" s="109"/>
      <c r="I165" s="109" t="s">
        <v>346</v>
      </c>
      <c r="J165" s="109"/>
      <c r="K165" s="109"/>
      <c r="L165" s="109" t="s">
        <v>346</v>
      </c>
      <c r="M165" s="109"/>
      <c r="N165" s="109"/>
      <c r="O165" s="113" t="s">
        <v>2816</v>
      </c>
    </row>
    <row r="166" spans="1:15" ht="70.05" customHeight="1" outlineLevel="1">
      <c r="A166" s="109" t="s">
        <v>8253</v>
      </c>
      <c r="B166" s="110" t="s">
        <v>8254</v>
      </c>
      <c r="C166" s="110" t="s">
        <v>8255</v>
      </c>
      <c r="D166" s="111" t="s">
        <v>8013</v>
      </c>
      <c r="E166" s="111" t="s">
        <v>8018</v>
      </c>
      <c r="F166" s="109" t="s">
        <v>346</v>
      </c>
      <c r="G166" s="109"/>
      <c r="H166" s="109"/>
      <c r="I166" s="109" t="s">
        <v>346</v>
      </c>
      <c r="J166" s="109"/>
      <c r="K166" s="109"/>
      <c r="L166" s="109" t="s">
        <v>346</v>
      </c>
      <c r="M166" s="109"/>
      <c r="N166" s="109"/>
      <c r="O166" s="113" t="s">
        <v>2816</v>
      </c>
    </row>
    <row r="167" spans="1:15" ht="70.05" customHeight="1" outlineLevel="1">
      <c r="A167" s="109" t="s">
        <v>8256</v>
      </c>
      <c r="B167" s="110" t="s">
        <v>8257</v>
      </c>
      <c r="C167" s="110" t="s">
        <v>8258</v>
      </c>
      <c r="D167" s="111" t="s">
        <v>8009</v>
      </c>
      <c r="E167" s="111" t="s">
        <v>7741</v>
      </c>
      <c r="F167" s="109" t="s">
        <v>346</v>
      </c>
      <c r="G167" s="109"/>
      <c r="H167" s="109"/>
      <c r="I167" s="109" t="s">
        <v>346</v>
      </c>
      <c r="J167" s="109"/>
      <c r="K167" s="109"/>
      <c r="L167" s="109" t="s">
        <v>346</v>
      </c>
      <c r="M167" s="109"/>
      <c r="N167" s="109"/>
      <c r="O167" s="113" t="s">
        <v>2816</v>
      </c>
    </row>
    <row r="168" spans="1:15" ht="70.05" customHeight="1" outlineLevel="1">
      <c r="A168" s="109" t="s">
        <v>8259</v>
      </c>
      <c r="B168" s="110" t="s">
        <v>8260</v>
      </c>
      <c r="C168" s="110" t="s">
        <v>8261</v>
      </c>
      <c r="D168" s="111" t="s">
        <v>8262</v>
      </c>
      <c r="E168" s="111" t="s">
        <v>7741</v>
      </c>
      <c r="F168" s="109" t="s">
        <v>346</v>
      </c>
      <c r="G168" s="109"/>
      <c r="H168" s="109"/>
      <c r="I168" s="109" t="s">
        <v>346</v>
      </c>
      <c r="J168" s="109"/>
      <c r="K168" s="109"/>
      <c r="L168" s="109" t="s">
        <v>346</v>
      </c>
      <c r="M168" s="109"/>
      <c r="N168" s="109"/>
      <c r="O168" s="113" t="s">
        <v>2816</v>
      </c>
    </row>
    <row r="169" spans="1:15" ht="70.05" customHeight="1" outlineLevel="1">
      <c r="A169" s="109" t="s">
        <v>8263</v>
      </c>
      <c r="B169" s="110" t="s">
        <v>8245</v>
      </c>
      <c r="C169" s="110" t="s">
        <v>8207</v>
      </c>
      <c r="D169" s="111" t="s">
        <v>7779</v>
      </c>
      <c r="E169" s="111" t="s">
        <v>7780</v>
      </c>
      <c r="F169" s="109" t="s">
        <v>346</v>
      </c>
      <c r="G169" s="109"/>
      <c r="H169" s="109"/>
      <c r="I169" s="109" t="s">
        <v>346</v>
      </c>
      <c r="J169" s="109"/>
      <c r="K169" s="109"/>
      <c r="L169" s="109" t="s">
        <v>346</v>
      </c>
      <c r="M169" s="109"/>
      <c r="N169" s="109"/>
      <c r="O169" s="113" t="s">
        <v>2816</v>
      </c>
    </row>
    <row r="170" spans="1:15" ht="15.75" customHeight="1">
      <c r="A170" s="60" t="s">
        <v>335</v>
      </c>
      <c r="B170" s="60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2"/>
    </row>
    <row r="171" spans="1:15" ht="70.05" customHeight="1" outlineLevel="1">
      <c r="A171" s="109" t="s">
        <v>8264</v>
      </c>
      <c r="B171" s="110" t="s">
        <v>8265</v>
      </c>
      <c r="C171" s="110" t="s">
        <v>8266</v>
      </c>
      <c r="D171" s="111" t="s">
        <v>8267</v>
      </c>
      <c r="E171" s="111" t="s">
        <v>8268</v>
      </c>
      <c r="F171" s="109" t="s">
        <v>346</v>
      </c>
      <c r="G171" s="109"/>
      <c r="H171" s="109"/>
      <c r="I171" s="109" t="s">
        <v>346</v>
      </c>
      <c r="J171" s="109"/>
      <c r="K171" s="109"/>
      <c r="L171" s="109" t="s">
        <v>346</v>
      </c>
      <c r="M171" s="109"/>
      <c r="N171" s="109"/>
      <c r="O171" s="113" t="s">
        <v>2816</v>
      </c>
    </row>
    <row r="172" spans="1:15" ht="70.05" customHeight="1" outlineLevel="1">
      <c r="A172" s="109" t="s">
        <v>8269</v>
      </c>
      <c r="B172" s="110" t="s">
        <v>8270</v>
      </c>
      <c r="C172" s="110" t="s">
        <v>8271</v>
      </c>
      <c r="D172" s="111" t="s">
        <v>8272</v>
      </c>
      <c r="E172" s="111" t="s">
        <v>8268</v>
      </c>
      <c r="F172" s="109" t="s">
        <v>346</v>
      </c>
      <c r="G172" s="109"/>
      <c r="H172" s="109"/>
      <c r="I172" s="109" t="s">
        <v>346</v>
      </c>
      <c r="J172" s="109"/>
      <c r="K172" s="109"/>
      <c r="L172" s="109" t="s">
        <v>346</v>
      </c>
      <c r="M172" s="109"/>
      <c r="N172" s="109"/>
      <c r="O172" s="113" t="s">
        <v>2816</v>
      </c>
    </row>
    <row r="173" spans="1:15" ht="70.05" customHeight="1" outlineLevel="1">
      <c r="A173" s="109" t="s">
        <v>8273</v>
      </c>
      <c r="B173" s="110" t="s">
        <v>8274</v>
      </c>
      <c r="C173" s="110" t="s">
        <v>8275</v>
      </c>
      <c r="D173" s="111" t="s">
        <v>8276</v>
      </c>
      <c r="E173" s="111" t="s">
        <v>8268</v>
      </c>
      <c r="F173" s="109" t="s">
        <v>346</v>
      </c>
      <c r="G173" s="109"/>
      <c r="H173" s="109"/>
      <c r="I173" s="109" t="s">
        <v>346</v>
      </c>
      <c r="J173" s="109"/>
      <c r="K173" s="109"/>
      <c r="L173" s="109" t="s">
        <v>346</v>
      </c>
      <c r="M173" s="109"/>
      <c r="N173" s="109"/>
      <c r="O173" s="113" t="s">
        <v>2816</v>
      </c>
    </row>
    <row r="174" spans="1:15" ht="70.05" customHeight="1" outlineLevel="1">
      <c r="A174" s="109" t="s">
        <v>8277</v>
      </c>
      <c r="B174" s="110" t="s">
        <v>8278</v>
      </c>
      <c r="C174" s="110" t="s">
        <v>8279</v>
      </c>
      <c r="D174" s="111" t="s">
        <v>8280</v>
      </c>
      <c r="E174" s="111" t="s">
        <v>8268</v>
      </c>
      <c r="F174" s="109" t="s">
        <v>346</v>
      </c>
      <c r="G174" s="109"/>
      <c r="H174" s="109"/>
      <c r="I174" s="109" t="s">
        <v>346</v>
      </c>
      <c r="J174" s="109"/>
      <c r="K174" s="109"/>
      <c r="L174" s="109" t="s">
        <v>346</v>
      </c>
      <c r="M174" s="109"/>
      <c r="N174" s="109"/>
      <c r="O174" s="113" t="s">
        <v>2816</v>
      </c>
    </row>
    <row r="175" spans="1:15" ht="70.05" customHeight="1" outlineLevel="1">
      <c r="A175" s="109" t="s">
        <v>8281</v>
      </c>
      <c r="B175" s="110" t="s">
        <v>8282</v>
      </c>
      <c r="C175" s="110" t="s">
        <v>8283</v>
      </c>
      <c r="D175" s="111" t="s">
        <v>8284</v>
      </c>
      <c r="E175" s="111" t="s">
        <v>8268</v>
      </c>
      <c r="F175" s="109" t="s">
        <v>346</v>
      </c>
      <c r="G175" s="109"/>
      <c r="H175" s="109"/>
      <c r="I175" s="109" t="s">
        <v>346</v>
      </c>
      <c r="J175" s="109"/>
      <c r="K175" s="109"/>
      <c r="L175" s="109" t="s">
        <v>346</v>
      </c>
      <c r="M175" s="109"/>
      <c r="N175" s="109"/>
      <c r="O175" s="113" t="s">
        <v>2816</v>
      </c>
    </row>
    <row r="176" spans="1:15" ht="70.05" customHeight="1" outlineLevel="1">
      <c r="A176" s="109" t="s">
        <v>8285</v>
      </c>
      <c r="B176" s="110" t="s">
        <v>8265</v>
      </c>
      <c r="C176" s="110" t="s">
        <v>8266</v>
      </c>
      <c r="D176" s="111" t="s">
        <v>8286</v>
      </c>
      <c r="E176" s="111" t="s">
        <v>8287</v>
      </c>
      <c r="F176" s="109" t="s">
        <v>346</v>
      </c>
      <c r="G176" s="109"/>
      <c r="H176" s="109"/>
      <c r="I176" s="109" t="s">
        <v>346</v>
      </c>
      <c r="J176" s="109"/>
      <c r="K176" s="109"/>
      <c r="L176" s="109" t="s">
        <v>346</v>
      </c>
      <c r="M176" s="109"/>
      <c r="N176" s="109"/>
      <c r="O176" s="113" t="s">
        <v>2816</v>
      </c>
    </row>
    <row r="177" spans="1:15" ht="70.05" customHeight="1" outlineLevel="1">
      <c r="A177" s="109" t="s">
        <v>8288</v>
      </c>
      <c r="B177" s="110" t="s">
        <v>8265</v>
      </c>
      <c r="C177" s="110" t="s">
        <v>8266</v>
      </c>
      <c r="D177" s="111" t="s">
        <v>8289</v>
      </c>
      <c r="E177" s="111" t="s">
        <v>8290</v>
      </c>
      <c r="F177" s="109" t="s">
        <v>346</v>
      </c>
      <c r="G177" s="109"/>
      <c r="H177" s="109"/>
      <c r="I177" s="109" t="s">
        <v>346</v>
      </c>
      <c r="J177" s="109"/>
      <c r="K177" s="109"/>
      <c r="L177" s="109" t="s">
        <v>346</v>
      </c>
      <c r="M177" s="109"/>
      <c r="N177" s="109"/>
      <c r="O177" s="113" t="s">
        <v>2816</v>
      </c>
    </row>
    <row r="178" spans="1:15" ht="70.05" customHeight="1" outlineLevel="1">
      <c r="A178" s="109" t="s">
        <v>8291</v>
      </c>
      <c r="B178" s="110" t="s">
        <v>8265</v>
      </c>
      <c r="C178" s="110" t="s">
        <v>8266</v>
      </c>
      <c r="D178" s="111" t="s">
        <v>8292</v>
      </c>
      <c r="E178" s="111" t="s">
        <v>8293</v>
      </c>
      <c r="F178" s="109" t="s">
        <v>346</v>
      </c>
      <c r="G178" s="109"/>
      <c r="H178" s="109"/>
      <c r="I178" s="109" t="s">
        <v>346</v>
      </c>
      <c r="J178" s="109"/>
      <c r="K178" s="109"/>
      <c r="L178" s="109" t="s">
        <v>346</v>
      </c>
      <c r="M178" s="109"/>
      <c r="N178" s="109"/>
      <c r="O178" s="113" t="s">
        <v>2816</v>
      </c>
    </row>
    <row r="179" spans="1:15" ht="70.05" customHeight="1" outlineLevel="1">
      <c r="A179" s="109" t="s">
        <v>8294</v>
      </c>
      <c r="B179" s="110" t="s">
        <v>8295</v>
      </c>
      <c r="C179" s="110" t="s">
        <v>8296</v>
      </c>
      <c r="D179" s="111" t="s">
        <v>8297</v>
      </c>
      <c r="E179" s="111" t="s">
        <v>8268</v>
      </c>
      <c r="F179" s="109" t="s">
        <v>346</v>
      </c>
      <c r="G179" s="109"/>
      <c r="H179" s="109"/>
      <c r="I179" s="109" t="s">
        <v>346</v>
      </c>
      <c r="J179" s="109"/>
      <c r="K179" s="109"/>
      <c r="L179" s="109" t="s">
        <v>346</v>
      </c>
      <c r="M179" s="109"/>
      <c r="N179" s="109"/>
      <c r="O179" s="113" t="s">
        <v>2816</v>
      </c>
    </row>
    <row r="180" spans="1:15" ht="70.05" customHeight="1" outlineLevel="1">
      <c r="A180" s="109" t="s">
        <v>8298</v>
      </c>
      <c r="B180" s="110" t="s">
        <v>8299</v>
      </c>
      <c r="C180" s="110" t="s">
        <v>8271</v>
      </c>
      <c r="D180" s="111" t="s">
        <v>8300</v>
      </c>
      <c r="E180" s="111" t="s">
        <v>8301</v>
      </c>
      <c r="F180" s="109" t="s">
        <v>346</v>
      </c>
      <c r="G180" s="109"/>
      <c r="H180" s="109"/>
      <c r="I180" s="109" t="s">
        <v>346</v>
      </c>
      <c r="J180" s="109"/>
      <c r="K180" s="109"/>
      <c r="L180" s="109" t="s">
        <v>346</v>
      </c>
      <c r="M180" s="109"/>
      <c r="N180" s="109"/>
      <c r="O180" s="113" t="s">
        <v>2816</v>
      </c>
    </row>
    <row r="181" spans="1:15" ht="70.05" customHeight="1" outlineLevel="1">
      <c r="A181" s="109" t="s">
        <v>8302</v>
      </c>
      <c r="B181" s="110" t="s">
        <v>8303</v>
      </c>
      <c r="C181" s="110" t="s">
        <v>8304</v>
      </c>
      <c r="D181" s="111" t="s">
        <v>8305</v>
      </c>
      <c r="E181" s="111" t="s">
        <v>8306</v>
      </c>
      <c r="F181" s="109" t="s">
        <v>346</v>
      </c>
      <c r="G181" s="109"/>
      <c r="H181" s="109"/>
      <c r="I181" s="109" t="s">
        <v>346</v>
      </c>
      <c r="J181" s="109"/>
      <c r="K181" s="109"/>
      <c r="L181" s="109" t="s">
        <v>346</v>
      </c>
      <c r="M181" s="109"/>
      <c r="N181" s="109"/>
      <c r="O181" s="113" t="s">
        <v>2816</v>
      </c>
    </row>
    <row r="182" spans="1:15" ht="70.05" customHeight="1" outlineLevel="1">
      <c r="A182" s="109" t="s">
        <v>8307</v>
      </c>
      <c r="B182" s="110" t="s">
        <v>8308</v>
      </c>
      <c r="C182" s="110" t="s">
        <v>8266</v>
      </c>
      <c r="D182" s="111" t="s">
        <v>8309</v>
      </c>
      <c r="E182" s="111" t="s">
        <v>8310</v>
      </c>
      <c r="F182" s="109" t="s">
        <v>346</v>
      </c>
      <c r="G182" s="109"/>
      <c r="H182" s="109"/>
      <c r="I182" s="109" t="s">
        <v>346</v>
      </c>
      <c r="J182" s="109"/>
      <c r="K182" s="109"/>
      <c r="L182" s="109" t="s">
        <v>346</v>
      </c>
      <c r="M182" s="109"/>
      <c r="N182" s="109"/>
      <c r="O182" s="113" t="s">
        <v>2816</v>
      </c>
    </row>
    <row r="183" spans="1:15" ht="70.05" customHeight="1" outlineLevel="1">
      <c r="A183" s="109" t="s">
        <v>8311</v>
      </c>
      <c r="B183" s="110" t="s">
        <v>8312</v>
      </c>
      <c r="C183" s="110" t="s">
        <v>8266</v>
      </c>
      <c r="D183" s="111" t="s">
        <v>7776</v>
      </c>
      <c r="E183" s="111" t="s">
        <v>7777</v>
      </c>
      <c r="F183" s="109" t="s">
        <v>346</v>
      </c>
      <c r="G183" s="109"/>
      <c r="H183" s="109"/>
      <c r="I183" s="109" t="s">
        <v>346</v>
      </c>
      <c r="J183" s="109"/>
      <c r="K183" s="109"/>
      <c r="L183" s="109" t="s">
        <v>346</v>
      </c>
      <c r="M183" s="109"/>
      <c r="N183" s="109"/>
      <c r="O183" s="113" t="s">
        <v>2816</v>
      </c>
    </row>
    <row r="184" spans="1:15" ht="70.05" customHeight="1" outlineLevel="1">
      <c r="A184" s="109" t="s">
        <v>8313</v>
      </c>
      <c r="B184" s="110" t="s">
        <v>8314</v>
      </c>
      <c r="C184" s="110" t="s">
        <v>8315</v>
      </c>
      <c r="D184" s="111" t="s">
        <v>8316</v>
      </c>
      <c r="E184" s="111" t="s">
        <v>7741</v>
      </c>
      <c r="F184" s="109" t="s">
        <v>346</v>
      </c>
      <c r="G184" s="109"/>
      <c r="H184" s="109"/>
      <c r="I184" s="109" t="s">
        <v>346</v>
      </c>
      <c r="J184" s="109"/>
      <c r="K184" s="109"/>
      <c r="L184" s="109" t="s">
        <v>346</v>
      </c>
      <c r="M184" s="109"/>
      <c r="N184" s="109"/>
      <c r="O184" s="113" t="s">
        <v>2816</v>
      </c>
    </row>
    <row r="185" spans="1:15" ht="70.05" customHeight="1" outlineLevel="1">
      <c r="A185" s="109" t="s">
        <v>8317</v>
      </c>
      <c r="B185" s="110" t="s">
        <v>8318</v>
      </c>
      <c r="C185" s="110" t="s">
        <v>8319</v>
      </c>
      <c r="D185" s="111" t="s">
        <v>7784</v>
      </c>
      <c r="E185" s="111" t="s">
        <v>7741</v>
      </c>
      <c r="F185" s="109" t="s">
        <v>346</v>
      </c>
      <c r="G185" s="109"/>
      <c r="H185" s="109"/>
      <c r="I185" s="109" t="s">
        <v>346</v>
      </c>
      <c r="J185" s="109"/>
      <c r="K185" s="109"/>
      <c r="L185" s="109" t="s">
        <v>346</v>
      </c>
      <c r="M185" s="109"/>
      <c r="N185" s="109"/>
      <c r="O185" s="113" t="s">
        <v>2816</v>
      </c>
    </row>
    <row r="186" spans="1:15" ht="70.05" customHeight="1" outlineLevel="1">
      <c r="A186" s="109" t="s">
        <v>8320</v>
      </c>
      <c r="B186" s="110" t="s">
        <v>8321</v>
      </c>
      <c r="C186" s="110" t="s">
        <v>8322</v>
      </c>
      <c r="D186" s="111" t="s">
        <v>7784</v>
      </c>
      <c r="E186" s="111" t="s">
        <v>7741</v>
      </c>
      <c r="F186" s="109" t="s">
        <v>346</v>
      </c>
      <c r="G186" s="109"/>
      <c r="H186" s="109"/>
      <c r="I186" s="109" t="s">
        <v>346</v>
      </c>
      <c r="J186" s="109"/>
      <c r="K186" s="109"/>
      <c r="L186" s="109" t="s">
        <v>346</v>
      </c>
      <c r="M186" s="109"/>
      <c r="N186" s="109"/>
      <c r="O186" s="113" t="s">
        <v>2816</v>
      </c>
    </row>
    <row r="187" spans="1:15" ht="70.05" customHeight="1" outlineLevel="1">
      <c r="A187" s="109" t="s">
        <v>8323</v>
      </c>
      <c r="B187" s="110" t="s">
        <v>8312</v>
      </c>
      <c r="C187" s="110" t="s">
        <v>8266</v>
      </c>
      <c r="D187" s="111" t="s">
        <v>7779</v>
      </c>
      <c r="E187" s="111" t="s">
        <v>7780</v>
      </c>
      <c r="F187" s="109" t="s">
        <v>346</v>
      </c>
      <c r="G187" s="109"/>
      <c r="H187" s="109"/>
      <c r="I187" s="109" t="s">
        <v>346</v>
      </c>
      <c r="J187" s="109"/>
      <c r="K187" s="109"/>
      <c r="L187" s="109" t="s">
        <v>346</v>
      </c>
      <c r="M187" s="109"/>
      <c r="N187" s="109"/>
      <c r="O187" s="113" t="s">
        <v>2816</v>
      </c>
    </row>
    <row r="188" spans="1:15" ht="15.75" customHeight="1">
      <c r="A188" s="60" t="s">
        <v>337</v>
      </c>
      <c r="B188" s="60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2"/>
    </row>
    <row r="189" spans="1:15" ht="70.05" customHeight="1" outlineLevel="1">
      <c r="A189" s="109" t="s">
        <v>8324</v>
      </c>
      <c r="B189" s="110" t="s">
        <v>8325</v>
      </c>
      <c r="C189" s="110" t="s">
        <v>8326</v>
      </c>
      <c r="D189" s="111" t="s">
        <v>8327</v>
      </c>
      <c r="E189" s="111" t="s">
        <v>8023</v>
      </c>
      <c r="F189" s="109" t="s">
        <v>346</v>
      </c>
      <c r="G189" s="109"/>
      <c r="H189" s="109"/>
      <c r="I189" s="109" t="s">
        <v>346</v>
      </c>
      <c r="J189" s="109"/>
      <c r="K189" s="109"/>
      <c r="L189" s="109" t="s">
        <v>346</v>
      </c>
      <c r="M189" s="109"/>
      <c r="N189" s="109"/>
      <c r="O189" s="113" t="s">
        <v>2816</v>
      </c>
    </row>
    <row r="190" spans="1:15" ht="70.05" customHeight="1" outlineLevel="1">
      <c r="A190" s="109" t="s">
        <v>8328</v>
      </c>
      <c r="B190" s="110" t="s">
        <v>8329</v>
      </c>
      <c r="C190" s="110" t="s">
        <v>8330</v>
      </c>
      <c r="D190" s="111" t="s">
        <v>8331</v>
      </c>
      <c r="E190" s="111" t="s">
        <v>8332</v>
      </c>
      <c r="F190" s="109" t="s">
        <v>346</v>
      </c>
      <c r="G190" s="109"/>
      <c r="H190" s="109"/>
      <c r="I190" s="109" t="s">
        <v>346</v>
      </c>
      <c r="J190" s="109"/>
      <c r="K190" s="109"/>
      <c r="L190" s="109" t="s">
        <v>346</v>
      </c>
      <c r="M190" s="109"/>
      <c r="N190" s="109"/>
      <c r="O190" s="113" t="s">
        <v>2816</v>
      </c>
    </row>
    <row r="191" spans="1:15" ht="70.05" customHeight="1" outlineLevel="1">
      <c r="A191" s="109" t="s">
        <v>8333</v>
      </c>
      <c r="B191" s="110" t="s">
        <v>8334</v>
      </c>
      <c r="C191" s="110" t="s">
        <v>8335</v>
      </c>
      <c r="D191" s="111" t="s">
        <v>8336</v>
      </c>
      <c r="E191" s="111" t="s">
        <v>8023</v>
      </c>
      <c r="F191" s="109" t="s">
        <v>346</v>
      </c>
      <c r="G191" s="109"/>
      <c r="H191" s="109"/>
      <c r="I191" s="109" t="s">
        <v>346</v>
      </c>
      <c r="J191" s="109"/>
      <c r="K191" s="109"/>
      <c r="L191" s="109" t="s">
        <v>346</v>
      </c>
      <c r="M191" s="109"/>
      <c r="N191" s="109"/>
      <c r="O191" s="113" t="s">
        <v>2816</v>
      </c>
    </row>
    <row r="192" spans="1:15" ht="70.05" customHeight="1" outlineLevel="1">
      <c r="A192" s="109" t="s">
        <v>8337</v>
      </c>
      <c r="B192" s="110" t="s">
        <v>8338</v>
      </c>
      <c r="C192" s="110" t="s">
        <v>8339</v>
      </c>
      <c r="D192" s="111" t="s">
        <v>8340</v>
      </c>
      <c r="E192" s="111" t="s">
        <v>8332</v>
      </c>
      <c r="F192" s="109" t="s">
        <v>346</v>
      </c>
      <c r="G192" s="109"/>
      <c r="H192" s="109"/>
      <c r="I192" s="109" t="s">
        <v>346</v>
      </c>
      <c r="J192" s="109"/>
      <c r="K192" s="109"/>
      <c r="L192" s="109" t="s">
        <v>346</v>
      </c>
      <c r="M192" s="109"/>
      <c r="N192" s="109"/>
      <c r="O192" s="113" t="s">
        <v>2816</v>
      </c>
    </row>
    <row r="193" spans="1:15" ht="70.05" customHeight="1" outlineLevel="1">
      <c r="A193" s="109" t="s">
        <v>8341</v>
      </c>
      <c r="B193" s="110" t="s">
        <v>8325</v>
      </c>
      <c r="C193" s="110" t="s">
        <v>8342</v>
      </c>
      <c r="D193" s="111" t="s">
        <v>8343</v>
      </c>
      <c r="E193" s="111" t="s">
        <v>8023</v>
      </c>
      <c r="F193" s="109" t="s">
        <v>346</v>
      </c>
      <c r="G193" s="109"/>
      <c r="H193" s="109"/>
      <c r="I193" s="109" t="s">
        <v>346</v>
      </c>
      <c r="J193" s="109"/>
      <c r="K193" s="109"/>
      <c r="L193" s="109" t="s">
        <v>346</v>
      </c>
      <c r="M193" s="109"/>
      <c r="N193" s="109"/>
      <c r="O193" s="113" t="s">
        <v>2816</v>
      </c>
    </row>
    <row r="194" spans="1:15" ht="70.05" customHeight="1" outlineLevel="1">
      <c r="A194" s="109" t="s">
        <v>8344</v>
      </c>
      <c r="B194" s="110" t="s">
        <v>8329</v>
      </c>
      <c r="C194" s="110" t="s">
        <v>8330</v>
      </c>
      <c r="D194" s="111" t="s">
        <v>8345</v>
      </c>
      <c r="E194" s="111" t="s">
        <v>8332</v>
      </c>
      <c r="F194" s="109" t="s">
        <v>346</v>
      </c>
      <c r="G194" s="109"/>
      <c r="H194" s="109"/>
      <c r="I194" s="109" t="s">
        <v>346</v>
      </c>
      <c r="J194" s="109"/>
      <c r="K194" s="109"/>
      <c r="L194" s="109" t="s">
        <v>346</v>
      </c>
      <c r="M194" s="109"/>
      <c r="N194" s="109"/>
      <c r="O194" s="113" t="s">
        <v>2816</v>
      </c>
    </row>
    <row r="195" spans="1:15" ht="70.05" customHeight="1" outlineLevel="1">
      <c r="A195" s="109" t="s">
        <v>8346</v>
      </c>
      <c r="B195" s="110" t="s">
        <v>8325</v>
      </c>
      <c r="C195" s="110" t="s">
        <v>8326</v>
      </c>
      <c r="D195" s="111" t="s">
        <v>8347</v>
      </c>
      <c r="E195" s="111" t="s">
        <v>8023</v>
      </c>
      <c r="F195" s="109" t="s">
        <v>346</v>
      </c>
      <c r="G195" s="109"/>
      <c r="H195" s="109"/>
      <c r="I195" s="109" t="s">
        <v>346</v>
      </c>
      <c r="J195" s="109"/>
      <c r="K195" s="109"/>
      <c r="L195" s="109" t="s">
        <v>346</v>
      </c>
      <c r="M195" s="109"/>
      <c r="N195" s="109"/>
      <c r="O195" s="113" t="s">
        <v>2816</v>
      </c>
    </row>
    <row r="196" spans="1:15" ht="70.05" customHeight="1" outlineLevel="1">
      <c r="A196" s="109" t="s">
        <v>8348</v>
      </c>
      <c r="B196" s="110" t="s">
        <v>8349</v>
      </c>
      <c r="C196" s="110" t="s">
        <v>8350</v>
      </c>
      <c r="D196" s="111" t="s">
        <v>8351</v>
      </c>
      <c r="E196" s="111" t="s">
        <v>8352</v>
      </c>
      <c r="F196" s="109" t="s">
        <v>346</v>
      </c>
      <c r="G196" s="109"/>
      <c r="H196" s="109"/>
      <c r="I196" s="109" t="s">
        <v>346</v>
      </c>
      <c r="J196" s="109"/>
      <c r="K196" s="109"/>
      <c r="L196" s="109" t="s">
        <v>346</v>
      </c>
      <c r="M196" s="109"/>
      <c r="N196" s="109"/>
      <c r="O196" s="113" t="s">
        <v>2816</v>
      </c>
    </row>
    <row r="197" spans="1:15" ht="70.05" customHeight="1" outlineLevel="1">
      <c r="A197" s="109" t="s">
        <v>8353</v>
      </c>
      <c r="B197" s="110" t="s">
        <v>8354</v>
      </c>
      <c r="C197" s="110" t="s">
        <v>8355</v>
      </c>
      <c r="D197" s="111" t="s">
        <v>8351</v>
      </c>
      <c r="E197" s="111" t="s">
        <v>8306</v>
      </c>
      <c r="F197" s="109" t="s">
        <v>346</v>
      </c>
      <c r="G197" s="109"/>
      <c r="H197" s="109"/>
      <c r="I197" s="109" t="s">
        <v>346</v>
      </c>
      <c r="J197" s="109"/>
      <c r="K197" s="109"/>
      <c r="L197" s="109" t="s">
        <v>346</v>
      </c>
      <c r="M197" s="109"/>
      <c r="N197" s="109"/>
      <c r="O197" s="113" t="s">
        <v>2816</v>
      </c>
    </row>
    <row r="198" spans="1:15" ht="70.05" customHeight="1" outlineLevel="1">
      <c r="A198" s="109" t="s">
        <v>8356</v>
      </c>
      <c r="B198" s="110" t="s">
        <v>8357</v>
      </c>
      <c r="C198" s="110" t="s">
        <v>8358</v>
      </c>
      <c r="D198" s="111" t="s">
        <v>8359</v>
      </c>
      <c r="E198" s="111" t="s">
        <v>8023</v>
      </c>
      <c r="F198" s="109" t="s">
        <v>346</v>
      </c>
      <c r="G198" s="109"/>
      <c r="H198" s="109"/>
      <c r="I198" s="109" t="s">
        <v>346</v>
      </c>
      <c r="J198" s="109"/>
      <c r="K198" s="109"/>
      <c r="L198" s="109" t="s">
        <v>346</v>
      </c>
      <c r="M198" s="109"/>
      <c r="N198" s="109"/>
      <c r="O198" s="113" t="s">
        <v>2816</v>
      </c>
    </row>
    <row r="199" spans="1:15" ht="70.05" customHeight="1" outlineLevel="1">
      <c r="A199" s="109" t="s">
        <v>8360</v>
      </c>
      <c r="B199" s="110" t="s">
        <v>8361</v>
      </c>
      <c r="C199" s="110" t="s">
        <v>8335</v>
      </c>
      <c r="D199" s="111" t="s">
        <v>8362</v>
      </c>
      <c r="E199" s="111" t="s">
        <v>8363</v>
      </c>
      <c r="F199" s="109" t="s">
        <v>346</v>
      </c>
      <c r="G199" s="109"/>
      <c r="H199" s="109"/>
      <c r="I199" s="109" t="s">
        <v>346</v>
      </c>
      <c r="J199" s="109"/>
      <c r="K199" s="109"/>
      <c r="L199" s="109" t="s">
        <v>346</v>
      </c>
      <c r="M199" s="109"/>
      <c r="N199" s="109"/>
      <c r="O199" s="113" t="s">
        <v>2816</v>
      </c>
    </row>
    <row r="200" spans="1:15" ht="70.05" customHeight="1" outlineLevel="1">
      <c r="A200" s="109" t="s">
        <v>8364</v>
      </c>
      <c r="B200" s="110" t="s">
        <v>8365</v>
      </c>
      <c r="C200" s="110" t="s">
        <v>8326</v>
      </c>
      <c r="D200" s="111" t="s">
        <v>8366</v>
      </c>
      <c r="E200" s="111" t="s">
        <v>8367</v>
      </c>
      <c r="F200" s="109" t="s">
        <v>346</v>
      </c>
      <c r="G200" s="109"/>
      <c r="H200" s="109"/>
      <c r="I200" s="109" t="s">
        <v>346</v>
      </c>
      <c r="J200" s="109"/>
      <c r="K200" s="109"/>
      <c r="L200" s="109" t="s">
        <v>346</v>
      </c>
      <c r="M200" s="109"/>
      <c r="N200" s="109"/>
      <c r="O200" s="113" t="s">
        <v>2816</v>
      </c>
    </row>
    <row r="201" spans="1:15" ht="70.05" customHeight="1" outlineLevel="1">
      <c r="A201" s="109" t="s">
        <v>8368</v>
      </c>
      <c r="B201" s="110" t="s">
        <v>8369</v>
      </c>
      <c r="C201" s="110" t="s">
        <v>8326</v>
      </c>
      <c r="D201" s="111" t="s">
        <v>7776</v>
      </c>
      <c r="E201" s="111" t="s">
        <v>7777</v>
      </c>
      <c r="F201" s="109" t="s">
        <v>346</v>
      </c>
      <c r="G201" s="109"/>
      <c r="H201" s="109"/>
      <c r="I201" s="109" t="s">
        <v>346</v>
      </c>
      <c r="J201" s="109"/>
      <c r="K201" s="109"/>
      <c r="L201" s="109" t="s">
        <v>346</v>
      </c>
      <c r="M201" s="109"/>
      <c r="N201" s="109"/>
      <c r="O201" s="113" t="s">
        <v>2816</v>
      </c>
    </row>
    <row r="202" spans="1:15" ht="70.05" customHeight="1" outlineLevel="1">
      <c r="A202" s="109" t="s">
        <v>8370</v>
      </c>
      <c r="B202" s="110" t="s">
        <v>8371</v>
      </c>
      <c r="C202" s="110" t="s">
        <v>8372</v>
      </c>
      <c r="D202" s="111" t="s">
        <v>7784</v>
      </c>
      <c r="E202" s="111" t="s">
        <v>7741</v>
      </c>
      <c r="F202" s="109" t="s">
        <v>346</v>
      </c>
      <c r="G202" s="109"/>
      <c r="H202" s="109"/>
      <c r="I202" s="109" t="s">
        <v>346</v>
      </c>
      <c r="J202" s="109"/>
      <c r="K202" s="109"/>
      <c r="L202" s="109" t="s">
        <v>346</v>
      </c>
      <c r="M202" s="109"/>
      <c r="N202" s="109"/>
      <c r="O202" s="113" t="s">
        <v>2816</v>
      </c>
    </row>
    <row r="203" spans="1:15" ht="70.05" customHeight="1" outlineLevel="1">
      <c r="A203" s="109" t="s">
        <v>8373</v>
      </c>
      <c r="B203" s="110" t="s">
        <v>8374</v>
      </c>
      <c r="C203" s="110" t="s">
        <v>8375</v>
      </c>
      <c r="D203" s="111" t="s">
        <v>7784</v>
      </c>
      <c r="E203" s="111" t="s">
        <v>7741</v>
      </c>
      <c r="F203" s="109" t="s">
        <v>346</v>
      </c>
      <c r="G203" s="109"/>
      <c r="H203" s="109"/>
      <c r="I203" s="109" t="s">
        <v>346</v>
      </c>
      <c r="J203" s="109"/>
      <c r="K203" s="109"/>
      <c r="L203" s="109" t="s">
        <v>346</v>
      </c>
      <c r="M203" s="109"/>
      <c r="N203" s="109"/>
      <c r="O203" s="113" t="s">
        <v>2816</v>
      </c>
    </row>
    <row r="204" spans="1:15" ht="70.05" customHeight="1" outlineLevel="1">
      <c r="A204" s="109" t="s">
        <v>8376</v>
      </c>
      <c r="B204" s="110" t="s">
        <v>8369</v>
      </c>
      <c r="C204" s="110" t="s">
        <v>8377</v>
      </c>
      <c r="D204" s="111" t="s">
        <v>8378</v>
      </c>
      <c r="E204" s="111" t="s">
        <v>7741</v>
      </c>
      <c r="F204" s="109" t="s">
        <v>346</v>
      </c>
      <c r="G204" s="109"/>
      <c r="H204" s="109"/>
      <c r="I204" s="109" t="s">
        <v>346</v>
      </c>
      <c r="J204" s="109"/>
      <c r="K204" s="109"/>
      <c r="L204" s="109" t="s">
        <v>346</v>
      </c>
      <c r="M204" s="109"/>
      <c r="N204" s="109"/>
      <c r="O204" s="113" t="s">
        <v>2816</v>
      </c>
    </row>
    <row r="205" spans="1:15" ht="70.05" customHeight="1" outlineLevel="1">
      <c r="A205" s="109" t="s">
        <v>8379</v>
      </c>
      <c r="B205" s="110" t="s">
        <v>8380</v>
      </c>
      <c r="C205" s="110" t="s">
        <v>8381</v>
      </c>
      <c r="D205" s="111" t="s">
        <v>8316</v>
      </c>
      <c r="E205" s="111" t="s">
        <v>7741</v>
      </c>
      <c r="F205" s="109" t="s">
        <v>346</v>
      </c>
      <c r="G205" s="109"/>
      <c r="H205" s="109"/>
      <c r="I205" s="109" t="s">
        <v>346</v>
      </c>
      <c r="J205" s="109"/>
      <c r="K205" s="109"/>
      <c r="L205" s="109" t="s">
        <v>346</v>
      </c>
      <c r="M205" s="109"/>
      <c r="N205" s="109"/>
      <c r="O205" s="113" t="s">
        <v>2816</v>
      </c>
    </row>
    <row r="206" spans="1:15" ht="70.05" customHeight="1" outlineLevel="1">
      <c r="A206" s="109" t="s">
        <v>8382</v>
      </c>
      <c r="B206" s="110" t="s">
        <v>8369</v>
      </c>
      <c r="C206" s="110" t="s">
        <v>8326</v>
      </c>
      <c r="D206" s="111" t="s">
        <v>7779</v>
      </c>
      <c r="E206" s="111" t="s">
        <v>7780</v>
      </c>
      <c r="F206" s="109" t="s">
        <v>346</v>
      </c>
      <c r="G206" s="109"/>
      <c r="H206" s="109"/>
      <c r="I206" s="109" t="s">
        <v>346</v>
      </c>
      <c r="J206" s="109"/>
      <c r="K206" s="109"/>
      <c r="L206" s="109" t="s">
        <v>346</v>
      </c>
      <c r="M206" s="109"/>
      <c r="N206" s="109"/>
      <c r="O206" s="113" t="s">
        <v>2816</v>
      </c>
    </row>
  </sheetData>
  <mergeCells count="3">
    <mergeCell ref="B3:E3"/>
    <mergeCell ref="B2:E2"/>
    <mergeCell ref="B4:E4"/>
  </mergeCells>
  <dataValidations count="1">
    <dataValidation type="list" allowBlank="1" sqref="F12:F206 I12:I206 L12:L206" xr:uid="{00000000-0002-0000-0B00-000000000000}">
      <formula1>$R$2:$R$5</formula1>
    </dataValidation>
  </dataValidations>
  <pageMargins left="0.74791666666666667" right="0.25" top="0.75" bottom="0.98402777777777772" header="0.5" footer="0.5"/>
  <pageSetup paperSize="9" firstPageNumber="0" orientation="landscape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Cover</vt:lpstr>
      <vt:lpstr>Test Cases</vt:lpstr>
      <vt:lpstr>Test Statistics</vt:lpstr>
      <vt:lpstr>Authentication</vt:lpstr>
      <vt:lpstr>Profile</vt:lpstr>
      <vt:lpstr>Agency &amp; Workspace</vt:lpstr>
      <vt:lpstr>Media Package</vt:lpstr>
      <vt:lpstr>Content &amp; Task</vt:lpstr>
      <vt:lpstr>AI Features</vt:lpstr>
      <vt:lpstr>Publishing</vt:lpstr>
      <vt:lpstr>Billing</vt:lpstr>
      <vt:lpstr>Admin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case</dc:title>
  <dc:subject>v1/0</dc:subject>
  <dc:creator>Kien Nguyen</dc:creator>
  <dc:description>Updates sheet Cover: Add logo, document code, creator, reviewer/approver._x000d_
Add sheet Test Case List._x000d_
Change Sheet Company, User, Provider to Modules. Add column Inter-test case dependent. Update these sheets._x000d_
Update Test Report</dc:description>
  <cp:lastModifiedBy>Trung Lê</cp:lastModifiedBy>
  <cp:lastPrinted>2010-11-12T10:33:20Z</cp:lastPrinted>
  <dcterms:created xsi:type="dcterms:W3CDTF">2020-03-17T17:34:29Z</dcterms:created>
  <dcterms:modified xsi:type="dcterms:W3CDTF">2026-10-22T04:14:17Z</dcterms:modified>
  <cp:category>BM</cp:category>
</cp:coreProperties>
</file>